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6.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rshbh\OneDrive\Desktop\Projects\Tesla\"/>
    </mc:Choice>
  </mc:AlternateContent>
  <xr:revisionPtr revIDLastSave="0" documentId="13_ncr:1_{9D9C5B78-838B-4D28-9BEA-B5E3EB7B6D57}" xr6:coauthVersionLast="47" xr6:coauthVersionMax="47" xr10:uidLastSave="{00000000-0000-0000-0000-000000000000}"/>
  <bookViews>
    <workbookView xWindow="-108" yWindow="-108" windowWidth="23256" windowHeight="12576" tabRatio="1000" firstSheet="2" activeTab="16" xr2:uid="{2CDFEA1A-05A0-4F98-9870-81260F1AC3AD}"/>
  </bookViews>
  <sheets>
    <sheet name="Post" sheetId="15" r:id="rId1"/>
    <sheet name="Campaign Metadata" sheetId="2" r:id="rId2"/>
    <sheet name="Engagement Summary" sheetId="4" r:id="rId3"/>
    <sheet name="Task 1" sheetId="3" r:id="rId4"/>
    <sheet name="Task 2.1" sheetId="10" r:id="rId5"/>
    <sheet name="Task 2.2" sheetId="11" r:id="rId6"/>
    <sheet name="Tak 2.3(a)" sheetId="12" r:id="rId7"/>
    <sheet name="Task 2.3(b)" sheetId="9" r:id="rId8"/>
    <sheet name="Task 2.4" sheetId="13" r:id="rId9"/>
    <sheet name="Tak 3.1" sheetId="16" r:id="rId10"/>
    <sheet name="Task 3.2" sheetId="18" r:id="rId11"/>
    <sheet name="Task 3.3" sheetId="19" r:id="rId12"/>
    <sheet name="Task 4.1" sheetId="20" r:id="rId13"/>
    <sheet name="Task 4.2" sheetId="21" r:id="rId14"/>
    <sheet name="Task 4.3" sheetId="22" r:id="rId15"/>
    <sheet name="Task 5.1" sheetId="24" r:id="rId16"/>
    <sheet name="Task 5.2 &amp; 5.3" sheetId="30" r:id="rId17"/>
    <sheet name="Task 5.4" sheetId="32" r:id="rId18"/>
    <sheet name="Task 6.1 &amp; 6.2" sheetId="28" r:id="rId19"/>
    <sheet name="Task 6.3" sheetId="33" r:id="rId20"/>
    <sheet name="Task 6.4" sheetId="34" r:id="rId21"/>
    <sheet name="Video Link" sheetId="35" r:id="rId22"/>
  </sheets>
  <definedNames>
    <definedName name="_03_06_2024">'Engagement Summary'!$A$3:$A$201</definedName>
    <definedName name="_15_06_2024">'Campaign Metadata'!$B$3:$B$5</definedName>
    <definedName name="_15_07_2024">'Campaign Metadata'!$C$3:$C$5</definedName>
    <definedName name="_23_12_2024">'Task 1'!$C$3:$C$340</definedName>
    <definedName name="_xlcn.WorksheetConnection_InternshalaProject.xlsxCampaign_Metadata1" hidden="1">Campaign_Metadata[]</definedName>
    <definedName name="_xlcn.WorksheetConnection_InternshalaProject.xlsxEngagement_Summary1" hidden="1">Engagement_Summary[]</definedName>
    <definedName name="AnytimeIsTeslaTime">'Task 1'!#REF!</definedName>
    <definedName name="Check_out_our_latest_reel_on_twitter">'Task 1'!$E$3:$E$340</definedName>
    <definedName name="CybertruckLaunch" localSheetId="1">'Campaign Metadata'!$A$3:$A$5</definedName>
    <definedName name="CybertruckLaunch">'Task 1'!$M$3:$M$340</definedName>
    <definedName name="EVRevolution__TeslaCoInnovation">'Campaign Metadata'!$G$3:$G$5</definedName>
    <definedName name="ExternalData_1" localSheetId="1" hidden="1">'Campaign Metadata'!$A$1:$G$5</definedName>
    <definedName name="ExternalData_1" localSheetId="2" hidden="1">'Engagement Summary'!$A$1:$G$201</definedName>
    <definedName name="ExternalData_1" localSheetId="3" hidden="1">'Task 1'!$A$1:$M$340</definedName>
    <definedName name="ExternalData_2" localSheetId="4" hidden="1">'Task 2.1'!$A$1:$M$340</definedName>
    <definedName name="ExternalData_3" localSheetId="0" hidden="1">Post!$A$1:$M$340</definedName>
    <definedName name="ExternalData_3" localSheetId="5" hidden="1">'Task 2.2'!$A$1:$M$340</definedName>
    <definedName name="FutureOfDriving">'Task 1'!#REF!</definedName>
    <definedName name="Instagram">'Engagement Summary'!$B$3:$B$201</definedName>
    <definedName name="Instagram_Facebook">'Campaign Metadata'!$F$3:$F$5</definedName>
    <definedName name="P001_">'Task 1'!$A$3:$A$340</definedName>
    <definedName name="Product_Awareness">'Campaign Metadata'!$D$3:$D$5</definedName>
    <definedName name="Reel">'Task 1'!$D$3:$D$340</definedName>
    <definedName name="Slicer_Platform">#N/A</definedName>
    <definedName name="Slicer_Platform1">#N/A</definedName>
    <definedName name="Slicer_Platform2">#N/A</definedName>
    <definedName name="Slicer_Platform3">#N/A</definedName>
    <definedName name="Twitter">'Task 1'!$B$3:$B$340</definedName>
  </definedNames>
  <calcPr calcId="191029"/>
  <pivotCaches>
    <pivotCache cacheId="0" r:id="rId23"/>
    <pivotCache cacheId="1" r:id="rId24"/>
    <pivotCache cacheId="2" r:id="rId25"/>
    <pivotCache cacheId="3" r:id="rId26"/>
  </pivotCaches>
  <extLst>
    <ext xmlns:x14="http://schemas.microsoft.com/office/spreadsheetml/2009/9/main" uri="{BBE1A952-AA13-448e-AADC-164F8A28A991}">
      <x14:slicerCaches>
        <x14:slicerCache r:id="rId27"/>
        <x14:slicerCache r:id="rId28"/>
        <x14:slicerCache r:id="rId29"/>
        <x14:slicerCache r:id="rId3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ngagement_Summary" name="Engagement_Summary" connection="WorksheetConnection_Internshala Project.xlsx!Engagement_Summary"/>
          <x15:modelTable id="Campaign_Metadata" name="Campaign_Metadata" connection="WorksheetConnection_Internshala Project.xlsx!Campaign_Meta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8" i="21" l="1"/>
  <c r="E9" i="21"/>
  <c r="E10" i="21"/>
  <c r="E11" i="21"/>
  <c r="E12" i="21"/>
  <c r="E7" i="21"/>
  <c r="N203" i="11"/>
  <c r="N204" i="11"/>
  <c r="N269" i="11"/>
  <c r="N270" i="11"/>
  <c r="N338" i="11"/>
  <c r="N102" i="11"/>
  <c r="N305" i="11"/>
  <c r="N306" i="11"/>
  <c r="N69" i="11"/>
  <c r="N297" i="11"/>
  <c r="N177" i="11"/>
  <c r="N211" i="11"/>
  <c r="N290" i="11"/>
  <c r="N158" i="11"/>
  <c r="N135" i="11"/>
  <c r="N272" i="11"/>
  <c r="N103" i="11"/>
  <c r="N326" i="11"/>
  <c r="N273" i="11"/>
  <c r="N195" i="11"/>
  <c r="N179" i="11"/>
  <c r="N182" i="11"/>
  <c r="N314" i="11"/>
  <c r="N265" i="11"/>
  <c r="N254" i="11"/>
  <c r="N266" i="11"/>
  <c r="N267" i="11"/>
  <c r="N288" i="11"/>
  <c r="N325" i="11"/>
  <c r="N207" i="11"/>
  <c r="N293" i="11"/>
  <c r="N75" i="11"/>
  <c r="N49" i="11"/>
  <c r="N333" i="11"/>
  <c r="N25" i="11"/>
  <c r="N63" i="11"/>
  <c r="N137" i="11"/>
  <c r="N296" i="11"/>
  <c r="N155" i="11"/>
  <c r="N268" i="11"/>
  <c r="N71" i="11"/>
  <c r="N138" i="11"/>
  <c r="N286" i="11"/>
  <c r="N112" i="11"/>
  <c r="N67" i="11"/>
  <c r="N44" i="11"/>
  <c r="N45" i="11"/>
  <c r="N189" i="11"/>
  <c r="N275" i="11"/>
  <c r="N76" i="11"/>
  <c r="N82" i="11"/>
  <c r="N279" i="11"/>
  <c r="N174" i="11"/>
  <c r="N123" i="11"/>
  <c r="N261" i="11"/>
  <c r="N94" i="11"/>
  <c r="N13" i="11"/>
  <c r="N14" i="11"/>
  <c r="N86" i="11"/>
  <c r="N200" i="11"/>
  <c r="N133" i="11"/>
  <c r="N252" i="11"/>
  <c r="N3" i="11"/>
  <c r="N198" i="11"/>
  <c r="N87" i="11"/>
  <c r="N88" i="11"/>
  <c r="N89" i="11"/>
  <c r="N109" i="11"/>
  <c r="N7" i="11"/>
  <c r="N340" i="11"/>
  <c r="N249" i="11"/>
  <c r="N151" i="11"/>
  <c r="N23" i="11"/>
  <c r="N315" i="11"/>
  <c r="N61" i="11"/>
  <c r="N197" i="11"/>
  <c r="N11" i="11"/>
  <c r="N150" i="11"/>
  <c r="N210" i="11"/>
  <c r="N312" i="11"/>
  <c r="N126" i="11"/>
  <c r="N148" i="11"/>
  <c r="N251" i="11"/>
  <c r="N53" i="11"/>
  <c r="N248" i="11"/>
  <c r="N209" i="11"/>
  <c r="N262" i="11"/>
  <c r="N194" i="11"/>
  <c r="N227" i="11"/>
  <c r="N228" i="11"/>
  <c r="N229" i="11"/>
  <c r="N90" i="11"/>
  <c r="N219" i="11"/>
  <c r="N62" i="11"/>
  <c r="N307" i="11"/>
  <c r="N308" i="11"/>
  <c r="N51" i="11"/>
  <c r="N121" i="11"/>
  <c r="N77" i="11"/>
  <c r="N295" i="11"/>
  <c r="N259" i="11"/>
  <c r="N120" i="11"/>
  <c r="N26" i="11"/>
  <c r="N78" i="11"/>
  <c r="N301" i="11"/>
  <c r="N178" i="11"/>
  <c r="N216" i="11"/>
  <c r="N217" i="11"/>
  <c r="N164" i="11"/>
  <c r="N289" i="11"/>
  <c r="N199" i="11"/>
  <c r="N278" i="11"/>
  <c r="N15" i="11"/>
  <c r="N185" i="11"/>
  <c r="N115" i="11"/>
  <c r="N134" i="11"/>
  <c r="N226" i="11"/>
  <c r="N320" i="11"/>
  <c r="N183" i="11"/>
  <c r="N81" i="11"/>
  <c r="N146" i="11"/>
  <c r="N277" i="11"/>
  <c r="N73" i="11"/>
  <c r="N162" i="11"/>
  <c r="N132" i="11"/>
  <c r="N321" i="11"/>
  <c r="N322" i="11"/>
  <c r="N79" i="11"/>
  <c r="N156" i="11"/>
  <c r="N255" i="11"/>
  <c r="N20" i="11"/>
  <c r="N40" i="11"/>
  <c r="N17" i="11"/>
  <c r="N253" i="11"/>
  <c r="N39" i="11"/>
  <c r="N16" i="11"/>
  <c r="N110" i="11"/>
  <c r="N184" i="11"/>
  <c r="N299" i="11"/>
  <c r="N140" i="11"/>
  <c r="N74" i="11"/>
  <c r="N208" i="11"/>
  <c r="N128" i="11"/>
  <c r="N124" i="11"/>
  <c r="N292" i="11"/>
  <c r="N294" i="11"/>
  <c r="N311" i="11"/>
  <c r="N54" i="11"/>
  <c r="N50" i="11"/>
  <c r="N91" i="11"/>
  <c r="N196" i="11"/>
  <c r="N95" i="11"/>
  <c r="N96" i="11"/>
  <c r="N41" i="11"/>
  <c r="N298" i="11"/>
  <c r="N9" i="11"/>
  <c r="N309" i="11"/>
  <c r="N336" i="11"/>
  <c r="N47" i="11"/>
  <c r="N48" i="11"/>
  <c r="N101" i="11"/>
  <c r="N57" i="11"/>
  <c r="N264" i="11"/>
  <c r="N316" i="11"/>
  <c r="N169" i="11"/>
  <c r="N59" i="11"/>
  <c r="N70" i="11"/>
  <c r="N19" i="11"/>
  <c r="N160" i="11"/>
  <c r="N170" i="11"/>
  <c r="N171" i="11"/>
  <c r="N163" i="11"/>
  <c r="N46" i="11"/>
  <c r="N202" i="11"/>
  <c r="N159" i="11"/>
  <c r="N220" i="11"/>
  <c r="N42" i="11"/>
  <c r="N98" i="11"/>
  <c r="N99" i="11"/>
  <c r="N97" i="11"/>
  <c r="N106" i="11"/>
  <c r="N188" i="11"/>
  <c r="N276" i="11"/>
  <c r="N141" i="11"/>
  <c r="N300" i="11"/>
  <c r="N190" i="11"/>
  <c r="N283" i="11"/>
  <c r="N105" i="11"/>
  <c r="N114" i="11"/>
  <c r="N6" i="11"/>
  <c r="N339" i="11"/>
  <c r="N201" i="11"/>
  <c r="N5" i="11"/>
  <c r="N274" i="11"/>
  <c r="N206" i="11"/>
  <c r="N37" i="11"/>
  <c r="N180" i="11"/>
  <c r="N24" i="11"/>
  <c r="N119" i="11"/>
  <c r="N193" i="11"/>
  <c r="N232" i="11"/>
  <c r="N236" i="11"/>
  <c r="N231" i="11"/>
  <c r="N285" i="11"/>
  <c r="N337" i="11"/>
  <c r="N186" i="11"/>
  <c r="N104" i="11"/>
  <c r="N187" i="11"/>
  <c r="N233" i="11"/>
  <c r="N116" i="11"/>
  <c r="N117" i="11"/>
  <c r="N118" i="11"/>
  <c r="N139" i="11"/>
  <c r="N310" i="11"/>
  <c r="N58" i="11"/>
  <c r="N230" i="11"/>
  <c r="N319" i="11"/>
  <c r="N205" i="11"/>
  <c r="N247" i="11"/>
  <c r="N334" i="11"/>
  <c r="N22" i="11"/>
  <c r="N175" i="11"/>
  <c r="N176" i="11"/>
  <c r="N172" i="11"/>
  <c r="N107" i="11"/>
  <c r="N108" i="11"/>
  <c r="N221" i="11"/>
  <c r="N244" i="11"/>
  <c r="N245" i="11"/>
  <c r="N10" i="11"/>
  <c r="N65" i="11"/>
  <c r="N145" i="11"/>
  <c r="N246" i="11"/>
  <c r="N12" i="11"/>
  <c r="N287" i="11"/>
  <c r="N330" i="11"/>
  <c r="N318" i="11"/>
  <c r="N64" i="11"/>
  <c r="N31" i="11"/>
  <c r="N2" i="11"/>
  <c r="N92" i="11"/>
  <c r="N166" i="11"/>
  <c r="N167" i="11"/>
  <c r="N323" i="11"/>
  <c r="N18" i="11"/>
  <c r="N335" i="11"/>
  <c r="N32" i="11"/>
  <c r="N165" i="11"/>
  <c r="N250" i="11"/>
  <c r="N125" i="11"/>
  <c r="N263" i="11"/>
  <c r="N225" i="11"/>
  <c r="N4" i="11"/>
  <c r="N282" i="11"/>
  <c r="N271" i="11"/>
  <c r="N136" i="11"/>
  <c r="N129" i="11"/>
  <c r="N130" i="11"/>
  <c r="N131" i="11"/>
  <c r="N303" i="11"/>
  <c r="N284" i="11"/>
  <c r="N34" i="11"/>
  <c r="N222" i="11"/>
  <c r="N223" i="11"/>
  <c r="N224" i="11"/>
  <c r="N72" i="11"/>
  <c r="N66" i="11"/>
  <c r="N192" i="11"/>
  <c r="N29" i="11"/>
  <c r="N147" i="11"/>
  <c r="N38" i="11"/>
  <c r="N152" i="11"/>
  <c r="N153" i="11"/>
  <c r="N154" i="11"/>
  <c r="N28" i="11"/>
  <c r="N215" i="11"/>
  <c r="N280" i="11"/>
  <c r="N157" i="11"/>
  <c r="N93" i="11"/>
  <c r="N218" i="11"/>
  <c r="N127" i="11"/>
  <c r="N149" i="11"/>
  <c r="N332" i="11"/>
  <c r="N256" i="11"/>
  <c r="N257" i="11"/>
  <c r="N258" i="11"/>
  <c r="N55" i="11"/>
  <c r="N30" i="11"/>
  <c r="N212" i="11"/>
  <c r="N213" i="11"/>
  <c r="N214" i="11"/>
  <c r="N243" i="11"/>
  <c r="N100" i="11"/>
  <c r="N27" i="11"/>
  <c r="N8" i="11"/>
  <c r="N33" i="11"/>
  <c r="N181" i="11"/>
  <c r="N313" i="11"/>
  <c r="N234" i="11"/>
  <c r="N43" i="11"/>
  <c r="N304" i="11"/>
  <c r="N52" i="11"/>
  <c r="N111" i="11"/>
  <c r="N191" i="11"/>
  <c r="N260" i="11"/>
  <c r="N80" i="11"/>
  <c r="N56" i="11"/>
  <c r="N35" i="11"/>
  <c r="N168" i="11"/>
  <c r="N324" i="11"/>
  <c r="N240" i="11"/>
  <c r="N241" i="11"/>
  <c r="N242" i="11"/>
  <c r="N317" i="11"/>
  <c r="N173" i="11"/>
  <c r="N331" i="11"/>
  <c r="N161" i="11"/>
  <c r="N122" i="11"/>
  <c r="N60" i="11"/>
  <c r="N21" i="11"/>
  <c r="N302" i="11"/>
  <c r="N281" i="11"/>
  <c r="N235" i="11"/>
  <c r="N291" i="11"/>
  <c r="N143" i="11"/>
  <c r="N144" i="11"/>
  <c r="N142" i="11"/>
  <c r="N68" i="11"/>
  <c r="N83" i="11"/>
  <c r="N84" i="11"/>
  <c r="N85" i="11"/>
  <c r="N327" i="11"/>
  <c r="N328" i="11"/>
  <c r="N36" i="11"/>
  <c r="N329" i="11"/>
  <c r="N113" i="11"/>
  <c r="N237" i="11"/>
  <c r="N238" i="11"/>
  <c r="N239" i="11"/>
  <c r="N2" i="10"/>
  <c r="N3" i="10"/>
  <c r="N4" i="10"/>
  <c r="N5" i="10"/>
  <c r="N6" i="10"/>
  <c r="N7" i="10"/>
  <c r="N8" i="10"/>
  <c r="N9" i="10"/>
  <c r="N10" i="10"/>
  <c r="N11" i="10"/>
  <c r="N12" i="10"/>
  <c r="N13" i="10"/>
  <c r="N14" i="10"/>
  <c r="N15" i="10"/>
  <c r="N16" i="10"/>
  <c r="N17" i="10"/>
  <c r="N18" i="10"/>
  <c r="N19" i="10"/>
  <c r="N20" i="10"/>
  <c r="N21" i="10"/>
  <c r="N22" i="10"/>
  <c r="N23" i="10"/>
  <c r="N24" i="10"/>
  <c r="N25" i="10"/>
  <c r="N26" i="10"/>
  <c r="N27" i="10"/>
  <c r="N28" i="10"/>
  <c r="N29" i="10"/>
  <c r="N30" i="10"/>
  <c r="N31" i="10"/>
  <c r="N32" i="10"/>
  <c r="N33" i="10"/>
  <c r="N34" i="10"/>
  <c r="N35" i="10"/>
  <c r="N36" i="10"/>
  <c r="N37" i="10"/>
  <c r="N38" i="10"/>
  <c r="N39" i="10"/>
  <c r="N40" i="10"/>
  <c r="N41" i="10"/>
  <c r="N42" i="10"/>
  <c r="N43" i="10"/>
  <c r="N44" i="10"/>
  <c r="N45" i="10"/>
  <c r="N46" i="10"/>
  <c r="N47" i="10"/>
  <c r="N48" i="10"/>
  <c r="N49" i="10"/>
  <c r="N50" i="10"/>
  <c r="N51" i="10"/>
  <c r="N52" i="10"/>
  <c r="N53" i="10"/>
  <c r="N54" i="10"/>
  <c r="N55" i="10"/>
  <c r="N56" i="10"/>
  <c r="N57" i="10"/>
  <c r="N58" i="10"/>
  <c r="N59" i="10"/>
  <c r="N60" i="10"/>
  <c r="N61" i="10"/>
  <c r="N62" i="10"/>
  <c r="N63" i="10"/>
  <c r="N64" i="10"/>
  <c r="N65" i="10"/>
  <c r="N66" i="10"/>
  <c r="N67" i="10"/>
  <c r="N68" i="10"/>
  <c r="N69" i="10"/>
  <c r="N70" i="10"/>
  <c r="N71" i="10"/>
  <c r="N72" i="10"/>
  <c r="N73" i="10"/>
  <c r="N74" i="10"/>
  <c r="N75" i="10"/>
  <c r="N76" i="10"/>
  <c r="N77" i="10"/>
  <c r="N78" i="10"/>
  <c r="N79" i="10"/>
  <c r="N80" i="10"/>
  <c r="N81" i="10"/>
  <c r="N82" i="10"/>
  <c r="N83" i="10"/>
  <c r="N84" i="10"/>
  <c r="N85" i="10"/>
  <c r="N86" i="10"/>
  <c r="N87" i="10"/>
  <c r="N88" i="10"/>
  <c r="N89" i="10"/>
  <c r="N90" i="10"/>
  <c r="N91" i="10"/>
  <c r="N92" i="10"/>
  <c r="N93" i="10"/>
  <c r="N94" i="10"/>
  <c r="N95" i="10"/>
  <c r="N96" i="10"/>
  <c r="N97" i="10"/>
  <c r="N98" i="10"/>
  <c r="N99" i="10"/>
  <c r="N100" i="10"/>
  <c r="N101" i="10"/>
  <c r="N102" i="10"/>
  <c r="N103" i="10"/>
  <c r="N104" i="10"/>
  <c r="N105" i="10"/>
  <c r="N106" i="10"/>
  <c r="N107" i="10"/>
  <c r="N108" i="10"/>
  <c r="N109" i="10"/>
  <c r="N110" i="10"/>
  <c r="N111" i="10"/>
  <c r="N112" i="10"/>
  <c r="N113" i="10"/>
  <c r="N114" i="10"/>
  <c r="N115" i="10"/>
  <c r="N116" i="10"/>
  <c r="N117" i="10"/>
  <c r="N118" i="10"/>
  <c r="N119" i="10"/>
  <c r="N120" i="10"/>
  <c r="N121" i="10"/>
  <c r="N122" i="10"/>
  <c r="N123" i="10"/>
  <c r="N124" i="10"/>
  <c r="N125" i="10"/>
  <c r="N126" i="10"/>
  <c r="N127" i="10"/>
  <c r="N128" i="10"/>
  <c r="N129" i="10"/>
  <c r="N130" i="10"/>
  <c r="N131" i="10"/>
  <c r="N132" i="10"/>
  <c r="N133" i="10"/>
  <c r="N134" i="10"/>
  <c r="N135" i="10"/>
  <c r="N136" i="10"/>
  <c r="N137" i="10"/>
  <c r="N138" i="10"/>
  <c r="N139" i="10"/>
  <c r="N140" i="10"/>
  <c r="N141" i="10"/>
  <c r="N142" i="10"/>
  <c r="N143" i="10"/>
  <c r="N144" i="10"/>
  <c r="N145" i="10"/>
  <c r="N146" i="10"/>
  <c r="N147" i="10"/>
  <c r="N148" i="10"/>
  <c r="N149" i="10"/>
  <c r="N150" i="10"/>
  <c r="N151" i="10"/>
  <c r="N152" i="10"/>
  <c r="N153" i="10"/>
  <c r="N154" i="10"/>
  <c r="N155" i="10"/>
  <c r="N156" i="10"/>
  <c r="N157" i="10"/>
  <c r="N158" i="10"/>
  <c r="N159" i="10"/>
  <c r="N160" i="10"/>
  <c r="N161" i="10"/>
  <c r="N162" i="10"/>
  <c r="N163" i="10"/>
  <c r="N164" i="10"/>
  <c r="N165" i="10"/>
  <c r="N166" i="10"/>
  <c r="N167" i="10"/>
  <c r="N168" i="10"/>
  <c r="N169" i="10"/>
  <c r="N170" i="10"/>
  <c r="N171" i="10"/>
  <c r="N172" i="10"/>
  <c r="N173" i="10"/>
  <c r="N174" i="10"/>
  <c r="N175" i="10"/>
  <c r="N176" i="10"/>
  <c r="N177" i="10"/>
  <c r="N178" i="10"/>
  <c r="N179" i="10"/>
  <c r="N180" i="10"/>
  <c r="N181" i="10"/>
  <c r="N182" i="10"/>
  <c r="N183" i="10"/>
  <c r="N184" i="10"/>
  <c r="N185" i="10"/>
  <c r="N186" i="10"/>
  <c r="N187" i="10"/>
  <c r="N188" i="10"/>
  <c r="N189" i="10"/>
  <c r="N190" i="10"/>
  <c r="N191" i="10"/>
  <c r="N192" i="10"/>
  <c r="N193" i="10"/>
  <c r="N194" i="10"/>
  <c r="N195" i="10"/>
  <c r="N196" i="10"/>
  <c r="N197" i="10"/>
  <c r="N198" i="10"/>
  <c r="N199" i="10"/>
  <c r="N200" i="10"/>
  <c r="N201" i="10"/>
  <c r="N202" i="10"/>
  <c r="N203" i="10"/>
  <c r="N204" i="10"/>
  <c r="N205" i="10"/>
  <c r="N206" i="10"/>
  <c r="N207" i="10"/>
  <c r="N208" i="10"/>
  <c r="N209" i="10"/>
  <c r="N210" i="10"/>
  <c r="N211" i="10"/>
  <c r="N212" i="10"/>
  <c r="N213" i="10"/>
  <c r="N214" i="10"/>
  <c r="N215" i="10"/>
  <c r="N216" i="10"/>
  <c r="N217" i="10"/>
  <c r="N218" i="10"/>
  <c r="N219" i="10"/>
  <c r="N220" i="10"/>
  <c r="N221" i="10"/>
  <c r="N222" i="10"/>
  <c r="N223" i="10"/>
  <c r="N224" i="10"/>
  <c r="N225" i="10"/>
  <c r="N226" i="10"/>
  <c r="N227" i="10"/>
  <c r="N228" i="10"/>
  <c r="N229" i="10"/>
  <c r="N230" i="10"/>
  <c r="N231" i="10"/>
  <c r="N232" i="10"/>
  <c r="N233" i="10"/>
  <c r="N234" i="10"/>
  <c r="N235" i="10"/>
  <c r="N236" i="10"/>
  <c r="N237" i="10"/>
  <c r="N238" i="10"/>
  <c r="N239" i="10"/>
  <c r="N240" i="10"/>
  <c r="N241" i="10"/>
  <c r="N242" i="10"/>
  <c r="N243" i="10"/>
  <c r="N244" i="10"/>
  <c r="N245" i="10"/>
  <c r="N246" i="10"/>
  <c r="N247" i="10"/>
  <c r="N248" i="10"/>
  <c r="N249" i="10"/>
  <c r="N250" i="10"/>
  <c r="N251" i="10"/>
  <c r="N252" i="10"/>
  <c r="N253" i="10"/>
  <c r="N254" i="10"/>
  <c r="N255" i="10"/>
  <c r="N256" i="10"/>
  <c r="N257" i="10"/>
  <c r="N258" i="10"/>
  <c r="N259" i="10"/>
  <c r="N260" i="10"/>
  <c r="N261" i="10"/>
  <c r="N262" i="10"/>
  <c r="N263" i="10"/>
  <c r="N264" i="10"/>
  <c r="N265" i="10"/>
  <c r="N266" i="10"/>
  <c r="N267" i="10"/>
  <c r="N268" i="10"/>
  <c r="N269" i="10"/>
  <c r="N270" i="10"/>
  <c r="N271" i="10"/>
  <c r="N272" i="10"/>
  <c r="N273" i="10"/>
  <c r="N274" i="10"/>
  <c r="N275" i="10"/>
  <c r="N276" i="10"/>
  <c r="N277" i="10"/>
  <c r="N278" i="10"/>
  <c r="N279" i="10"/>
  <c r="N280" i="10"/>
  <c r="N281" i="10"/>
  <c r="N282" i="10"/>
  <c r="N283" i="10"/>
  <c r="N284" i="10"/>
  <c r="N285" i="10"/>
  <c r="N286" i="10"/>
  <c r="N287" i="10"/>
  <c r="N288" i="10"/>
  <c r="N289" i="10"/>
  <c r="N290" i="10"/>
  <c r="N291" i="10"/>
  <c r="N292" i="10"/>
  <c r="N293" i="10"/>
  <c r="N294" i="10"/>
  <c r="N295" i="10"/>
  <c r="N296" i="10"/>
  <c r="N297" i="10"/>
  <c r="N298" i="10"/>
  <c r="N299" i="10"/>
  <c r="N300" i="10"/>
  <c r="N301" i="10"/>
  <c r="N302" i="10"/>
  <c r="N303" i="10"/>
  <c r="N304" i="10"/>
  <c r="N305" i="10"/>
  <c r="N306" i="10"/>
  <c r="N307" i="10"/>
  <c r="N308" i="10"/>
  <c r="N309" i="10"/>
  <c r="N310" i="10"/>
  <c r="N311" i="10"/>
  <c r="N312" i="10"/>
  <c r="N313" i="10"/>
  <c r="N314" i="10"/>
  <c r="N315" i="10"/>
  <c r="N316" i="10"/>
  <c r="N317" i="10"/>
  <c r="N318" i="10"/>
  <c r="N319" i="10"/>
  <c r="N320" i="10"/>
  <c r="N321" i="10"/>
  <c r="N322" i="10"/>
  <c r="N323" i="10"/>
  <c r="N324" i="10"/>
  <c r="N325" i="10"/>
  <c r="N326" i="10"/>
  <c r="N327" i="10"/>
  <c r="N328" i="10"/>
  <c r="N329" i="10"/>
  <c r="N330" i="10"/>
  <c r="N331" i="10"/>
  <c r="N332" i="10"/>
  <c r="N333" i="10"/>
  <c r="N334" i="10"/>
  <c r="N335" i="10"/>
  <c r="N336" i="10"/>
  <c r="N337" i="10"/>
  <c r="N338" i="10"/>
  <c r="N339" i="10"/>
  <c r="N340" i="10"/>
  <c r="H2" i="4"/>
  <c r="H3" i="4"/>
  <c r="H4" i="4"/>
  <c r="H5" i="4"/>
  <c r="I6" i="4" s="1"/>
  <c r="H6" i="4"/>
  <c r="H7" i="4"/>
  <c r="H8" i="4"/>
  <c r="I8" i="4" s="1"/>
  <c r="H9" i="4"/>
  <c r="I10" i="4" s="1"/>
  <c r="H10" i="4"/>
  <c r="H11" i="4"/>
  <c r="H12" i="4"/>
  <c r="H13" i="4"/>
  <c r="I14" i="4" s="1"/>
  <c r="H14" i="4"/>
  <c r="H15" i="4"/>
  <c r="H16" i="4"/>
  <c r="I16" i="4" s="1"/>
  <c r="H17" i="4"/>
  <c r="I18" i="4" s="1"/>
  <c r="H18" i="4"/>
  <c r="H19" i="4"/>
  <c r="H20" i="4"/>
  <c r="I20" i="4" s="1"/>
  <c r="H21" i="4"/>
  <c r="I22" i="4" s="1"/>
  <c r="H22" i="4"/>
  <c r="H23" i="4"/>
  <c r="H24" i="4"/>
  <c r="H25" i="4"/>
  <c r="I26" i="4" s="1"/>
  <c r="H26" i="4"/>
  <c r="H27" i="4"/>
  <c r="H28" i="4"/>
  <c r="I28" i="4" s="1"/>
  <c r="H29" i="4"/>
  <c r="I30" i="4" s="1"/>
  <c r="H30" i="4"/>
  <c r="H31" i="4"/>
  <c r="H32" i="4"/>
  <c r="H33" i="4"/>
  <c r="I34" i="4" s="1"/>
  <c r="H34" i="4"/>
  <c r="H35" i="4"/>
  <c r="H36" i="4"/>
  <c r="I36" i="4" s="1"/>
  <c r="H37" i="4"/>
  <c r="I38" i="4" s="1"/>
  <c r="H38" i="4"/>
  <c r="H39" i="4"/>
  <c r="H40" i="4"/>
  <c r="I40" i="4" s="1"/>
  <c r="H41" i="4"/>
  <c r="I42" i="4" s="1"/>
  <c r="H42" i="4"/>
  <c r="H43" i="4"/>
  <c r="H44" i="4"/>
  <c r="I44" i="4" s="1"/>
  <c r="H45" i="4"/>
  <c r="I46" i="4" s="1"/>
  <c r="H46" i="4"/>
  <c r="H47" i="4"/>
  <c r="H48" i="4"/>
  <c r="I48" i="4" s="1"/>
  <c r="H49" i="4"/>
  <c r="I50" i="4" s="1"/>
  <c r="H50" i="4"/>
  <c r="H51" i="4"/>
  <c r="H52" i="4"/>
  <c r="I52" i="4" s="1"/>
  <c r="H53" i="4"/>
  <c r="I54" i="4" s="1"/>
  <c r="H54" i="4"/>
  <c r="H55" i="4"/>
  <c r="H56" i="4"/>
  <c r="I56" i="4" s="1"/>
  <c r="H57" i="4"/>
  <c r="I58" i="4" s="1"/>
  <c r="H58" i="4"/>
  <c r="H59" i="4"/>
  <c r="H60" i="4"/>
  <c r="I60" i="4" s="1"/>
  <c r="H61" i="4"/>
  <c r="I62" i="4" s="1"/>
  <c r="H62" i="4"/>
  <c r="H63" i="4"/>
  <c r="H64" i="4"/>
  <c r="I64" i="4" s="1"/>
  <c r="H65" i="4"/>
  <c r="I66" i="4" s="1"/>
  <c r="H66" i="4"/>
  <c r="H67" i="4"/>
  <c r="H68" i="4"/>
  <c r="H69" i="4"/>
  <c r="I70" i="4" s="1"/>
  <c r="H70" i="4"/>
  <c r="H71" i="4"/>
  <c r="H72" i="4"/>
  <c r="I72" i="4" s="1"/>
  <c r="H73" i="4"/>
  <c r="I74" i="4" s="1"/>
  <c r="H74" i="4"/>
  <c r="H75" i="4"/>
  <c r="H76" i="4"/>
  <c r="H77" i="4"/>
  <c r="I78" i="4" s="1"/>
  <c r="H78" i="4"/>
  <c r="H79" i="4"/>
  <c r="H80" i="4"/>
  <c r="I80" i="4" s="1"/>
  <c r="H81" i="4"/>
  <c r="I82" i="4" s="1"/>
  <c r="H82" i="4"/>
  <c r="H83" i="4"/>
  <c r="H84" i="4"/>
  <c r="H85" i="4"/>
  <c r="I86" i="4" s="1"/>
  <c r="H86" i="4"/>
  <c r="H87" i="4"/>
  <c r="H88" i="4"/>
  <c r="I88" i="4" s="1"/>
  <c r="H89" i="4"/>
  <c r="I90" i="4" s="1"/>
  <c r="H90" i="4"/>
  <c r="H91" i="4"/>
  <c r="H92" i="4"/>
  <c r="I92" i="4" s="1"/>
  <c r="H93" i="4"/>
  <c r="I94" i="4" s="1"/>
  <c r="H94" i="4"/>
  <c r="H95" i="4"/>
  <c r="H96" i="4"/>
  <c r="H97" i="4"/>
  <c r="I98" i="4" s="1"/>
  <c r="H98" i="4"/>
  <c r="H99" i="4"/>
  <c r="H100" i="4"/>
  <c r="I100" i="4" s="1"/>
  <c r="H101" i="4"/>
  <c r="I102" i="4" s="1"/>
  <c r="H102" i="4"/>
  <c r="H103" i="4"/>
  <c r="H104" i="4"/>
  <c r="H105" i="4"/>
  <c r="I106" i="4" s="1"/>
  <c r="H106" i="4"/>
  <c r="H107" i="4"/>
  <c r="H108" i="4"/>
  <c r="I108" i="4" s="1"/>
  <c r="H109" i="4"/>
  <c r="I110" i="4" s="1"/>
  <c r="H110" i="4"/>
  <c r="H111" i="4"/>
  <c r="H112" i="4"/>
  <c r="I112" i="4" s="1"/>
  <c r="H113" i="4"/>
  <c r="I114" i="4" s="1"/>
  <c r="H114" i="4"/>
  <c r="H115" i="4"/>
  <c r="H116" i="4"/>
  <c r="I116" i="4" s="1"/>
  <c r="H117" i="4"/>
  <c r="I118" i="4" s="1"/>
  <c r="H118" i="4"/>
  <c r="H119" i="4"/>
  <c r="H120" i="4"/>
  <c r="I120" i="4" s="1"/>
  <c r="H121" i="4"/>
  <c r="I122" i="4" s="1"/>
  <c r="H122" i="4"/>
  <c r="H123" i="4"/>
  <c r="H124" i="4"/>
  <c r="I124" i="4" s="1"/>
  <c r="H125" i="4"/>
  <c r="I126" i="4" s="1"/>
  <c r="H126" i="4"/>
  <c r="H127" i="4"/>
  <c r="H128" i="4"/>
  <c r="I128" i="4" s="1"/>
  <c r="H129" i="4"/>
  <c r="I130" i="4" s="1"/>
  <c r="H130" i="4"/>
  <c r="H131" i="4"/>
  <c r="H132" i="4"/>
  <c r="I132" i="4" s="1"/>
  <c r="H133" i="4"/>
  <c r="I134" i="4" s="1"/>
  <c r="H134" i="4"/>
  <c r="H135" i="4"/>
  <c r="H136" i="4"/>
  <c r="I136" i="4" s="1"/>
  <c r="H137" i="4"/>
  <c r="I138" i="4" s="1"/>
  <c r="H138" i="4"/>
  <c r="H139" i="4"/>
  <c r="H140" i="4"/>
  <c r="I140" i="4" s="1"/>
  <c r="H141" i="4"/>
  <c r="I142" i="4" s="1"/>
  <c r="H142" i="4"/>
  <c r="H143" i="4"/>
  <c r="H144" i="4"/>
  <c r="I144" i="4" s="1"/>
  <c r="H145" i="4"/>
  <c r="I146" i="4" s="1"/>
  <c r="H146" i="4"/>
  <c r="H147" i="4"/>
  <c r="H148" i="4"/>
  <c r="H149" i="4"/>
  <c r="I150" i="4" s="1"/>
  <c r="H150" i="4"/>
  <c r="H151" i="4"/>
  <c r="H152" i="4"/>
  <c r="I152" i="4" s="1"/>
  <c r="H153" i="4"/>
  <c r="I154" i="4" s="1"/>
  <c r="H154" i="4"/>
  <c r="H155" i="4"/>
  <c r="H156" i="4"/>
  <c r="I156" i="4" s="1"/>
  <c r="H157" i="4"/>
  <c r="I158" i="4" s="1"/>
  <c r="H158" i="4"/>
  <c r="H159" i="4"/>
  <c r="H160" i="4"/>
  <c r="I160" i="4" s="1"/>
  <c r="H161" i="4"/>
  <c r="I162" i="4" s="1"/>
  <c r="H162" i="4"/>
  <c r="H163" i="4"/>
  <c r="H164" i="4"/>
  <c r="I164" i="4" s="1"/>
  <c r="H165" i="4"/>
  <c r="I166" i="4" s="1"/>
  <c r="H166" i="4"/>
  <c r="H167" i="4"/>
  <c r="H168" i="4"/>
  <c r="H169" i="4"/>
  <c r="I170" i="4" s="1"/>
  <c r="H170" i="4"/>
  <c r="H171" i="4"/>
  <c r="H172" i="4"/>
  <c r="I172" i="4" s="1"/>
  <c r="H173" i="4"/>
  <c r="I174" i="4" s="1"/>
  <c r="H174" i="4"/>
  <c r="H175" i="4"/>
  <c r="H176" i="4"/>
  <c r="H177" i="4"/>
  <c r="I178" i="4" s="1"/>
  <c r="H178" i="4"/>
  <c r="H179" i="4"/>
  <c r="H180" i="4"/>
  <c r="I180" i="4" s="1"/>
  <c r="H181" i="4"/>
  <c r="I182" i="4" s="1"/>
  <c r="H182" i="4"/>
  <c r="H183" i="4"/>
  <c r="H184" i="4"/>
  <c r="I184" i="4" s="1"/>
  <c r="H185" i="4"/>
  <c r="I186" i="4" s="1"/>
  <c r="H186" i="4"/>
  <c r="H187" i="4"/>
  <c r="H188" i="4"/>
  <c r="H189" i="4"/>
  <c r="I190" i="4" s="1"/>
  <c r="H190" i="4"/>
  <c r="H191" i="4"/>
  <c r="H192" i="4"/>
  <c r="I192" i="4" s="1"/>
  <c r="H193" i="4"/>
  <c r="I194" i="4" s="1"/>
  <c r="H194" i="4"/>
  <c r="H195" i="4"/>
  <c r="H196" i="4"/>
  <c r="I196" i="4" s="1"/>
  <c r="H197" i="4"/>
  <c r="I198" i="4" s="1"/>
  <c r="H198" i="4"/>
  <c r="H199" i="4"/>
  <c r="H200" i="4"/>
  <c r="I200" i="4" s="1"/>
  <c r="H201" i="4"/>
  <c r="I201" i="4" s="1"/>
  <c r="I2" i="4"/>
  <c r="I3" i="4"/>
  <c r="I4" i="4"/>
  <c r="I5" i="4"/>
  <c r="I7" i="4"/>
  <c r="I11" i="4"/>
  <c r="I12" i="4"/>
  <c r="I15" i="4"/>
  <c r="I19" i="4"/>
  <c r="I23" i="4"/>
  <c r="I24" i="4"/>
  <c r="I27" i="4"/>
  <c r="I31" i="4"/>
  <c r="I32" i="4"/>
  <c r="I35" i="4"/>
  <c r="I39" i="4"/>
  <c r="I43" i="4"/>
  <c r="I47" i="4"/>
  <c r="I51" i="4"/>
  <c r="I55" i="4"/>
  <c r="I59" i="4"/>
  <c r="I63" i="4"/>
  <c r="I67" i="4"/>
  <c r="I68" i="4"/>
  <c r="I71" i="4"/>
  <c r="I75" i="4"/>
  <c r="I76" i="4"/>
  <c r="I79" i="4"/>
  <c r="I83" i="4"/>
  <c r="I84" i="4"/>
  <c r="I87" i="4"/>
  <c r="I91" i="4"/>
  <c r="I95" i="4"/>
  <c r="I96" i="4"/>
  <c r="I99" i="4"/>
  <c r="I103" i="4"/>
  <c r="I104" i="4"/>
  <c r="I107" i="4"/>
  <c r="I111" i="4"/>
  <c r="I115" i="4"/>
  <c r="I119" i="4"/>
  <c r="I123" i="4"/>
  <c r="I127" i="4"/>
  <c r="I131" i="4"/>
  <c r="I135" i="4"/>
  <c r="I139" i="4"/>
  <c r="I143" i="4"/>
  <c r="I147" i="4"/>
  <c r="I148" i="4"/>
  <c r="I151" i="4"/>
  <c r="I155" i="4"/>
  <c r="I159" i="4"/>
  <c r="I163" i="4"/>
  <c r="I167" i="4"/>
  <c r="I168" i="4"/>
  <c r="I171" i="4"/>
  <c r="I175" i="4"/>
  <c r="I176" i="4"/>
  <c r="I179" i="4"/>
  <c r="I183" i="4"/>
  <c r="I187" i="4"/>
  <c r="I188" i="4"/>
  <c r="I191" i="4"/>
  <c r="I195" i="4"/>
  <c r="I199" i="4"/>
  <c r="J2" i="4" a="1"/>
  <c r="J2" i="4" s="1"/>
  <c r="J3" i="4" a="1"/>
  <c r="J3" i="4" s="1"/>
  <c r="J4" i="4" a="1"/>
  <c r="J4" i="4" s="1"/>
  <c r="J5" i="4" a="1"/>
  <c r="J5" i="4" s="1"/>
  <c r="J6" i="4" a="1"/>
  <c r="J6" i="4" s="1"/>
  <c r="J7" i="4" a="1"/>
  <c r="J7" i="4" s="1"/>
  <c r="J8" i="4" a="1"/>
  <c r="J8" i="4" s="1"/>
  <c r="J9" i="4" a="1"/>
  <c r="J9" i="4" s="1"/>
  <c r="J10" i="4" a="1"/>
  <c r="J10" i="4" s="1"/>
  <c r="J11" i="4" a="1"/>
  <c r="J11" i="4" s="1"/>
  <c r="J12" i="4" a="1"/>
  <c r="J12" i="4" s="1"/>
  <c r="J13" i="4" a="1"/>
  <c r="J13" i="4" s="1"/>
  <c r="J14" i="4" a="1"/>
  <c r="J14" i="4" s="1"/>
  <c r="J15" i="4" a="1"/>
  <c r="J15" i="4"/>
  <c r="J16" i="4" a="1"/>
  <c r="J16" i="4" s="1"/>
  <c r="J17" i="4" a="1"/>
  <c r="J17" i="4" s="1"/>
  <c r="J18" i="4" a="1"/>
  <c r="J18" i="4" s="1"/>
  <c r="J19" i="4" a="1"/>
  <c r="J19" i="4" s="1"/>
  <c r="J20" i="4" a="1"/>
  <c r="J20" i="4" s="1"/>
  <c r="J21" i="4" a="1"/>
  <c r="J21" i="4" s="1"/>
  <c r="J22" i="4" a="1"/>
  <c r="J22" i="4" s="1"/>
  <c r="J23" i="4" a="1"/>
  <c r="J23" i="4" s="1"/>
  <c r="J24" i="4" a="1"/>
  <c r="J24" i="4" s="1"/>
  <c r="J25" i="4" a="1"/>
  <c r="J25" i="4"/>
  <c r="J26" i="4" a="1"/>
  <c r="J26" i="4" s="1"/>
  <c r="J27" i="4" a="1"/>
  <c r="J27" i="4" s="1"/>
  <c r="J28" i="4" a="1"/>
  <c r="J28" i="4" s="1"/>
  <c r="J29" i="4" a="1"/>
  <c r="J29" i="4" s="1"/>
  <c r="J30" i="4" a="1"/>
  <c r="J30" i="4" s="1"/>
  <c r="J31" i="4" a="1"/>
  <c r="J31" i="4"/>
  <c r="J32" i="4" a="1"/>
  <c r="J32" i="4" s="1"/>
  <c r="J33" i="4" a="1"/>
  <c r="J33" i="4" s="1"/>
  <c r="J34" i="4" a="1"/>
  <c r="J34" i="4" s="1"/>
  <c r="J35" i="4" a="1"/>
  <c r="J35" i="4" s="1"/>
  <c r="J36" i="4" a="1"/>
  <c r="J36" i="4" s="1"/>
  <c r="J37" i="4" a="1"/>
  <c r="J37" i="4" s="1"/>
  <c r="J38" i="4" a="1"/>
  <c r="J38" i="4" s="1"/>
  <c r="J39" i="4" a="1"/>
  <c r="J39" i="4"/>
  <c r="J40" i="4" a="1"/>
  <c r="J40" i="4" s="1"/>
  <c r="J41" i="4" a="1"/>
  <c r="J41" i="4" s="1"/>
  <c r="J42" i="4" a="1"/>
  <c r="J42" i="4" s="1"/>
  <c r="J43" i="4" a="1"/>
  <c r="J43" i="4" s="1"/>
  <c r="J44" i="4" a="1"/>
  <c r="J44" i="4" s="1"/>
  <c r="J45" i="4" a="1"/>
  <c r="J45" i="4" s="1"/>
  <c r="J46" i="4" a="1"/>
  <c r="J46" i="4" s="1"/>
  <c r="J47" i="4" a="1"/>
  <c r="J47" i="4" s="1"/>
  <c r="J48" i="4" a="1"/>
  <c r="J48" i="4" s="1"/>
  <c r="J49" i="4" a="1"/>
  <c r="J49" i="4"/>
  <c r="J50" i="4" a="1"/>
  <c r="J50" i="4" s="1"/>
  <c r="J51" i="4" a="1"/>
  <c r="J51" i="4" s="1"/>
  <c r="J52" i="4" a="1"/>
  <c r="J52" i="4" s="1"/>
  <c r="J53" i="4" a="1"/>
  <c r="J53" i="4" s="1"/>
  <c r="J54" i="4" a="1"/>
  <c r="J54" i="4" s="1"/>
  <c r="J55" i="4" a="1"/>
  <c r="J55" i="4"/>
  <c r="J56" i="4" a="1"/>
  <c r="J56" i="4" s="1"/>
  <c r="J57" i="4" a="1"/>
  <c r="J57" i="4" s="1"/>
  <c r="J58" i="4" a="1"/>
  <c r="J58" i="4" s="1"/>
  <c r="J59" i="4" a="1"/>
  <c r="J59" i="4" s="1"/>
  <c r="J60" i="4" a="1"/>
  <c r="J60" i="4" s="1"/>
  <c r="J61" i="4" a="1"/>
  <c r="J61" i="4" s="1"/>
  <c r="J62" i="4" a="1"/>
  <c r="J62" i="4" s="1"/>
  <c r="J63" i="4" a="1"/>
  <c r="J63" i="4"/>
  <c r="J64" i="4" a="1"/>
  <c r="J64" i="4" s="1"/>
  <c r="J65" i="4" a="1"/>
  <c r="J65" i="4" s="1"/>
  <c r="J66" i="4" a="1"/>
  <c r="J66" i="4" s="1"/>
  <c r="J67" i="4" a="1"/>
  <c r="J67" i="4" s="1"/>
  <c r="J68" i="4" a="1"/>
  <c r="J68" i="4" s="1"/>
  <c r="J69" i="4" a="1"/>
  <c r="J69" i="4" s="1"/>
  <c r="J70" i="4" a="1"/>
  <c r="J70" i="4" s="1"/>
  <c r="J71" i="4" a="1"/>
  <c r="J71" i="4" s="1"/>
  <c r="J72" i="4" a="1"/>
  <c r="J72" i="4" s="1"/>
  <c r="J73" i="4" a="1"/>
  <c r="J73" i="4" s="1"/>
  <c r="J74" i="4" a="1"/>
  <c r="J74" i="4" s="1"/>
  <c r="J75" i="4" a="1"/>
  <c r="J75" i="4" s="1"/>
  <c r="J76" i="4" a="1"/>
  <c r="J76" i="4" s="1"/>
  <c r="J77" i="4" a="1"/>
  <c r="J77" i="4" s="1"/>
  <c r="J78" i="4" a="1"/>
  <c r="J78" i="4" s="1"/>
  <c r="J79" i="4" a="1"/>
  <c r="J79" i="4" s="1"/>
  <c r="J80" i="4" a="1"/>
  <c r="J80" i="4" s="1"/>
  <c r="J81" i="4" a="1"/>
  <c r="J81" i="4" s="1"/>
  <c r="J82" i="4" a="1"/>
  <c r="J82" i="4" s="1"/>
  <c r="J83" i="4" a="1"/>
  <c r="J83" i="4" s="1"/>
  <c r="J84" i="4" a="1"/>
  <c r="J84" i="4" s="1"/>
  <c r="J85" i="4" a="1"/>
  <c r="J85" i="4" s="1"/>
  <c r="J86" i="4" a="1"/>
  <c r="J86" i="4" s="1"/>
  <c r="J87" i="4" a="1"/>
  <c r="J87" i="4"/>
  <c r="J88" i="4" a="1"/>
  <c r="J88" i="4" s="1"/>
  <c r="J89" i="4" a="1"/>
  <c r="J89" i="4" s="1"/>
  <c r="J90" i="4" a="1"/>
  <c r="J90" i="4" s="1"/>
  <c r="J91" i="4" a="1"/>
  <c r="J91" i="4" s="1"/>
  <c r="J92" i="4" a="1"/>
  <c r="J92" i="4" s="1"/>
  <c r="J93" i="4" a="1"/>
  <c r="J93" i="4" s="1"/>
  <c r="J94" i="4" a="1"/>
  <c r="J94" i="4" s="1"/>
  <c r="J95" i="4" a="1"/>
  <c r="J95" i="4" s="1"/>
  <c r="J96" i="4" a="1"/>
  <c r="J96" i="4" s="1"/>
  <c r="J97" i="4" a="1"/>
  <c r="J97" i="4" s="1"/>
  <c r="J98" i="4" a="1"/>
  <c r="J98" i="4" s="1"/>
  <c r="J99" i="4" a="1"/>
  <c r="J99" i="4" s="1"/>
  <c r="J100" i="4" a="1"/>
  <c r="J100" i="4" s="1"/>
  <c r="J101" i="4" a="1"/>
  <c r="J101" i="4" s="1"/>
  <c r="J102" i="4" a="1"/>
  <c r="J102" i="4" s="1"/>
  <c r="J103" i="4" a="1"/>
  <c r="J103" i="4"/>
  <c r="J104" i="4" a="1"/>
  <c r="J104" i="4" s="1"/>
  <c r="J105" i="4" a="1"/>
  <c r="J105" i="4" s="1"/>
  <c r="J106" i="4" a="1"/>
  <c r="J106" i="4" s="1"/>
  <c r="J107" i="4" a="1"/>
  <c r="J107" i="4" s="1"/>
  <c r="J108" i="4" a="1"/>
  <c r="J108" i="4" s="1"/>
  <c r="J109" i="4" a="1"/>
  <c r="J109" i="4" s="1"/>
  <c r="J110" i="4" a="1"/>
  <c r="J110" i="4" s="1"/>
  <c r="J111" i="4" a="1"/>
  <c r="J111" i="4"/>
  <c r="J112" i="4" a="1"/>
  <c r="J112" i="4" s="1"/>
  <c r="J113" i="4" a="1"/>
  <c r="J113" i="4" s="1"/>
  <c r="J114" i="4" a="1"/>
  <c r="J114" i="4" s="1"/>
  <c r="J115" i="4" a="1"/>
  <c r="J115" i="4" s="1"/>
  <c r="J116" i="4" a="1"/>
  <c r="J116" i="4" s="1"/>
  <c r="J117" i="4" a="1"/>
  <c r="J117" i="4" s="1"/>
  <c r="J118" i="4" a="1"/>
  <c r="J118" i="4" s="1"/>
  <c r="J119" i="4" a="1"/>
  <c r="J119" i="4" s="1"/>
  <c r="J120" i="4" a="1"/>
  <c r="J120" i="4" s="1"/>
  <c r="J121" i="4" a="1"/>
  <c r="J121" i="4" s="1"/>
  <c r="J122" i="4" a="1"/>
  <c r="J122" i="4" s="1"/>
  <c r="J123" i="4" a="1"/>
  <c r="J123" i="4" s="1"/>
  <c r="J124" i="4" a="1"/>
  <c r="J124" i="4" s="1"/>
  <c r="J125" i="4" a="1"/>
  <c r="J125" i="4" s="1"/>
  <c r="J126" i="4" a="1"/>
  <c r="J126" i="4" s="1"/>
  <c r="J127" i="4" a="1"/>
  <c r="J127" i="4" s="1"/>
  <c r="J128" i="4" a="1"/>
  <c r="J128" i="4" s="1"/>
  <c r="J129" i="4" a="1"/>
  <c r="J129" i="4" s="1"/>
  <c r="J130" i="4" a="1"/>
  <c r="J130" i="4" s="1"/>
  <c r="J131" i="4" a="1"/>
  <c r="J131" i="4" s="1"/>
  <c r="J132" i="4" a="1"/>
  <c r="J132" i="4" s="1"/>
  <c r="J133" i="4" a="1"/>
  <c r="J133" i="4" s="1"/>
  <c r="J134" i="4" a="1"/>
  <c r="J134" i="4" s="1"/>
  <c r="J135" i="4" a="1"/>
  <c r="J135" i="4"/>
  <c r="J136" i="4" a="1"/>
  <c r="J136" i="4" s="1"/>
  <c r="J137" i="4" a="1"/>
  <c r="J137" i="4" s="1"/>
  <c r="J138" i="4" a="1"/>
  <c r="J138" i="4" s="1"/>
  <c r="J139" i="4" a="1"/>
  <c r="J139" i="4" s="1"/>
  <c r="J140" i="4" a="1"/>
  <c r="J140" i="4" s="1"/>
  <c r="J141" i="4" a="1"/>
  <c r="J141" i="4" s="1"/>
  <c r="J142" i="4" a="1"/>
  <c r="J142" i="4" s="1"/>
  <c r="J143" i="4" a="1"/>
  <c r="J143" i="4"/>
  <c r="J144" i="4" a="1"/>
  <c r="J144" i="4" s="1"/>
  <c r="J145" i="4" a="1"/>
  <c r="J145" i="4" s="1"/>
  <c r="J146" i="4" a="1"/>
  <c r="J146" i="4" s="1"/>
  <c r="J147" i="4" a="1"/>
  <c r="J147" i="4" s="1"/>
  <c r="J148" i="4" a="1"/>
  <c r="J148" i="4" s="1"/>
  <c r="J149" i="4" a="1"/>
  <c r="J149" i="4" s="1"/>
  <c r="J150" i="4" a="1"/>
  <c r="J150" i="4" s="1"/>
  <c r="J151" i="4" a="1"/>
  <c r="J151" i="4"/>
  <c r="J152" i="4" a="1"/>
  <c r="J152" i="4" s="1"/>
  <c r="J153" i="4" a="1"/>
  <c r="J153" i="4" s="1"/>
  <c r="J154" i="4" a="1"/>
  <c r="J154" i="4" s="1"/>
  <c r="J155" i="4" a="1"/>
  <c r="J155" i="4" s="1"/>
  <c r="J156" i="4" a="1"/>
  <c r="J156" i="4" s="1"/>
  <c r="J157" i="4" a="1"/>
  <c r="J157" i="4" s="1"/>
  <c r="J158" i="4" a="1"/>
  <c r="J158" i="4" s="1"/>
  <c r="J159" i="4" a="1"/>
  <c r="J159" i="4" s="1"/>
  <c r="J160" i="4" a="1"/>
  <c r="J160" i="4" s="1"/>
  <c r="J161" i="4" a="1"/>
  <c r="J161" i="4" s="1"/>
  <c r="J162" i="4" a="1"/>
  <c r="J162" i="4" s="1"/>
  <c r="J163" i="4" a="1"/>
  <c r="J163" i="4" s="1"/>
  <c r="J164" i="4" a="1"/>
  <c r="J164" i="4" s="1"/>
  <c r="J165" i="4" a="1"/>
  <c r="J165" i="4" s="1"/>
  <c r="J166" i="4" a="1"/>
  <c r="J166" i="4" s="1"/>
  <c r="J167" i="4" a="1"/>
  <c r="J167" i="4" s="1"/>
  <c r="J168" i="4" a="1"/>
  <c r="J168" i="4" s="1"/>
  <c r="J169" i="4" a="1"/>
  <c r="J169" i="4" s="1"/>
  <c r="J170" i="4" a="1"/>
  <c r="J170" i="4" s="1"/>
  <c r="J171" i="4" a="1"/>
  <c r="J171" i="4" s="1"/>
  <c r="J172" i="4" a="1"/>
  <c r="J172" i="4"/>
  <c r="J173" i="4" a="1"/>
  <c r="J173" i="4" s="1"/>
  <c r="J174" i="4" a="1"/>
  <c r="J174" i="4" s="1"/>
  <c r="J175" i="4" a="1"/>
  <c r="J175" i="4" s="1"/>
  <c r="J176" i="4" a="1"/>
  <c r="J176" i="4" s="1"/>
  <c r="J177" i="4" a="1"/>
  <c r="J177" i="4" s="1"/>
  <c r="J178" i="4" a="1"/>
  <c r="J178" i="4" s="1"/>
  <c r="J179" i="4" a="1"/>
  <c r="J179" i="4" s="1"/>
  <c r="J180" i="4" a="1"/>
  <c r="J180" i="4"/>
  <c r="J181" i="4" a="1"/>
  <c r="J181" i="4" s="1"/>
  <c r="J182" i="4" a="1"/>
  <c r="J182" i="4" s="1"/>
  <c r="J183" i="4" a="1"/>
  <c r="J183" i="4" s="1"/>
  <c r="J184" i="4" a="1"/>
  <c r="J184" i="4"/>
  <c r="J185" i="4" a="1"/>
  <c r="J185" i="4" s="1"/>
  <c r="J186" i="4" a="1"/>
  <c r="J186" i="4" s="1"/>
  <c r="J187" i="4" a="1"/>
  <c r="J187" i="4" s="1"/>
  <c r="J188" i="4" a="1"/>
  <c r="J188" i="4" s="1"/>
  <c r="J189" i="4" a="1"/>
  <c r="J189" i="4" s="1"/>
  <c r="J190" i="4" a="1"/>
  <c r="J190" i="4"/>
  <c r="J191" i="4" a="1"/>
  <c r="J191" i="4" s="1"/>
  <c r="J192" i="4" a="1"/>
  <c r="J192" i="4"/>
  <c r="J193" i="4" a="1"/>
  <c r="J193" i="4" s="1"/>
  <c r="J194" i="4" a="1"/>
  <c r="J194" i="4" s="1"/>
  <c r="J195" i="4" a="1"/>
  <c r="J195" i="4" s="1"/>
  <c r="J196" i="4" a="1"/>
  <c r="J196" i="4" s="1"/>
  <c r="J197" i="4" a="1"/>
  <c r="J197" i="4" s="1"/>
  <c r="J198" i="4" a="1"/>
  <c r="J198" i="4"/>
  <c r="J199" i="4" a="1"/>
  <c r="J199" i="4" s="1"/>
  <c r="J200" i="4" a="1"/>
  <c r="J200" i="4" s="1"/>
  <c r="J201" i="4" a="1"/>
  <c r="J201" i="4" s="1"/>
  <c r="N40" i="15"/>
  <c r="N41" i="15"/>
  <c r="N185" i="15"/>
  <c r="N186" i="15"/>
  <c r="N129" i="15"/>
  <c r="N213" i="15"/>
  <c r="N7" i="15"/>
  <c r="N8" i="15"/>
  <c r="N161" i="15"/>
  <c r="N135" i="15"/>
  <c r="N208" i="15"/>
  <c r="N150" i="15"/>
  <c r="N181" i="15"/>
  <c r="N248" i="15"/>
  <c r="N64" i="15"/>
  <c r="N36" i="15"/>
  <c r="N323" i="15"/>
  <c r="N30" i="15"/>
  <c r="N74" i="15"/>
  <c r="N277" i="15"/>
  <c r="N16" i="15"/>
  <c r="N205" i="15"/>
  <c r="N22" i="15"/>
  <c r="N242" i="15"/>
  <c r="N256" i="15"/>
  <c r="N163" i="15"/>
  <c r="N164" i="15"/>
  <c r="N110" i="15"/>
  <c r="N340" i="15"/>
  <c r="N187" i="15"/>
  <c r="N220" i="15"/>
  <c r="N259" i="15"/>
  <c r="N115" i="15"/>
  <c r="N328" i="15"/>
  <c r="N170" i="15"/>
  <c r="N13" i="15"/>
  <c r="N17" i="15"/>
  <c r="N122" i="15"/>
  <c r="N167" i="15"/>
  <c r="N193" i="15"/>
  <c r="N175" i="15"/>
  <c r="N253" i="15"/>
  <c r="N310" i="15"/>
  <c r="N261" i="15"/>
  <c r="N262" i="15"/>
  <c r="N331" i="15"/>
  <c r="N100" i="15"/>
  <c r="N329" i="15"/>
  <c r="N33" i="15"/>
  <c r="N276" i="15"/>
  <c r="N324" i="15"/>
  <c r="N332" i="15"/>
  <c r="N200" i="15"/>
  <c r="N60" i="15"/>
  <c r="N134" i="15"/>
  <c r="N241" i="15"/>
  <c r="N325" i="15"/>
  <c r="N326" i="15"/>
  <c r="N182" i="15"/>
  <c r="N203" i="15"/>
  <c r="N101" i="15"/>
  <c r="N27" i="15"/>
  <c r="N269" i="15"/>
  <c r="N287" i="15"/>
  <c r="N112" i="15"/>
  <c r="N113" i="15"/>
  <c r="N114" i="15"/>
  <c r="N21" i="15"/>
  <c r="N95" i="15"/>
  <c r="N68" i="15"/>
  <c r="N72" i="15"/>
  <c r="N336" i="15"/>
  <c r="N10" i="15"/>
  <c r="N124" i="15"/>
  <c r="N315" i="15"/>
  <c r="N119" i="15"/>
  <c r="N339" i="15"/>
  <c r="N151" i="15"/>
  <c r="N178" i="15"/>
  <c r="N225" i="15"/>
  <c r="N92" i="15"/>
  <c r="N212" i="15"/>
  <c r="N232" i="15"/>
  <c r="N330" i="15"/>
  <c r="N204" i="15"/>
  <c r="N156" i="15"/>
  <c r="N284" i="15"/>
  <c r="N86" i="15"/>
  <c r="N65" i="15"/>
  <c r="N66" i="15"/>
  <c r="N67" i="15"/>
  <c r="N306" i="15"/>
  <c r="N237" i="15"/>
  <c r="N51" i="15"/>
  <c r="N245" i="15"/>
  <c r="N246" i="15"/>
  <c r="N56" i="15"/>
  <c r="N206" i="15"/>
  <c r="N316" i="15"/>
  <c r="N199" i="15"/>
  <c r="N266" i="15"/>
  <c r="N87" i="15"/>
  <c r="N99" i="15"/>
  <c r="N94" i="15"/>
  <c r="N234" i="15"/>
  <c r="N303" i="15"/>
  <c r="N144" i="15"/>
  <c r="N145" i="15"/>
  <c r="N201" i="15"/>
  <c r="N59" i="15"/>
  <c r="N322" i="15"/>
  <c r="N85" i="15"/>
  <c r="N153" i="15"/>
  <c r="N133" i="15"/>
  <c r="N121" i="15"/>
  <c r="N2" i="15"/>
  <c r="N249" i="15"/>
  <c r="N286" i="15"/>
  <c r="N184" i="15"/>
  <c r="N70" i="15"/>
  <c r="N141" i="15"/>
  <c r="N165" i="15"/>
  <c r="N84" i="15"/>
  <c r="N23" i="15"/>
  <c r="N35" i="15"/>
  <c r="N278" i="15"/>
  <c r="N279" i="15"/>
  <c r="N333" i="15"/>
  <c r="N230" i="15"/>
  <c r="N93" i="15"/>
  <c r="N321" i="15"/>
  <c r="N88" i="15"/>
  <c r="N294" i="15"/>
  <c r="N155" i="15"/>
  <c r="N3" i="15"/>
  <c r="N48" i="15"/>
  <c r="N219" i="15"/>
  <c r="N337" i="15"/>
  <c r="N111" i="15"/>
  <c r="N317" i="15"/>
  <c r="N293" i="15"/>
  <c r="N222" i="15"/>
  <c r="N89" i="15"/>
  <c r="N180" i="15"/>
  <c r="N250" i="15"/>
  <c r="N52" i="15"/>
  <c r="N236" i="15"/>
  <c r="N207" i="15"/>
  <c r="N295" i="15"/>
  <c r="N125" i="15"/>
  <c r="N32" i="15"/>
  <c r="N137" i="15"/>
  <c r="N138" i="15"/>
  <c r="N302" i="15"/>
  <c r="N267" i="15"/>
  <c r="N82" i="15"/>
  <c r="N229" i="15"/>
  <c r="N214" i="15"/>
  <c r="N282" i="15"/>
  <c r="N283" i="15"/>
  <c r="N159" i="15"/>
  <c r="N270" i="15"/>
  <c r="N4" i="15"/>
  <c r="N218" i="15"/>
  <c r="N11" i="15"/>
  <c r="N271" i="15"/>
  <c r="N107" i="15"/>
  <c r="N223" i="15"/>
  <c r="N172" i="15"/>
  <c r="N160" i="15"/>
  <c r="N140" i="15"/>
  <c r="N14" i="15"/>
  <c r="N166" i="15"/>
  <c r="N298" i="15"/>
  <c r="N254" i="15"/>
  <c r="N338" i="15"/>
  <c r="N192" i="15"/>
  <c r="N257" i="15"/>
  <c r="N258" i="15"/>
  <c r="N169" i="15"/>
  <c r="N45" i="15"/>
  <c r="N311" i="15"/>
  <c r="N34" i="15"/>
  <c r="N38" i="15"/>
  <c r="N127" i="15"/>
  <c r="N174" i="15"/>
  <c r="N71" i="15"/>
  <c r="N98" i="15"/>
  <c r="N288" i="15"/>
  <c r="N243" i="15"/>
  <c r="N5" i="15"/>
  <c r="N62" i="15"/>
  <c r="N233" i="15"/>
  <c r="N291" i="15"/>
  <c r="N39" i="15"/>
  <c r="N120" i="15"/>
  <c r="N211" i="15"/>
  <c r="N171" i="15"/>
  <c r="N12" i="15"/>
  <c r="N318" i="15"/>
  <c r="N73" i="15"/>
  <c r="N103" i="15"/>
  <c r="N131" i="15"/>
  <c r="N47" i="15"/>
  <c r="N304" i="15"/>
  <c r="N97" i="15"/>
  <c r="N313" i="15"/>
  <c r="N79" i="15"/>
  <c r="N24" i="15"/>
  <c r="N215" i="15"/>
  <c r="N216" i="15"/>
  <c r="N217" i="15"/>
  <c r="N102" i="15"/>
  <c r="N28" i="15"/>
  <c r="N80" i="15"/>
  <c r="N168" i="15"/>
  <c r="N191" i="15"/>
  <c r="N43" i="15"/>
  <c r="N55" i="15"/>
  <c r="N37" i="15"/>
  <c r="N108" i="15"/>
  <c r="N272" i="15"/>
  <c r="N273" i="15"/>
  <c r="N6" i="15"/>
  <c r="N105" i="15"/>
  <c r="N106" i="15"/>
  <c r="N136" i="15"/>
  <c r="N264" i="15"/>
  <c r="N265" i="15"/>
  <c r="N46" i="15"/>
  <c r="N210" i="15"/>
  <c r="N179" i="15"/>
  <c r="N275" i="15"/>
  <c r="N173" i="15"/>
  <c r="N194" i="15"/>
  <c r="N142" i="15"/>
  <c r="N314" i="15"/>
  <c r="N202" i="15"/>
  <c r="N247" i="15"/>
  <c r="N281" i="15"/>
  <c r="N334" i="15"/>
  <c r="N25" i="15"/>
  <c r="N26" i="15"/>
  <c r="N307" i="15"/>
  <c r="N130" i="15"/>
  <c r="N285" i="15"/>
  <c r="N297" i="15"/>
  <c r="N57" i="15"/>
  <c r="N9" i="15"/>
  <c r="N290" i="15"/>
  <c r="N63" i="15"/>
  <c r="N53" i="15"/>
  <c r="N274" i="15"/>
  <c r="N263" i="15"/>
  <c r="N280" i="15"/>
  <c r="N104" i="15"/>
  <c r="N146" i="15"/>
  <c r="N147" i="15"/>
  <c r="N148" i="15"/>
  <c r="N29" i="15"/>
  <c r="N209" i="15"/>
  <c r="N327" i="15"/>
  <c r="N75" i="15"/>
  <c r="N76" i="15"/>
  <c r="N77" i="15"/>
  <c r="N244" i="15"/>
  <c r="N61" i="15"/>
  <c r="N260" i="15"/>
  <c r="N91" i="15"/>
  <c r="N42" i="15"/>
  <c r="N157" i="15"/>
  <c r="N299" i="15"/>
  <c r="N300" i="15"/>
  <c r="N301" i="15"/>
  <c r="N320" i="15"/>
  <c r="N139" i="15"/>
  <c r="N289" i="15"/>
  <c r="N335" i="15"/>
  <c r="N128" i="15"/>
  <c r="N296" i="15"/>
  <c r="N176" i="15"/>
  <c r="N268" i="15"/>
  <c r="N154" i="15"/>
  <c r="N188" i="15"/>
  <c r="N189" i="15"/>
  <c r="N190" i="15"/>
  <c r="N143" i="15"/>
  <c r="N44" i="15"/>
  <c r="N116" i="15"/>
  <c r="N117" i="15"/>
  <c r="N118" i="15"/>
  <c r="N31" i="15"/>
  <c r="N319" i="15"/>
  <c r="N149" i="15"/>
  <c r="N177" i="15"/>
  <c r="N255" i="15"/>
  <c r="N96" i="15"/>
  <c r="N305" i="15"/>
  <c r="N50" i="15"/>
  <c r="N162" i="15"/>
  <c r="N109" i="15"/>
  <c r="N158" i="15"/>
  <c r="N123" i="15"/>
  <c r="N224" i="15"/>
  <c r="N240" i="15"/>
  <c r="N69" i="15"/>
  <c r="N132" i="15"/>
  <c r="N49" i="15"/>
  <c r="N235" i="15"/>
  <c r="N152" i="15"/>
  <c r="N226" i="15"/>
  <c r="N227" i="15"/>
  <c r="N228" i="15"/>
  <c r="N183" i="15"/>
  <c r="N83" i="15"/>
  <c r="N198" i="15"/>
  <c r="N221" i="15"/>
  <c r="N292" i="15"/>
  <c r="N81" i="15"/>
  <c r="N15" i="15"/>
  <c r="N126" i="15"/>
  <c r="N312" i="15"/>
  <c r="N238" i="15"/>
  <c r="N231" i="15"/>
  <c r="N308" i="15"/>
  <c r="N309" i="15"/>
  <c r="N54" i="15"/>
  <c r="N58" i="15"/>
  <c r="N195" i="15"/>
  <c r="N196" i="15"/>
  <c r="N197" i="15"/>
  <c r="N251" i="15"/>
  <c r="N252" i="15"/>
  <c r="N239" i="15"/>
  <c r="N90" i="15"/>
  <c r="N78" i="15"/>
  <c r="N18" i="15"/>
  <c r="N19" i="15"/>
  <c r="N20" i="15"/>
  <c r="O40" i="15"/>
  <c r="O41" i="15"/>
  <c r="O185" i="15"/>
  <c r="O186" i="15"/>
  <c r="O129" i="15"/>
  <c r="O213" i="15"/>
  <c r="O7" i="15"/>
  <c r="O8" i="15"/>
  <c r="O161" i="15"/>
  <c r="O135" i="15"/>
  <c r="O208" i="15"/>
  <c r="O150" i="15"/>
  <c r="O181" i="15"/>
  <c r="O248" i="15"/>
  <c r="O64" i="15"/>
  <c r="O36" i="15"/>
  <c r="O323" i="15"/>
  <c r="O30" i="15"/>
  <c r="O74" i="15"/>
  <c r="O277" i="15"/>
  <c r="O16" i="15"/>
  <c r="O205" i="15"/>
  <c r="O22" i="15"/>
  <c r="O242" i="15"/>
  <c r="O256" i="15"/>
  <c r="O163" i="15"/>
  <c r="O164" i="15"/>
  <c r="O110" i="15"/>
  <c r="O340" i="15"/>
  <c r="O187" i="15"/>
  <c r="O220" i="15"/>
  <c r="O259" i="15"/>
  <c r="O115" i="15"/>
  <c r="O328" i="15"/>
  <c r="O170" i="15"/>
  <c r="O13" i="15"/>
  <c r="O17" i="15"/>
  <c r="O122" i="15"/>
  <c r="O167" i="15"/>
  <c r="O193" i="15"/>
  <c r="O175" i="15"/>
  <c r="O253" i="15"/>
  <c r="O310" i="15"/>
  <c r="O261" i="15"/>
  <c r="O262" i="15"/>
  <c r="O331" i="15"/>
  <c r="O100" i="15"/>
  <c r="O329" i="15"/>
  <c r="O33" i="15"/>
  <c r="O276" i="15"/>
  <c r="O324" i="15"/>
  <c r="O332" i="15"/>
  <c r="O200" i="15"/>
  <c r="O60" i="15"/>
  <c r="O134" i="15"/>
  <c r="O241" i="15"/>
  <c r="O325" i="15"/>
  <c r="O326" i="15"/>
  <c r="O182" i="15"/>
  <c r="O203" i="15"/>
  <c r="O101" i="15"/>
  <c r="O27" i="15"/>
  <c r="O269" i="15"/>
  <c r="O287" i="15"/>
  <c r="O112" i="15"/>
  <c r="O113" i="15"/>
  <c r="O114" i="15"/>
  <c r="O21" i="15"/>
  <c r="O95" i="15"/>
  <c r="O68" i="15"/>
  <c r="O72" i="15"/>
  <c r="O336" i="15"/>
  <c r="O10" i="15"/>
  <c r="O124" i="15"/>
  <c r="O315" i="15"/>
  <c r="O119" i="15"/>
  <c r="O339" i="15"/>
  <c r="O151" i="15"/>
  <c r="O178" i="15"/>
  <c r="O225" i="15"/>
  <c r="O92" i="15"/>
  <c r="O212" i="15"/>
  <c r="O232" i="15"/>
  <c r="O330" i="15"/>
  <c r="O204" i="15"/>
  <c r="O156" i="15"/>
  <c r="O284" i="15"/>
  <c r="O86" i="15"/>
  <c r="O65" i="15"/>
  <c r="O66" i="15"/>
  <c r="O67" i="15"/>
  <c r="O306" i="15"/>
  <c r="O237" i="15"/>
  <c r="O51" i="15"/>
  <c r="O245" i="15"/>
  <c r="O246" i="15"/>
  <c r="O56" i="15"/>
  <c r="O206" i="15"/>
  <c r="O316" i="15"/>
  <c r="O199" i="15"/>
  <c r="O266" i="15"/>
  <c r="O87" i="15"/>
  <c r="O99" i="15"/>
  <c r="O94" i="15"/>
  <c r="O234" i="15"/>
  <c r="O303" i="15"/>
  <c r="O144" i="15"/>
  <c r="O145" i="15"/>
  <c r="O201" i="15"/>
  <c r="O59" i="15"/>
  <c r="O322" i="15"/>
  <c r="O85" i="15"/>
  <c r="O153" i="15"/>
  <c r="O133" i="15"/>
  <c r="O121" i="15"/>
  <c r="O2" i="15"/>
  <c r="O249" i="15"/>
  <c r="O286" i="15"/>
  <c r="O184" i="15"/>
  <c r="O70" i="15"/>
  <c r="O141" i="15"/>
  <c r="O165" i="15"/>
  <c r="O84" i="15"/>
  <c r="O23" i="15"/>
  <c r="O35" i="15"/>
  <c r="O278" i="15"/>
  <c r="O279" i="15"/>
  <c r="O333" i="15"/>
  <c r="O230" i="15"/>
  <c r="O93" i="15"/>
  <c r="O321" i="15"/>
  <c r="O88" i="15"/>
  <c r="O294" i="15"/>
  <c r="O155" i="15"/>
  <c r="O3" i="15"/>
  <c r="O48" i="15"/>
  <c r="O219" i="15"/>
  <c r="O337" i="15"/>
  <c r="O111" i="15"/>
  <c r="O317" i="15"/>
  <c r="O293" i="15"/>
  <c r="O222" i="15"/>
  <c r="O89" i="15"/>
  <c r="O180" i="15"/>
  <c r="O250" i="15"/>
  <c r="O52" i="15"/>
  <c r="O236" i="15"/>
  <c r="O207" i="15"/>
  <c r="O295" i="15"/>
  <c r="O125" i="15"/>
  <c r="O32" i="15"/>
  <c r="O137" i="15"/>
  <c r="O138" i="15"/>
  <c r="O302" i="15"/>
  <c r="O267" i="15"/>
  <c r="O82" i="15"/>
  <c r="O229" i="15"/>
  <c r="O214" i="15"/>
  <c r="O282" i="15"/>
  <c r="O283" i="15"/>
  <c r="O159" i="15"/>
  <c r="O270" i="15"/>
  <c r="O4" i="15"/>
  <c r="O218" i="15"/>
  <c r="O11" i="15"/>
  <c r="O271" i="15"/>
  <c r="O107" i="15"/>
  <c r="O223" i="15"/>
  <c r="O172" i="15"/>
  <c r="O160" i="15"/>
  <c r="O140" i="15"/>
  <c r="O14" i="15"/>
  <c r="O166" i="15"/>
  <c r="O298" i="15"/>
  <c r="O254" i="15"/>
  <c r="O338" i="15"/>
  <c r="O192" i="15"/>
  <c r="O257" i="15"/>
  <c r="O258" i="15"/>
  <c r="O169" i="15"/>
  <c r="O45" i="15"/>
  <c r="O311" i="15"/>
  <c r="O34" i="15"/>
  <c r="O38" i="15"/>
  <c r="O127" i="15"/>
  <c r="O174" i="15"/>
  <c r="O71" i="15"/>
  <c r="O98" i="15"/>
  <c r="O288" i="15"/>
  <c r="O243" i="15"/>
  <c r="O5" i="15"/>
  <c r="O62" i="15"/>
  <c r="O233" i="15"/>
  <c r="O291" i="15"/>
  <c r="O39" i="15"/>
  <c r="O120" i="15"/>
  <c r="O211" i="15"/>
  <c r="O171" i="15"/>
  <c r="O12" i="15"/>
  <c r="O318" i="15"/>
  <c r="O73" i="15"/>
  <c r="O103" i="15"/>
  <c r="O131" i="15"/>
  <c r="O47" i="15"/>
  <c r="O304" i="15"/>
  <c r="O97" i="15"/>
  <c r="O313" i="15"/>
  <c r="O79" i="15"/>
  <c r="O24" i="15"/>
  <c r="O215" i="15"/>
  <c r="O216" i="15"/>
  <c r="O217" i="15"/>
  <c r="O102" i="15"/>
  <c r="O28" i="15"/>
  <c r="O80" i="15"/>
  <c r="O168" i="15"/>
  <c r="O191" i="15"/>
  <c r="O43" i="15"/>
  <c r="O55" i="15"/>
  <c r="O37" i="15"/>
  <c r="O108" i="15"/>
  <c r="O272" i="15"/>
  <c r="O273" i="15"/>
  <c r="O6" i="15"/>
  <c r="O105" i="15"/>
  <c r="O106" i="15"/>
  <c r="O136" i="15"/>
  <c r="O264" i="15"/>
  <c r="O265" i="15"/>
  <c r="O46" i="15"/>
  <c r="O210" i="15"/>
  <c r="O179" i="15"/>
  <c r="O275" i="15"/>
  <c r="O173" i="15"/>
  <c r="O194" i="15"/>
  <c r="O142" i="15"/>
  <c r="O314" i="15"/>
  <c r="O202" i="15"/>
  <c r="O247" i="15"/>
  <c r="O281" i="15"/>
  <c r="O334" i="15"/>
  <c r="O25" i="15"/>
  <c r="O26" i="15"/>
  <c r="O307" i="15"/>
  <c r="O130" i="15"/>
  <c r="O285" i="15"/>
  <c r="O297" i="15"/>
  <c r="O57" i="15"/>
  <c r="O9" i="15"/>
  <c r="O290" i="15"/>
  <c r="O63" i="15"/>
  <c r="O53" i="15"/>
  <c r="O274" i="15"/>
  <c r="O263" i="15"/>
  <c r="O280" i="15"/>
  <c r="O104" i="15"/>
  <c r="O146" i="15"/>
  <c r="O147" i="15"/>
  <c r="O148" i="15"/>
  <c r="O29" i="15"/>
  <c r="O209" i="15"/>
  <c r="O327" i="15"/>
  <c r="O75" i="15"/>
  <c r="O76" i="15"/>
  <c r="O77" i="15"/>
  <c r="O244" i="15"/>
  <c r="O61" i="15"/>
  <c r="O260" i="15"/>
  <c r="O91" i="15"/>
  <c r="O42" i="15"/>
  <c r="O157" i="15"/>
  <c r="O299" i="15"/>
  <c r="O300" i="15"/>
  <c r="O301" i="15"/>
  <c r="O320" i="15"/>
  <c r="O139" i="15"/>
  <c r="O289" i="15"/>
  <c r="O335" i="15"/>
  <c r="O128" i="15"/>
  <c r="O296" i="15"/>
  <c r="O176" i="15"/>
  <c r="O268" i="15"/>
  <c r="O154" i="15"/>
  <c r="O188" i="15"/>
  <c r="O189" i="15"/>
  <c r="O190" i="15"/>
  <c r="O143" i="15"/>
  <c r="O44" i="15"/>
  <c r="O116" i="15"/>
  <c r="O117" i="15"/>
  <c r="O118" i="15"/>
  <c r="O31" i="15"/>
  <c r="O319" i="15"/>
  <c r="O149" i="15"/>
  <c r="O177" i="15"/>
  <c r="O255" i="15"/>
  <c r="O96" i="15"/>
  <c r="O305" i="15"/>
  <c r="O50" i="15"/>
  <c r="O162" i="15"/>
  <c r="O109" i="15"/>
  <c r="O158" i="15"/>
  <c r="O123" i="15"/>
  <c r="O224" i="15"/>
  <c r="O240" i="15"/>
  <c r="O69" i="15"/>
  <c r="O132" i="15"/>
  <c r="O49" i="15"/>
  <c r="O235" i="15"/>
  <c r="O152" i="15"/>
  <c r="O226" i="15"/>
  <c r="O227" i="15"/>
  <c r="O228" i="15"/>
  <c r="O183" i="15"/>
  <c r="O83" i="15"/>
  <c r="O198" i="15"/>
  <c r="O221" i="15"/>
  <c r="O292" i="15"/>
  <c r="O81" i="15"/>
  <c r="O15" i="15"/>
  <c r="O126" i="15"/>
  <c r="O312" i="15"/>
  <c r="O238" i="15"/>
  <c r="O231" i="15"/>
  <c r="O308" i="15"/>
  <c r="O309" i="15"/>
  <c r="O54" i="15"/>
  <c r="O58" i="15"/>
  <c r="O195" i="15"/>
  <c r="O196" i="15"/>
  <c r="O197" i="15"/>
  <c r="O251" i="15"/>
  <c r="O252" i="15"/>
  <c r="O239" i="15"/>
  <c r="O90" i="15"/>
  <c r="O78" i="15"/>
  <c r="O18" i="15"/>
  <c r="O19" i="15"/>
  <c r="O20" i="15"/>
  <c r="P40" i="15"/>
  <c r="P41" i="15"/>
  <c r="P185" i="15"/>
  <c r="P186" i="15"/>
  <c r="P129" i="15"/>
  <c r="P213" i="15"/>
  <c r="P7" i="15"/>
  <c r="P8" i="15"/>
  <c r="P161" i="15"/>
  <c r="P135" i="15"/>
  <c r="P208" i="15"/>
  <c r="P150" i="15"/>
  <c r="P181" i="15"/>
  <c r="P248" i="15"/>
  <c r="P64" i="15"/>
  <c r="P36" i="15"/>
  <c r="P323" i="15"/>
  <c r="P30" i="15"/>
  <c r="P74" i="15"/>
  <c r="P277" i="15"/>
  <c r="P16" i="15"/>
  <c r="P205" i="15"/>
  <c r="P22" i="15"/>
  <c r="P242" i="15"/>
  <c r="P256" i="15"/>
  <c r="P163" i="15"/>
  <c r="P164" i="15"/>
  <c r="P110" i="15"/>
  <c r="P340" i="15"/>
  <c r="P187" i="15"/>
  <c r="P220" i="15"/>
  <c r="P259" i="15"/>
  <c r="P115" i="15"/>
  <c r="P328" i="15"/>
  <c r="P170" i="15"/>
  <c r="P13" i="15"/>
  <c r="P17" i="15"/>
  <c r="P122" i="15"/>
  <c r="P167" i="15"/>
  <c r="P193" i="15"/>
  <c r="P175" i="15"/>
  <c r="P253" i="15"/>
  <c r="P310" i="15"/>
  <c r="P261" i="15"/>
  <c r="P262" i="15"/>
  <c r="P331" i="15"/>
  <c r="P100" i="15"/>
  <c r="P329" i="15"/>
  <c r="P33" i="15"/>
  <c r="P276" i="15"/>
  <c r="P324" i="15"/>
  <c r="P332" i="15"/>
  <c r="P200" i="15"/>
  <c r="P60" i="15"/>
  <c r="P134" i="15"/>
  <c r="P241" i="15"/>
  <c r="P325" i="15"/>
  <c r="P326" i="15"/>
  <c r="P182" i="15"/>
  <c r="P203" i="15"/>
  <c r="P101" i="15"/>
  <c r="P27" i="15"/>
  <c r="P269" i="15"/>
  <c r="P287" i="15"/>
  <c r="P112" i="15"/>
  <c r="P113" i="15"/>
  <c r="P114" i="15"/>
  <c r="P21" i="15"/>
  <c r="P95" i="15"/>
  <c r="P68" i="15"/>
  <c r="P72" i="15"/>
  <c r="P336" i="15"/>
  <c r="P10" i="15"/>
  <c r="P124" i="15"/>
  <c r="P315" i="15"/>
  <c r="P119" i="15"/>
  <c r="P339" i="15"/>
  <c r="P151" i="15"/>
  <c r="P178" i="15"/>
  <c r="P225" i="15"/>
  <c r="P92" i="15"/>
  <c r="P212" i="15"/>
  <c r="P232" i="15"/>
  <c r="P330" i="15"/>
  <c r="P204" i="15"/>
  <c r="P156" i="15"/>
  <c r="P284" i="15"/>
  <c r="P86" i="15"/>
  <c r="P65" i="15"/>
  <c r="P66" i="15"/>
  <c r="P67" i="15"/>
  <c r="P306" i="15"/>
  <c r="P237" i="15"/>
  <c r="P51" i="15"/>
  <c r="P245" i="15"/>
  <c r="P246" i="15"/>
  <c r="P56" i="15"/>
  <c r="P206" i="15"/>
  <c r="P316" i="15"/>
  <c r="P199" i="15"/>
  <c r="P266" i="15"/>
  <c r="P87" i="15"/>
  <c r="P99" i="15"/>
  <c r="P94" i="15"/>
  <c r="P234" i="15"/>
  <c r="P303" i="15"/>
  <c r="P144" i="15"/>
  <c r="P145" i="15"/>
  <c r="P201" i="15"/>
  <c r="P59" i="15"/>
  <c r="P322" i="15"/>
  <c r="P85" i="15"/>
  <c r="P153" i="15"/>
  <c r="P133" i="15"/>
  <c r="P121" i="15"/>
  <c r="P2" i="15"/>
  <c r="P249" i="15"/>
  <c r="P286" i="15"/>
  <c r="P184" i="15"/>
  <c r="P70" i="15"/>
  <c r="P141" i="15"/>
  <c r="P165" i="15"/>
  <c r="P84" i="15"/>
  <c r="P23" i="15"/>
  <c r="P35" i="15"/>
  <c r="P278" i="15"/>
  <c r="P279" i="15"/>
  <c r="P333" i="15"/>
  <c r="P230" i="15"/>
  <c r="P93" i="15"/>
  <c r="P321" i="15"/>
  <c r="P88" i="15"/>
  <c r="P294" i="15"/>
  <c r="P155" i="15"/>
  <c r="P3" i="15"/>
  <c r="P48" i="15"/>
  <c r="P219" i="15"/>
  <c r="P337" i="15"/>
  <c r="P111" i="15"/>
  <c r="P317" i="15"/>
  <c r="P293" i="15"/>
  <c r="P222" i="15"/>
  <c r="P89" i="15"/>
  <c r="P180" i="15"/>
  <c r="P250" i="15"/>
  <c r="P52" i="15"/>
  <c r="P236" i="15"/>
  <c r="P207" i="15"/>
  <c r="P295" i="15"/>
  <c r="P125" i="15"/>
  <c r="P32" i="15"/>
  <c r="P137" i="15"/>
  <c r="P138" i="15"/>
  <c r="P302" i="15"/>
  <c r="P267" i="15"/>
  <c r="P82" i="15"/>
  <c r="P229" i="15"/>
  <c r="P214" i="15"/>
  <c r="P282" i="15"/>
  <c r="P283" i="15"/>
  <c r="P159" i="15"/>
  <c r="P270" i="15"/>
  <c r="P4" i="15"/>
  <c r="P218" i="15"/>
  <c r="P11" i="15"/>
  <c r="P271" i="15"/>
  <c r="P107" i="15"/>
  <c r="P223" i="15"/>
  <c r="P172" i="15"/>
  <c r="P160" i="15"/>
  <c r="P140" i="15"/>
  <c r="P14" i="15"/>
  <c r="P166" i="15"/>
  <c r="P298" i="15"/>
  <c r="P254" i="15"/>
  <c r="P338" i="15"/>
  <c r="P192" i="15"/>
  <c r="P257" i="15"/>
  <c r="P258" i="15"/>
  <c r="P169" i="15"/>
  <c r="P45" i="15"/>
  <c r="P311" i="15"/>
  <c r="P34" i="15"/>
  <c r="P38" i="15"/>
  <c r="P127" i="15"/>
  <c r="P174" i="15"/>
  <c r="P71" i="15"/>
  <c r="P98" i="15"/>
  <c r="P288" i="15"/>
  <c r="P243" i="15"/>
  <c r="P5" i="15"/>
  <c r="P62" i="15"/>
  <c r="P233" i="15"/>
  <c r="P291" i="15"/>
  <c r="P39" i="15"/>
  <c r="P120" i="15"/>
  <c r="P211" i="15"/>
  <c r="P171" i="15"/>
  <c r="P12" i="15"/>
  <c r="P318" i="15"/>
  <c r="P73" i="15"/>
  <c r="P103" i="15"/>
  <c r="P131" i="15"/>
  <c r="P47" i="15"/>
  <c r="P304" i="15"/>
  <c r="P97" i="15"/>
  <c r="P313" i="15"/>
  <c r="P79" i="15"/>
  <c r="P24" i="15"/>
  <c r="P215" i="15"/>
  <c r="P216" i="15"/>
  <c r="P217" i="15"/>
  <c r="P102" i="15"/>
  <c r="P28" i="15"/>
  <c r="P80" i="15"/>
  <c r="P168" i="15"/>
  <c r="P191" i="15"/>
  <c r="P43" i="15"/>
  <c r="P55" i="15"/>
  <c r="P37" i="15"/>
  <c r="P108" i="15"/>
  <c r="P272" i="15"/>
  <c r="P273" i="15"/>
  <c r="P6" i="15"/>
  <c r="P105" i="15"/>
  <c r="P106" i="15"/>
  <c r="P136" i="15"/>
  <c r="P264" i="15"/>
  <c r="P265" i="15"/>
  <c r="P46" i="15"/>
  <c r="P210" i="15"/>
  <c r="P179" i="15"/>
  <c r="P275" i="15"/>
  <c r="P173" i="15"/>
  <c r="P194" i="15"/>
  <c r="P142" i="15"/>
  <c r="P314" i="15"/>
  <c r="P202" i="15"/>
  <c r="P247" i="15"/>
  <c r="P281" i="15"/>
  <c r="P334" i="15"/>
  <c r="P25" i="15"/>
  <c r="P26" i="15"/>
  <c r="P307" i="15"/>
  <c r="P130" i="15"/>
  <c r="P285" i="15"/>
  <c r="P297" i="15"/>
  <c r="P57" i="15"/>
  <c r="P9" i="15"/>
  <c r="P290" i="15"/>
  <c r="P63" i="15"/>
  <c r="P53" i="15"/>
  <c r="P274" i="15"/>
  <c r="P263" i="15"/>
  <c r="P280" i="15"/>
  <c r="P104" i="15"/>
  <c r="P146" i="15"/>
  <c r="P147" i="15"/>
  <c r="P148" i="15"/>
  <c r="P29" i="15"/>
  <c r="P209" i="15"/>
  <c r="P327" i="15"/>
  <c r="P75" i="15"/>
  <c r="P76" i="15"/>
  <c r="P77" i="15"/>
  <c r="P244" i="15"/>
  <c r="P61" i="15"/>
  <c r="P260" i="15"/>
  <c r="P91" i="15"/>
  <c r="P42" i="15"/>
  <c r="P157" i="15"/>
  <c r="P299" i="15"/>
  <c r="P300" i="15"/>
  <c r="P301" i="15"/>
  <c r="P320" i="15"/>
  <c r="P139" i="15"/>
  <c r="P289" i="15"/>
  <c r="P335" i="15"/>
  <c r="P128" i="15"/>
  <c r="P296" i="15"/>
  <c r="P176" i="15"/>
  <c r="P268" i="15"/>
  <c r="P154" i="15"/>
  <c r="P188" i="15"/>
  <c r="P189" i="15"/>
  <c r="P190" i="15"/>
  <c r="P143" i="15"/>
  <c r="P44" i="15"/>
  <c r="P116" i="15"/>
  <c r="P117" i="15"/>
  <c r="P118" i="15"/>
  <c r="P31" i="15"/>
  <c r="P319" i="15"/>
  <c r="P149" i="15"/>
  <c r="P177" i="15"/>
  <c r="P255" i="15"/>
  <c r="P96" i="15"/>
  <c r="P305" i="15"/>
  <c r="P50" i="15"/>
  <c r="P162" i="15"/>
  <c r="P109" i="15"/>
  <c r="P158" i="15"/>
  <c r="P123" i="15"/>
  <c r="P224" i="15"/>
  <c r="P240" i="15"/>
  <c r="P69" i="15"/>
  <c r="P132" i="15"/>
  <c r="P49" i="15"/>
  <c r="P235" i="15"/>
  <c r="P152" i="15"/>
  <c r="P226" i="15"/>
  <c r="P227" i="15"/>
  <c r="P228" i="15"/>
  <c r="P183" i="15"/>
  <c r="P83" i="15"/>
  <c r="P198" i="15"/>
  <c r="P221" i="15"/>
  <c r="P292" i="15"/>
  <c r="P81" i="15"/>
  <c r="P15" i="15"/>
  <c r="P126" i="15"/>
  <c r="P312" i="15"/>
  <c r="P238" i="15"/>
  <c r="P231" i="15"/>
  <c r="P308" i="15"/>
  <c r="P309" i="15"/>
  <c r="P54" i="15"/>
  <c r="P58" i="15"/>
  <c r="P195" i="15"/>
  <c r="P196" i="15"/>
  <c r="P197" i="15"/>
  <c r="P251" i="15"/>
  <c r="P252" i="15"/>
  <c r="P239" i="15"/>
  <c r="P90" i="15"/>
  <c r="P78" i="15"/>
  <c r="P18" i="15"/>
  <c r="P19" i="15"/>
  <c r="P20" i="15"/>
  <c r="D6" i="30"/>
  <c r="E6" i="30" s="1"/>
  <c r="D7" i="30"/>
  <c r="E7" i="30" s="1"/>
  <c r="D8" i="30"/>
  <c r="E8" i="30" s="1"/>
  <c r="D5" i="30"/>
  <c r="E5" i="30" s="1"/>
  <c r="D7" i="21" a="1"/>
  <c r="D7" i="21" s="1"/>
  <c r="C4" i="20" a="1"/>
  <c r="C4" i="20" s="1"/>
  <c r="D4" i="20" s="1"/>
  <c r="R14" i="10"/>
  <c r="R13" i="10" l="1"/>
  <c r="R12" i="10"/>
  <c r="R11" i="10"/>
  <c r="I197" i="4"/>
  <c r="I133" i="4"/>
  <c r="I69" i="4"/>
  <c r="I181" i="4"/>
  <c r="I53" i="4"/>
  <c r="I165" i="4"/>
  <c r="I101" i="4"/>
  <c r="I37" i="4"/>
  <c r="I117" i="4"/>
  <c r="I149" i="4"/>
  <c r="I85" i="4"/>
  <c r="I21" i="4"/>
  <c r="I185" i="4"/>
  <c r="I169" i="4"/>
  <c r="I153" i="4"/>
  <c r="I137" i="4"/>
  <c r="I121" i="4"/>
  <c r="I105" i="4"/>
  <c r="I89" i="4"/>
  <c r="I73" i="4"/>
  <c r="I57" i="4"/>
  <c r="I41" i="4"/>
  <c r="I25" i="4"/>
  <c r="I9" i="4"/>
  <c r="I189" i="4"/>
  <c r="I173" i="4"/>
  <c r="I157" i="4"/>
  <c r="I141" i="4"/>
  <c r="I125" i="4"/>
  <c r="I109" i="4"/>
  <c r="I93" i="4"/>
  <c r="I77" i="4"/>
  <c r="I61" i="4"/>
  <c r="I45" i="4"/>
  <c r="I29" i="4"/>
  <c r="I13" i="4"/>
  <c r="I193" i="4"/>
  <c r="I177" i="4"/>
  <c r="I161" i="4"/>
  <c r="I145" i="4"/>
  <c r="I129" i="4"/>
  <c r="I113" i="4"/>
  <c r="I97" i="4"/>
  <c r="I81" i="4"/>
  <c r="I65" i="4"/>
  <c r="I49" i="4"/>
  <c r="I33" i="4"/>
  <c r="I17" i="4"/>
  <c r="D8" i="20"/>
  <c r="D9" i="20"/>
  <c r="D5" i="20"/>
  <c r="D7" i="20"/>
  <c r="D6" i="2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AC6BA9D-C14A-48CF-A4F7-A8B19F04A371}" keepAlive="1" name="Query - Campaign Metadata" description="Connection to the 'Campaign Metadata' query in the workbook." type="5" refreshedVersion="8" background="1" saveData="1">
    <dbPr connection="Provider=Microsoft.Mashup.OleDb.1;Data Source=$Workbook$;Location=&quot;Campaign Metadata&quot;;Extended Properties=&quot;&quot;" command="SELECT * FROM [Campaign Metadata]"/>
  </connection>
  <connection id="2" xr16:uid="{FC7A45EC-A9E2-44DF-85C8-D8946883ABB1}" keepAlive="1" name="Query - Engagement Summary" description="Connection to the 'Engagement Summary' query in the workbook." type="5" refreshedVersion="8" background="1" saveData="1">
    <dbPr connection="Provider=Microsoft.Mashup.OleDb.1;Data Source=$Workbook$;Location=&quot;Engagement Summary&quot;;Extended Properties=&quot;&quot;" command="SELECT * FROM [Engagement Summary]"/>
  </connection>
  <connection id="3" xr16:uid="{13CEE038-6931-47D3-8B21-D48872A1962D}" keepAlive="1" name="Query - Posts" description="Connection to the 'Posts' query in the workbook." type="5" refreshedVersion="8" background="1" saveData="1">
    <dbPr connection="Provider=Microsoft.Mashup.OleDb.1;Data Source=$Workbook$;Location=Posts;Extended Properties=&quot;&quot;" command="SELECT * FROM [Posts]"/>
  </connection>
  <connection id="4" xr16:uid="{24B931E7-EAA3-4ED7-88C5-0106F5CAE4DC}" keepAlive="1" name="Query - Posts (2)" description="Connection to the 'Posts (2)' query in the workbook." type="5" refreshedVersion="8" background="1" saveData="1">
    <dbPr connection="Provider=Microsoft.Mashup.OleDb.1;Data Source=$Workbook$;Location=&quot;Posts (2)&quot;;Extended Properties=&quot;&quot;" command="SELECT * FROM [Posts (2)]"/>
  </connection>
  <connection id="5" xr16:uid="{CEC2E38D-630E-4E50-90BD-7B57523A6113}" keepAlive="1" name="Query - Posts (3)" description="Connection to the 'Posts (3)' query in the workbook." type="5" refreshedVersion="8" background="1" saveData="1">
    <dbPr connection="Provider=Microsoft.Mashup.OleDb.1;Data Source=$Workbook$;Location=&quot;Posts (3)&quot;;Extended Properties=&quot;&quot;" command="SELECT * FROM [Posts (3)]"/>
  </connection>
  <connection id="6" xr16:uid="{E1356428-4393-4A44-82DB-B80C9CAD8CCA}" keepAlive="1" name="Query - Posts (4)" description="Connection to the 'Posts (4)' query in the workbook." type="5" refreshedVersion="8" background="1" saveData="1">
    <dbPr connection="Provider=Microsoft.Mashup.OleDb.1;Data Source=$Workbook$;Location=&quot;Posts (4)&quot;;Extended Properties=&quot;&quot;" command="SELECT * FROM [Posts (4)]"/>
  </connection>
  <connection id="7" xr16:uid="{FAA3C795-3FC1-411E-86E8-DE026AD4A025}" keepAlive="1" name="Query - Posts (5)" description="Connection to the 'Posts (5)' query in the workbook." type="5" refreshedVersion="8" background="1" saveData="1">
    <dbPr connection="Provider=Microsoft.Mashup.OleDb.1;Data Source=$Workbook$;Location=&quot;Posts (5)&quot;;Extended Properties=&quot;&quot;" command="SELECT * FROM [Posts (5)]"/>
  </connection>
  <connection id="8" xr16:uid="{2DA1B373-072B-45A2-A39A-173D31D01D47}" keepAlive="1" name="Query - Posts (6)" description="Connection to the 'Posts (6)' query in the workbook." type="5" refreshedVersion="8" background="1" saveData="1">
    <dbPr connection="Provider=Microsoft.Mashup.OleDb.1;Data Source=$Workbook$;Location=&quot;Posts (6)&quot;;Extended Properties=&quot;&quot;" command="SELECT * FROM [Posts (6)]"/>
  </connection>
  <connection id="9" xr16:uid="{96F7463A-5631-46D7-B836-4F9F10706A3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8F42378C-C627-4022-A2A4-0B1371E65E6C}" name="WorksheetConnection_Internshala Project.xlsx!Campaign_Metadata" type="102" refreshedVersion="8" minRefreshableVersion="5">
    <extLst>
      <ext xmlns:x15="http://schemas.microsoft.com/office/spreadsheetml/2010/11/main" uri="{DE250136-89BD-433C-8126-D09CA5730AF9}">
        <x15:connection id="Campaign_Metadata">
          <x15:rangePr sourceName="_xlcn.WorksheetConnection_InternshalaProject.xlsxCampaign_Metadata1"/>
        </x15:connection>
      </ext>
    </extLst>
  </connection>
  <connection id="11" xr16:uid="{7F9CBB88-0267-4784-9639-99119DEA4B00}" name="WorksheetConnection_Internshala Project.xlsx!Engagement_Summary" type="102" refreshedVersion="8" minRefreshableVersion="5">
    <extLst>
      <ext xmlns:x15="http://schemas.microsoft.com/office/spreadsheetml/2010/11/main" uri="{DE250136-89BD-433C-8126-D09CA5730AF9}">
        <x15:connection id="Engagement_Summary" autoDelete="1">
          <x15:rangePr sourceName="_xlcn.WorksheetConnection_InternshalaProject.xlsxEngagement_Summary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<sst xmlns="http://schemas.openxmlformats.org/spreadsheetml/2006/main" count="8295" uniqueCount="431">
  <si>
    <t>Campaign_Name</t>
  </si>
  <si>
    <t>Start_Date</t>
  </si>
  <si>
    <t>End_Date</t>
  </si>
  <si>
    <t>Objective</t>
  </si>
  <si>
    <t>Total_Budget</t>
  </si>
  <si>
    <t>Target_Platforms</t>
  </si>
  <si>
    <t>Primary_Hashtags</t>
  </si>
  <si>
    <t>CybertruckLaunch</t>
  </si>
  <si>
    <t>Product Awareness</t>
  </si>
  <si>
    <t>Instagram,Facebook</t>
  </si>
  <si>
    <t>#EVRevolution,#TeslaCoInnovation</t>
  </si>
  <si>
    <t>ModelYCampaign</t>
  </si>
  <si>
    <t>Customer Engagement</t>
  </si>
  <si>
    <t>Instagram,YouTube</t>
  </si>
  <si>
    <t>#AnytimeIsTeslaTime,</t>
  </si>
  <si>
    <t>FSDUpdate</t>
  </si>
  <si>
    <t>Vehicle Launch</t>
  </si>
  <si>
    <t>Facebook,Twitter</t>
  </si>
  <si>
    <t>#SmoothLikeNitroTesla</t>
  </si>
  <si>
    <t>SustainabilityDrive</t>
  </si>
  <si>
    <t>Community Growth</t>
  </si>
  <si>
    <t>Instagram,Twitter</t>
  </si>
  <si>
    <t>#BetterWithTesla,#FutureOfDriving</t>
  </si>
  <si>
    <t>Post ID</t>
  </si>
  <si>
    <t>Platform</t>
  </si>
  <si>
    <t>Date</t>
  </si>
  <si>
    <t>Content Type</t>
  </si>
  <si>
    <t>Post Text</t>
  </si>
  <si>
    <t>Likes</t>
  </si>
  <si>
    <t>Shares</t>
  </si>
  <si>
    <t>Comments</t>
  </si>
  <si>
    <t>Impressions</t>
  </si>
  <si>
    <t>Reach</t>
  </si>
  <si>
    <t>Clicks</t>
  </si>
  <si>
    <t>P001</t>
  </si>
  <si>
    <t>Twitter</t>
  </si>
  <si>
    <t>Reel</t>
  </si>
  <si>
    <t>Check out our latest reel on twitter!</t>
  </si>
  <si>
    <t>#FutureOfDriving</t>
  </si>
  <si>
    <t>#AnytimeIsTeslaTime</t>
  </si>
  <si>
    <t>P002</t>
  </si>
  <si>
    <t>Text</t>
  </si>
  <si>
    <t>Check out our latest text on twitter!</t>
  </si>
  <si>
    <t>#TeslaCoInnovation</t>
  </si>
  <si>
    <t>#BetterWithTesla</t>
  </si>
  <si>
    <t>P003</t>
  </si>
  <si>
    <t>YouTube</t>
  </si>
  <si>
    <t>Check out our latest reel on youtube!</t>
  </si>
  <si>
    <t>P004</t>
  </si>
  <si>
    <t>Instagram</t>
  </si>
  <si>
    <t>Story</t>
  </si>
  <si>
    <t>Check out our latest story on instagram!</t>
  </si>
  <si>
    <t>#EVRevolution</t>
  </si>
  <si>
    <t>P005</t>
  </si>
  <si>
    <t>P006</t>
  </si>
  <si>
    <t>Facebook</t>
  </si>
  <si>
    <t>Carousel</t>
  </si>
  <si>
    <t>Check out our latest carousel on facebook!</t>
  </si>
  <si>
    <t>P007</t>
  </si>
  <si>
    <t>Check out our latest carousel on twitter!</t>
  </si>
  <si>
    <t>P008</t>
  </si>
  <si>
    <t>Image</t>
  </si>
  <si>
    <t>Check out our latest image on youtube!</t>
  </si>
  <si>
    <t>P009</t>
  </si>
  <si>
    <t>Check out our latest text on facebook!</t>
  </si>
  <si>
    <t>P010</t>
  </si>
  <si>
    <t>Check out our latest image on facebook!</t>
  </si>
  <si>
    <t>P011</t>
  </si>
  <si>
    <t>P012</t>
  </si>
  <si>
    <t>Check out our latest reel on facebook!</t>
  </si>
  <si>
    <t>P013</t>
  </si>
  <si>
    <t>Check out our latest carousel on youtube!</t>
  </si>
  <si>
    <t>P014</t>
  </si>
  <si>
    <t>Check out our latest story on facebook!</t>
  </si>
  <si>
    <t>P015</t>
  </si>
  <si>
    <t>Video</t>
  </si>
  <si>
    <t>Check out our latest video on facebook!</t>
  </si>
  <si>
    <t>P016</t>
  </si>
  <si>
    <t>P017</t>
  </si>
  <si>
    <t>P018</t>
  </si>
  <si>
    <t>Check out our latest reel on instagram!</t>
  </si>
  <si>
    <t>P019</t>
  </si>
  <si>
    <t>Check out our latest video on instagram!</t>
  </si>
  <si>
    <t>P020</t>
  </si>
  <si>
    <t>Check out our latest carousel on instagram!</t>
  </si>
  <si>
    <t>P021</t>
  </si>
  <si>
    <t>P022</t>
  </si>
  <si>
    <t>P023</t>
  </si>
  <si>
    <t>P024</t>
  </si>
  <si>
    <t>P025</t>
  </si>
  <si>
    <t>P026</t>
  </si>
  <si>
    <t>P027</t>
  </si>
  <si>
    <t>Check out our latest text on youtube!</t>
  </si>
  <si>
    <t>P028</t>
  </si>
  <si>
    <t>P029</t>
  </si>
  <si>
    <t>P030</t>
  </si>
  <si>
    <t>P031</t>
  </si>
  <si>
    <t>Check out our latest text on instagram!</t>
  </si>
  <si>
    <t>P032</t>
  </si>
  <si>
    <t>P033</t>
  </si>
  <si>
    <t>P034</t>
  </si>
  <si>
    <t>P035</t>
  </si>
  <si>
    <t>P036</t>
  </si>
  <si>
    <t>P037</t>
  </si>
  <si>
    <t>P038</t>
  </si>
  <si>
    <t>P039</t>
  </si>
  <si>
    <t>P040</t>
  </si>
  <si>
    <t>Check out our latest image on twitter!</t>
  </si>
  <si>
    <t>P041</t>
  </si>
  <si>
    <t>P042</t>
  </si>
  <si>
    <t>P043</t>
  </si>
  <si>
    <t>P044</t>
  </si>
  <si>
    <t>P045</t>
  </si>
  <si>
    <t>P046</t>
  </si>
  <si>
    <t>Check out our latest video on twitter!</t>
  </si>
  <si>
    <t>P047</t>
  </si>
  <si>
    <t>P048</t>
  </si>
  <si>
    <t>Check out our latest story on twitter!</t>
  </si>
  <si>
    <t>P049</t>
  </si>
  <si>
    <t>P050</t>
  </si>
  <si>
    <t>Check out our latest story on youtube!</t>
  </si>
  <si>
    <t>P051</t>
  </si>
  <si>
    <t>P052</t>
  </si>
  <si>
    <t>P053</t>
  </si>
  <si>
    <t>P054</t>
  </si>
  <si>
    <t>P055</t>
  </si>
  <si>
    <t>P056</t>
  </si>
  <si>
    <t>P057</t>
  </si>
  <si>
    <t>P058</t>
  </si>
  <si>
    <t>P059</t>
  </si>
  <si>
    <t>P060</t>
  </si>
  <si>
    <t>P061</t>
  </si>
  <si>
    <t>P062</t>
  </si>
  <si>
    <t>P063</t>
  </si>
  <si>
    <t>P064</t>
  </si>
  <si>
    <t>P065</t>
  </si>
  <si>
    <t>P066</t>
  </si>
  <si>
    <t>P067</t>
  </si>
  <si>
    <t>P068</t>
  </si>
  <si>
    <t>P069</t>
  </si>
  <si>
    <t>P070</t>
  </si>
  <si>
    <t>P071</t>
  </si>
  <si>
    <t>P072</t>
  </si>
  <si>
    <t>P073</t>
  </si>
  <si>
    <t>P074</t>
  </si>
  <si>
    <t>P075</t>
  </si>
  <si>
    <t>P076</t>
  </si>
  <si>
    <t>P077</t>
  </si>
  <si>
    <t>P078</t>
  </si>
  <si>
    <t>P079</t>
  </si>
  <si>
    <t>P080</t>
  </si>
  <si>
    <t>P081</t>
  </si>
  <si>
    <t>P082</t>
  </si>
  <si>
    <t>Check out our latest image on instagram!</t>
  </si>
  <si>
    <t>P083</t>
  </si>
  <si>
    <t>Check out our latest video on youtube!</t>
  </si>
  <si>
    <t>P084</t>
  </si>
  <si>
    <t>P085</t>
  </si>
  <si>
    <t>P086</t>
  </si>
  <si>
    <t>P087</t>
  </si>
  <si>
    <t>P088</t>
  </si>
  <si>
    <t>P089</t>
  </si>
  <si>
    <t>P090</t>
  </si>
  <si>
    <t>P091</t>
  </si>
  <si>
    <t>P092</t>
  </si>
  <si>
    <t>P093</t>
  </si>
  <si>
    <t>P094</t>
  </si>
  <si>
    <t>P095</t>
  </si>
  <si>
    <t>P096</t>
  </si>
  <si>
    <t>P097</t>
  </si>
  <si>
    <t>P098</t>
  </si>
  <si>
    <t>P099</t>
  </si>
  <si>
    <t>P100</t>
  </si>
  <si>
    <t>P101</t>
  </si>
  <si>
    <t>P102</t>
  </si>
  <si>
    <t>P103</t>
  </si>
  <si>
    <t>P104</t>
  </si>
  <si>
    <t>P105</t>
  </si>
  <si>
    <t>P106</t>
  </si>
  <si>
    <t>P107</t>
  </si>
  <si>
    <t>P108</t>
  </si>
  <si>
    <t>P109</t>
  </si>
  <si>
    <t>P110</t>
  </si>
  <si>
    <t>P111</t>
  </si>
  <si>
    <t>P112</t>
  </si>
  <si>
    <t>P113</t>
  </si>
  <si>
    <t>P114</t>
  </si>
  <si>
    <t>P115</t>
  </si>
  <si>
    <t>P116</t>
  </si>
  <si>
    <t>P117</t>
  </si>
  <si>
    <t>P118</t>
  </si>
  <si>
    <t>P119</t>
  </si>
  <si>
    <t>P120</t>
  </si>
  <si>
    <t>P121</t>
  </si>
  <si>
    <t>P122</t>
  </si>
  <si>
    <t>P123</t>
  </si>
  <si>
    <t>P124</t>
  </si>
  <si>
    <t>P125</t>
  </si>
  <si>
    <t>P126</t>
  </si>
  <si>
    <t>P127</t>
  </si>
  <si>
    <t>P128</t>
  </si>
  <si>
    <t>P129</t>
  </si>
  <si>
    <t>P130</t>
  </si>
  <si>
    <t>P131</t>
  </si>
  <si>
    <t>P132</t>
  </si>
  <si>
    <t>P133</t>
  </si>
  <si>
    <t>P134</t>
  </si>
  <si>
    <t>P135</t>
  </si>
  <si>
    <t>P136</t>
  </si>
  <si>
    <t>P137</t>
  </si>
  <si>
    <t>P138</t>
  </si>
  <si>
    <t>P139</t>
  </si>
  <si>
    <t>P140</t>
  </si>
  <si>
    <t>P141</t>
  </si>
  <si>
    <t>P142</t>
  </si>
  <si>
    <t>P143</t>
  </si>
  <si>
    <t>P144</t>
  </si>
  <si>
    <t>P145</t>
  </si>
  <si>
    <t>P146</t>
  </si>
  <si>
    <t>P147</t>
  </si>
  <si>
    <t>P148</t>
  </si>
  <si>
    <t>P149</t>
  </si>
  <si>
    <t>P150</t>
  </si>
  <si>
    <t>P151</t>
  </si>
  <si>
    <t>P152</t>
  </si>
  <si>
    <t>P153</t>
  </si>
  <si>
    <t>P154</t>
  </si>
  <si>
    <t>P155</t>
  </si>
  <si>
    <t>P156</t>
  </si>
  <si>
    <t>P157</t>
  </si>
  <si>
    <t>P158</t>
  </si>
  <si>
    <t>P159</t>
  </si>
  <si>
    <t>P160</t>
  </si>
  <si>
    <t>P161</t>
  </si>
  <si>
    <t>P162</t>
  </si>
  <si>
    <t>P163</t>
  </si>
  <si>
    <t>P164</t>
  </si>
  <si>
    <t>P165</t>
  </si>
  <si>
    <t>P166</t>
  </si>
  <si>
    <t>P167</t>
  </si>
  <si>
    <t>P168</t>
  </si>
  <si>
    <t>P169</t>
  </si>
  <si>
    <t>P170</t>
  </si>
  <si>
    <t>P171</t>
  </si>
  <si>
    <t>P172</t>
  </si>
  <si>
    <t>P173</t>
  </si>
  <si>
    <t>P174</t>
  </si>
  <si>
    <t>P175</t>
  </si>
  <si>
    <t>P176</t>
  </si>
  <si>
    <t>P177</t>
  </si>
  <si>
    <t>P178</t>
  </si>
  <si>
    <t>P179</t>
  </si>
  <si>
    <t>P180</t>
  </si>
  <si>
    <t>P181</t>
  </si>
  <si>
    <t>P182</t>
  </si>
  <si>
    <t>P183</t>
  </si>
  <si>
    <t>P184</t>
  </si>
  <si>
    <t>P185</t>
  </si>
  <si>
    <t>P186</t>
  </si>
  <si>
    <t>P187</t>
  </si>
  <si>
    <t>P188</t>
  </si>
  <si>
    <t>P189</t>
  </si>
  <si>
    <t>P190</t>
  </si>
  <si>
    <t>P191</t>
  </si>
  <si>
    <t>P192</t>
  </si>
  <si>
    <t>P193</t>
  </si>
  <si>
    <t>P194</t>
  </si>
  <si>
    <t>P195</t>
  </si>
  <si>
    <t>P196</t>
  </si>
  <si>
    <t>P197</t>
  </si>
  <si>
    <t>P198</t>
  </si>
  <si>
    <t>P199</t>
  </si>
  <si>
    <t>P200</t>
  </si>
  <si>
    <t>P201</t>
  </si>
  <si>
    <t>P202</t>
  </si>
  <si>
    <t>P203</t>
  </si>
  <si>
    <t>P204</t>
  </si>
  <si>
    <t>P205</t>
  </si>
  <si>
    <t>P206</t>
  </si>
  <si>
    <t>P207</t>
  </si>
  <si>
    <t>P208</t>
  </si>
  <si>
    <t>P209</t>
  </si>
  <si>
    <t>P210</t>
  </si>
  <si>
    <t>P211</t>
  </si>
  <si>
    <t>P212</t>
  </si>
  <si>
    <t>P213</t>
  </si>
  <si>
    <t>P214</t>
  </si>
  <si>
    <t>P215</t>
  </si>
  <si>
    <t>P216</t>
  </si>
  <si>
    <t>P217</t>
  </si>
  <si>
    <t>P218</t>
  </si>
  <si>
    <t>P219</t>
  </si>
  <si>
    <t>P220</t>
  </si>
  <si>
    <t>P221</t>
  </si>
  <si>
    <t>P222</t>
  </si>
  <si>
    <t>P223</t>
  </si>
  <si>
    <t>P224</t>
  </si>
  <si>
    <t>P225</t>
  </si>
  <si>
    <t>P226</t>
  </si>
  <si>
    <t>P227</t>
  </si>
  <si>
    <t>P228</t>
  </si>
  <si>
    <t>P229</t>
  </si>
  <si>
    <t>P230</t>
  </si>
  <si>
    <t>P231</t>
  </si>
  <si>
    <t>P232</t>
  </si>
  <si>
    <t>P233</t>
  </si>
  <si>
    <t>P234</t>
  </si>
  <si>
    <t>P235</t>
  </si>
  <si>
    <t>P236</t>
  </si>
  <si>
    <t>P237</t>
  </si>
  <si>
    <t>P238</t>
  </si>
  <si>
    <t>P239</t>
  </si>
  <si>
    <t>P240</t>
  </si>
  <si>
    <t>P241</t>
  </si>
  <si>
    <t>P242</t>
  </si>
  <si>
    <t>P243</t>
  </si>
  <si>
    <t>P244</t>
  </si>
  <si>
    <t>P245</t>
  </si>
  <si>
    <t>P246</t>
  </si>
  <si>
    <t>P247</t>
  </si>
  <si>
    <t>P248</t>
  </si>
  <si>
    <t>P249</t>
  </si>
  <si>
    <t>P250</t>
  </si>
  <si>
    <t>P251</t>
  </si>
  <si>
    <t>P252</t>
  </si>
  <si>
    <t>P253</t>
  </si>
  <si>
    <t>P254</t>
  </si>
  <si>
    <t>P255</t>
  </si>
  <si>
    <t>P256</t>
  </si>
  <si>
    <t>P257</t>
  </si>
  <si>
    <t>P258</t>
  </si>
  <si>
    <t>P259</t>
  </si>
  <si>
    <t>P260</t>
  </si>
  <si>
    <t>P261</t>
  </si>
  <si>
    <t>P262</t>
  </si>
  <si>
    <t>P263</t>
  </si>
  <si>
    <t>P264</t>
  </si>
  <si>
    <t>P265</t>
  </si>
  <si>
    <t>P266</t>
  </si>
  <si>
    <t>P267</t>
  </si>
  <si>
    <t>P268</t>
  </si>
  <si>
    <t>P269</t>
  </si>
  <si>
    <t>P270</t>
  </si>
  <si>
    <t>P271</t>
  </si>
  <si>
    <t>P272</t>
  </si>
  <si>
    <t>P273</t>
  </si>
  <si>
    <t>P274</t>
  </si>
  <si>
    <t>P275</t>
  </si>
  <si>
    <t>P276</t>
  </si>
  <si>
    <t>P277</t>
  </si>
  <si>
    <t>P278</t>
  </si>
  <si>
    <t>P279</t>
  </si>
  <si>
    <t>P280</t>
  </si>
  <si>
    <t>P281</t>
  </si>
  <si>
    <t>P282</t>
  </si>
  <si>
    <t>P283</t>
  </si>
  <si>
    <t>P284</t>
  </si>
  <si>
    <t>P285</t>
  </si>
  <si>
    <t>P286</t>
  </si>
  <si>
    <t>P287</t>
  </si>
  <si>
    <t>P288</t>
  </si>
  <si>
    <t>P289</t>
  </si>
  <si>
    <t>P290</t>
  </si>
  <si>
    <t>P291</t>
  </si>
  <si>
    <t>P292</t>
  </si>
  <si>
    <t>P293</t>
  </si>
  <si>
    <t>P294</t>
  </si>
  <si>
    <t>P295</t>
  </si>
  <si>
    <t>P296</t>
  </si>
  <si>
    <t>P297</t>
  </si>
  <si>
    <t>P298</t>
  </si>
  <si>
    <t>P299</t>
  </si>
  <si>
    <t>P300</t>
  </si>
  <si>
    <t>Week_Start_Date</t>
  </si>
  <si>
    <t>New_Followers</t>
  </si>
  <si>
    <t>Unfollows</t>
  </si>
  <si>
    <t>Total_Followers</t>
  </si>
  <si>
    <t>Engagement_Rate</t>
  </si>
  <si>
    <t>Ad_Spend</t>
  </si>
  <si>
    <t>Engagement Rate</t>
  </si>
  <si>
    <t>Avg Engagement rate</t>
  </si>
  <si>
    <t>Grand Total</t>
  </si>
  <si>
    <t>Hashtags Used</t>
  </si>
  <si>
    <t>Content Objective</t>
  </si>
  <si>
    <t>Average of Engagement Rate</t>
  </si>
  <si>
    <t>Net new follower</t>
  </si>
  <si>
    <t>Sum of Net new follower</t>
  </si>
  <si>
    <t>Jan</t>
  </si>
  <si>
    <t>Feb</t>
  </si>
  <si>
    <t>Mar</t>
  </si>
  <si>
    <t>Apr</t>
  </si>
  <si>
    <t>May</t>
  </si>
  <si>
    <t>Jun</t>
  </si>
  <si>
    <t>Jul</t>
  </si>
  <si>
    <t>Aug</t>
  </si>
  <si>
    <t>Sep</t>
  </si>
  <si>
    <t>Oct</t>
  </si>
  <si>
    <t>Nov</t>
  </si>
  <si>
    <t>Dec</t>
  </si>
  <si>
    <t>Net follower growth rate</t>
  </si>
  <si>
    <t>Hashtags</t>
  </si>
  <si>
    <t xml:space="preserve">No of times used </t>
  </si>
  <si>
    <t>Performance(Avg engagement rate)</t>
  </si>
  <si>
    <t>Total Likes</t>
  </si>
  <si>
    <t>Total Shares</t>
  </si>
  <si>
    <t>Total Comments</t>
  </si>
  <si>
    <t>Month</t>
  </si>
  <si>
    <t>Sum of Net follower growth rate</t>
  </si>
  <si>
    <t>Week Start Date</t>
  </si>
  <si>
    <t>Average of Engagement_Rate</t>
  </si>
  <si>
    <t>Average of Ad_Spend</t>
  </si>
  <si>
    <t>Performance</t>
  </si>
  <si>
    <t>.</t>
  </si>
  <si>
    <t>Campaign</t>
  </si>
  <si>
    <t>Total Clicks</t>
  </si>
  <si>
    <t>Total Impressions</t>
  </si>
  <si>
    <t>Average Likes</t>
  </si>
  <si>
    <t>Average Clicks</t>
  </si>
  <si>
    <t>Average Impressions</t>
  </si>
  <si>
    <t>Campaign Effectiveness</t>
  </si>
  <si>
    <t>Campaign Period</t>
  </si>
  <si>
    <t>Before</t>
  </si>
  <si>
    <t>During</t>
  </si>
  <si>
    <t>Campaign Name</t>
  </si>
  <si>
    <t>Engagement Uplift/Downlift</t>
  </si>
  <si>
    <t>Avg Engagement Rate</t>
  </si>
  <si>
    <t>ROI</t>
  </si>
  <si>
    <t>week start date</t>
  </si>
  <si>
    <t>Average Engagement Rate</t>
  </si>
  <si>
    <t>Net new followers</t>
  </si>
  <si>
    <t>https://screenrec.com/share/hgQkHL5Vmt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</si>
</sst>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0000000"/>
  </numFmts>
  <fonts count="9">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rgb="FF000000"/>
      <name val="ArialMT"/>
    </font>
    <font>
      <sz val="8"/>
      <name val="Aptos Narrow"/>
      <family val="2"/>
      <scheme val="minor"/>
    </font>
    <font>
      <u/>
      <sz val="11"/>
      <color theme="10"/>
      <name val="Aptos Narrow"/>
      <family val="2"/>
      <scheme val="minor"/>
    </font>
    <font>
      <u/>
      <sz val="26"/>
      <color theme="10"/>
      <name val="Aptos Narrow"/>
      <family val="2"/>
      <scheme val="minor"/>
    </font>
    <font>
      <sz val="26"/>
      <color theme="1"/>
      <name val="Aptos Narrow"/>
      <family val="2"/>
      <scheme val="minor"/>
    </font>
  </fonts>
  <fills count="6">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theme="4" tint="0.79998168889431442"/>
        <bgColor indexed="64"/>
      </patternFill>
    </fill>
    <fill>
      <patternFill patternType="solid">
        <fgColor rgb="FFFFFF00"/>
        <bgColor indexed="64"/>
      </patternFill>
    </fill>
  </fills>
  <borders count="4">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3">
    <xf numFmtId="0" fontId="0" fillId="0" borderId="0"/>
    <xf numFmtId="9" fontId="1" fillId="0" borderId="0" applyFont="0" applyFill="0" applyBorder="0" applyAlignment="0" applyProtection="0"/>
    <xf numFmtId="0" fontId="6" fillId="0" borderId="0" applyNumberFormat="0" applyFill="0" applyBorder="0" applyAlignment="0" applyProtection="0"/>
  </cellStyleXfs>
  <cellXfs count="31">
    <xf numFmtId="0" fontId="0" fillId="0" borderId="0" xfId="0"/>
    <xf numFmtId="14" fontId="0" fillId="0" borderId="0" xfId="0" applyNumberFormat="1"/>
    <xf numFmtId="0" fontId="2" fillId="2" borderId="1" xfId="0" applyFont="1" applyFill="1" applyBorder="1"/>
    <xf numFmtId="0" fontId="2" fillId="2" borderId="2" xfId="0" applyFont="1" applyFill="1" applyBorder="1"/>
    <xf numFmtId="0" fontId="2" fillId="2" borderId="3" xfId="0" applyFont="1" applyFill="1" applyBorder="1"/>
    <xf numFmtId="0" fontId="0" fillId="3" borderId="2" xfId="0" applyFill="1" applyBorder="1"/>
    <xf numFmtId="0" fontId="0" fillId="0" borderId="2" xfId="0" applyBorder="1"/>
    <xf numFmtId="164" fontId="0" fillId="0" borderId="0" xfId="0" applyNumberFormat="1"/>
    <xf numFmtId="0" fontId="3" fillId="0" borderId="0" xfId="0" applyFont="1"/>
    <xf numFmtId="0" fontId="0" fillId="3" borderId="1" xfId="0" applyFill="1" applyBorder="1"/>
    <xf numFmtId="14" fontId="0" fillId="3" borderId="2" xfId="0" applyNumberFormat="1" applyFill="1" applyBorder="1"/>
    <xf numFmtId="0" fontId="0" fillId="0" borderId="1" xfId="0" applyBorder="1"/>
    <xf numFmtId="14" fontId="0" fillId="0" borderId="2" xfId="0" applyNumberFormat="1" applyBorder="1"/>
    <xf numFmtId="164" fontId="0" fillId="3" borderId="3" xfId="0" applyNumberFormat="1" applyFill="1" applyBorder="1"/>
    <xf numFmtId="164" fontId="0" fillId="0" borderId="3" xfId="0" applyNumberFormat="1" applyBorder="1"/>
    <xf numFmtId="0" fontId="0" fillId="0" borderId="0" xfId="0" pivotButton="1"/>
    <xf numFmtId="0" fontId="0" fillId="0" borderId="0" xfId="0" applyAlignment="1">
      <alignment horizontal="left"/>
    </xf>
    <xf numFmtId="10" fontId="0" fillId="0" borderId="0" xfId="0" applyNumberFormat="1"/>
    <xf numFmtId="14" fontId="0" fillId="0" borderId="0" xfId="0" applyNumberFormat="1" applyAlignment="1">
      <alignment horizontal="left"/>
    </xf>
    <xf numFmtId="9" fontId="0" fillId="0" borderId="0" xfId="0" applyNumberFormat="1"/>
    <xf numFmtId="9" fontId="0" fillId="0" borderId="0" xfId="1" applyFont="1"/>
    <xf numFmtId="1" fontId="0" fillId="0" borderId="0" xfId="0" applyNumberFormat="1"/>
    <xf numFmtId="0" fontId="3" fillId="4" borderId="0" xfId="0" applyFont="1" applyFill="1"/>
    <xf numFmtId="0" fontId="0" fillId="4" borderId="2" xfId="0" applyFill="1" applyBorder="1"/>
    <xf numFmtId="0" fontId="4" fillId="0" borderId="0" xfId="0" applyFont="1"/>
    <xf numFmtId="165" fontId="0" fillId="0" borderId="0" xfId="0" applyNumberFormat="1"/>
    <xf numFmtId="2" fontId="0" fillId="0" borderId="0" xfId="0" applyNumberFormat="1"/>
    <xf numFmtId="9" fontId="0" fillId="4" borderId="0" xfId="1" applyFont="1" applyFill="1"/>
    <xf numFmtId="0" fontId="0" fillId="5" borderId="0" xfId="0" applyFill="1"/>
    <xf numFmtId="0" fontId="7" fillId="0" borderId="0" xfId="2" applyFont="1" applyAlignment="1">
      <alignment horizontal="center" vertical="center"/>
    </xf>
    <xf numFmtId="0" fontId="8" fillId="0" borderId="0" xfId="0" applyFont="1" applyAlignment="1">
      <alignment horizontal="center" vertical="center"/>
    </xf>
  </cellXfs>
  <cellStyles count="3">
    <cellStyle name="Hyperlink" xfId="2" builtinId="8"/>
    <cellStyle name="Normal" xfId="0" builtinId="0"/>
    <cellStyle name="Percent" xfId="1" builtinId="5"/>
  </cellStyles>
  <dxfs count="73">
    <dxf>
      <font>
        <color rgb="FF9C0006"/>
      </font>
      <fill>
        <patternFill>
          <bgColor rgb="FFFFC7CE"/>
        </patternFill>
      </fill>
    </dxf>
    <dxf>
      <font>
        <color rgb="FF9C5700"/>
      </font>
      <fill>
        <patternFill>
          <bgColor rgb="FFFFEB9C"/>
        </patternFill>
      </fill>
    </dxf>
    <dxf>
      <fill>
        <patternFill patternType="solid">
          <bgColor rgb="FFFFFF00"/>
        </patternFill>
      </fill>
    </dxf>
    <dxf>
      <numFmt numFmtId="13" formatCode="0%"/>
    </dxf>
    <dxf>
      <numFmt numFmtId="13" formatCode="0%"/>
    </dxf>
    <dxf>
      <numFmt numFmtId="164" formatCode="0.000"/>
      <fill>
        <patternFill patternType="solid">
          <fgColor theme="9" tint="0.79998168889431442"/>
          <bgColor theme="9" tint="0.79998168889431442"/>
        </patternFill>
      </fill>
      <border diagonalUp="0" diagonalDown="0">
        <left/>
        <right style="thin">
          <color theme="9" tint="0.39997558519241921"/>
        </right>
        <top style="thin">
          <color theme="9" tint="0.39997558519241921"/>
        </top>
        <bottom style="thin">
          <color theme="9" tint="0.39997558519241921"/>
        </bottom>
        <vertical/>
        <horizontal/>
      </border>
    </dxf>
    <dxf>
      <numFmt numFmtId="0" formatCode="General"/>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numFmt numFmtId="0" formatCode="General"/>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numFmt numFmtId="0" formatCode="General"/>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numFmt numFmtId="0" formatCode="General"/>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numFmt numFmtId="19" formatCode="dd/mm/yyyy"/>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numFmt numFmtId="0" formatCode="General"/>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numFmt numFmtId="0" formatCode="General"/>
      <fill>
        <patternFill patternType="solid">
          <fgColor theme="9" tint="0.79998168889431442"/>
          <bgColor theme="9" tint="0.79998168889431442"/>
        </patternFill>
      </fill>
      <border diagonalUp="0" diagonalDown="0">
        <left style="thin">
          <color theme="9" tint="0.39997558519241921"/>
        </left>
        <right/>
        <top style="thin">
          <color theme="9" tint="0.39997558519241921"/>
        </top>
        <bottom style="thin">
          <color theme="9" tint="0.39997558519241921"/>
        </bottom>
        <vertical/>
        <horizontal/>
      </border>
    </dxf>
    <dxf>
      <numFmt numFmtId="164" formatCode="0.000"/>
      <fill>
        <patternFill patternType="solid">
          <fgColor theme="9" tint="0.79998168889431442"/>
          <bgColor theme="9" tint="0.79998168889431442"/>
        </patternFill>
      </fill>
      <border diagonalUp="0" diagonalDown="0">
        <left/>
        <right style="thin">
          <color theme="9" tint="0.39997558519241921"/>
        </right>
        <top style="thin">
          <color theme="9" tint="0.39997558519241921"/>
        </top>
        <bottom style="thin">
          <color theme="9" tint="0.39997558519241921"/>
        </bottom>
        <vertical/>
        <horizontal/>
      </border>
    </dxf>
    <dxf>
      <numFmt numFmtId="0" formatCode="General"/>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numFmt numFmtId="0" formatCode="General"/>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numFmt numFmtId="0" formatCode="General"/>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numFmt numFmtId="0" formatCode="General"/>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numFmt numFmtId="19" formatCode="dd/mm/yyyy"/>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numFmt numFmtId="0" formatCode="General"/>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numFmt numFmtId="0" formatCode="General"/>
      <fill>
        <patternFill patternType="solid">
          <fgColor theme="9" tint="0.79998168889431442"/>
          <bgColor theme="9" tint="0.79998168889431442"/>
        </patternFill>
      </fill>
      <border diagonalUp="0" diagonalDown="0">
        <left style="thin">
          <color theme="9" tint="0.39997558519241921"/>
        </left>
        <right/>
        <top style="thin">
          <color theme="9" tint="0.39997558519241921"/>
        </top>
        <bottom style="thin">
          <color theme="9" tint="0.39997558519241921"/>
        </bottom>
        <vertical/>
        <horizontal/>
      </border>
    </dxf>
    <dxf>
      <numFmt numFmtId="0" formatCode="General"/>
    </dxf>
    <dxf>
      <numFmt numFmtId="0" formatCode="General"/>
    </dxf>
    <dxf>
      <numFmt numFmtId="1" formatCode="0"/>
    </dxf>
    <dxf>
      <numFmt numFmtId="1" formatCode="0"/>
    </dxf>
    <dxf>
      <numFmt numFmtId="1" formatCode="0"/>
    </dxf>
    <dxf>
      <numFmt numFmtId="1" formatCode="0"/>
    </dxf>
    <dxf>
      <numFmt numFmtId="1" formatCode="0"/>
    </dxf>
    <dxf>
      <numFmt numFmtId="1" formatCode="0"/>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14" formatCode="0.00%"/>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164" formatCode="0.000"/>
      <border diagonalUp="0" diagonalDown="0">
        <left/>
        <right style="thin">
          <color theme="9" tint="0.39997558519241921"/>
        </right>
        <top style="thin">
          <color theme="9" tint="0.39997558519241921"/>
        </top>
        <bottom style="thin">
          <color theme="9" tint="0.39997558519241921"/>
        </bottom>
        <vertical/>
        <horizontal/>
      </border>
    </dxf>
    <dxf>
      <numFmt numFmtId="0" formatCode="General"/>
      <border diagonalUp="0" diagonalDown="0">
        <left/>
        <right/>
        <top style="thin">
          <color theme="9" tint="0.39997558519241921"/>
        </top>
        <bottom style="thin">
          <color theme="9" tint="0.39997558519241921"/>
        </bottom>
        <vertical/>
        <horizontal/>
      </border>
    </dxf>
    <dxf>
      <numFmt numFmtId="0" formatCode="General"/>
      <border diagonalUp="0" diagonalDown="0">
        <left/>
        <right/>
        <top style="thin">
          <color theme="9" tint="0.39997558519241921"/>
        </top>
        <bottom style="thin">
          <color theme="9" tint="0.39997558519241921"/>
        </bottom>
        <vertical/>
        <horizontal/>
      </border>
    </dxf>
    <dxf>
      <border diagonalUp="0" diagonalDown="0">
        <left/>
        <right/>
        <top style="thin">
          <color theme="9" tint="0.39997558519241921"/>
        </top>
        <bottom style="thin">
          <color theme="9" tint="0.39997558519241921"/>
        </bottom>
        <vertical/>
        <horizontal/>
      </border>
    </dxf>
    <dxf>
      <border diagonalUp="0" diagonalDown="0">
        <left/>
        <right/>
        <top style="thin">
          <color theme="9" tint="0.39997558519241921"/>
        </top>
        <bottom style="thin">
          <color theme="9" tint="0.39997558519241921"/>
        </bottom>
        <vertical/>
        <horizontal/>
      </border>
    </dxf>
    <dxf>
      <border diagonalUp="0" diagonalDown="0">
        <left/>
        <right/>
        <top style="thin">
          <color theme="9" tint="0.39997558519241921"/>
        </top>
        <bottom style="thin">
          <color theme="9" tint="0.39997558519241921"/>
        </bottom>
        <vertical/>
        <horizontal/>
      </border>
    </dxf>
    <dxf>
      <border diagonalUp="0" diagonalDown="0">
        <left/>
        <right/>
        <top style="thin">
          <color theme="9" tint="0.39997558519241921"/>
        </top>
        <bottom style="thin">
          <color theme="9" tint="0.39997558519241921"/>
        </bottom>
        <vertical/>
        <horizontal/>
      </border>
    </dxf>
    <dxf>
      <border diagonalUp="0" diagonalDown="0">
        <left/>
        <right/>
        <top style="thin">
          <color theme="9" tint="0.39997558519241921"/>
        </top>
        <bottom style="thin">
          <color theme="9" tint="0.39997558519241921"/>
        </bottom>
        <vertical/>
        <horizontal/>
      </border>
    </dxf>
    <dxf>
      <border diagonalUp="0" diagonalDown="0">
        <left/>
        <right/>
        <top style="thin">
          <color theme="9" tint="0.39997558519241921"/>
        </top>
        <bottom style="thin">
          <color theme="9" tint="0.39997558519241921"/>
        </bottom>
        <vertical/>
        <horizontal/>
      </border>
    </dxf>
    <dxf>
      <numFmt numFmtId="0" formatCode="General"/>
      <border diagonalUp="0" diagonalDown="0">
        <left/>
        <right/>
        <top style="thin">
          <color theme="9" tint="0.39997558519241921"/>
        </top>
        <bottom style="thin">
          <color theme="9" tint="0.39997558519241921"/>
        </bottom>
        <vertical/>
        <horizontal/>
      </border>
    </dxf>
    <dxf>
      <numFmt numFmtId="0" formatCode="General"/>
      <border diagonalUp="0" diagonalDown="0">
        <left/>
        <right/>
        <top style="thin">
          <color theme="9" tint="0.39997558519241921"/>
        </top>
        <bottom style="thin">
          <color theme="9" tint="0.39997558519241921"/>
        </bottom>
        <vertical/>
        <horizontal/>
      </border>
    </dxf>
    <dxf>
      <numFmt numFmtId="19" formatCode="dd/mm/yyyy"/>
      <border diagonalUp="0" diagonalDown="0">
        <left/>
        <right/>
        <top style="thin">
          <color theme="9" tint="0.39997558519241921"/>
        </top>
        <bottom style="thin">
          <color theme="9" tint="0.39997558519241921"/>
        </bottom>
        <vertical/>
        <horizontal/>
      </border>
    </dxf>
    <dxf>
      <numFmt numFmtId="0" formatCode="General"/>
      <border diagonalUp="0" diagonalDown="0">
        <left/>
        <right/>
        <top style="thin">
          <color theme="9" tint="0.39997558519241921"/>
        </top>
        <bottom style="thin">
          <color theme="9" tint="0.39997558519241921"/>
        </bottom>
        <vertical/>
        <horizontal/>
      </border>
    </dxf>
    <dxf>
      <numFmt numFmtId="0" formatCode="General"/>
      <border diagonalUp="0" diagonalDown="0">
        <left style="thin">
          <color theme="9" tint="0.39997558519241921"/>
        </left>
        <right/>
        <top style="thin">
          <color theme="9" tint="0.39997558519241921"/>
        </top>
        <bottom style="thin">
          <color theme="9" tint="0.39997558519241921"/>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4.xml"/><Relationship Id="rId39" Type="http://schemas.openxmlformats.org/officeDocument/2006/relationships/customXml" Target="../customXml/item2.xml"/><Relationship Id="rId21" Type="http://schemas.openxmlformats.org/officeDocument/2006/relationships/worksheet" Target="worksheets/sheet21.xml"/><Relationship Id="rId34" Type="http://schemas.openxmlformats.org/officeDocument/2006/relationships/sharedStrings" Target="sharedStrings.xml"/><Relationship Id="rId42" Type="http://schemas.openxmlformats.org/officeDocument/2006/relationships/customXml" Target="../customXml/item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07/relationships/slicerCache" Target="slicerCaches/slicerCache3.xml"/><Relationship Id="rId41"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2.xml"/><Relationship Id="rId32" Type="http://schemas.openxmlformats.org/officeDocument/2006/relationships/connections" Target="connections.xml"/><Relationship Id="rId37" Type="http://schemas.openxmlformats.org/officeDocument/2006/relationships/calcChain" Target="calcChain.xml"/><Relationship Id="rId40"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1.xml"/><Relationship Id="rId28" Type="http://schemas.microsoft.com/office/2007/relationships/slicerCache" Target="slicerCaches/slicerCache2.xml"/><Relationship Id="rId36" Type="http://schemas.openxmlformats.org/officeDocument/2006/relationships/powerPivotData" Target="model/item.data"/><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07/relationships/slicerCache" Target="slicerCaches/slicerCache1.xml"/><Relationship Id="rId30" Type="http://schemas.microsoft.com/office/2007/relationships/slicerCache" Target="slicerCaches/slicerCache4.xml"/><Relationship Id="rId35" Type="http://schemas.openxmlformats.org/officeDocument/2006/relationships/sheetMetadata" Target="metadata.xml"/><Relationship Id="rId43" Type="http://schemas.openxmlformats.org/officeDocument/2006/relationships/customXml" Target="../customXml/item6.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3.xml"/><Relationship Id="rId33" Type="http://schemas.openxmlformats.org/officeDocument/2006/relationships/styles" Target="styles.xml"/><Relationship Id="rId38"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[Tesla Project(Solved).xlsx]Task 3.2!PivotTable10</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'Task 3.2'!$B$1:$B$2</c:f>
              <c:strCache>
                <c:ptCount val="1"/>
                <c:pt idx="0">
                  <c:v>Facebook</c:v>
                </c:pt>
              </c:strCache>
            </c:strRef>
          </c:tx>
          <c:spPr>
            <a:ln w="28575" cap="rnd">
              <a:solidFill>
                <a:schemeClr val="accent1"/>
              </a:solidFill>
              <a:round/>
            </a:ln>
            <a:effectLst/>
          </c:spPr>
          <c:marker>
            <c:symbol val="none"/>
          </c:marker>
          <c:cat>
            <c:strRef>
              <c:f>'Task 3.2'!$A$3:$A$52</c:f>
              <c:strCache>
                <c:ptCount val="50"/>
                <c:pt idx="0">
                  <c:v>03-06-2024</c:v>
                </c:pt>
                <c:pt idx="1">
                  <c:v>10-06-2024</c:v>
                </c:pt>
                <c:pt idx="2">
                  <c:v>17-06-2024</c:v>
                </c:pt>
                <c:pt idx="3">
                  <c:v>24-06-2024</c:v>
                </c:pt>
                <c:pt idx="4">
                  <c:v>01-07-2024</c:v>
                </c:pt>
                <c:pt idx="5">
                  <c:v>08-07-2024</c:v>
                </c:pt>
                <c:pt idx="6">
                  <c:v>15-07-2024</c:v>
                </c:pt>
                <c:pt idx="7">
                  <c:v>22-07-2024</c:v>
                </c:pt>
                <c:pt idx="8">
                  <c:v>29-07-2024</c:v>
                </c:pt>
                <c:pt idx="9">
                  <c:v>05-08-2024</c:v>
                </c:pt>
                <c:pt idx="10">
                  <c:v>12-08-2024</c:v>
                </c:pt>
                <c:pt idx="11">
                  <c:v>19-08-2024</c:v>
                </c:pt>
                <c:pt idx="12">
                  <c:v>26-08-2024</c:v>
                </c:pt>
                <c:pt idx="13">
                  <c:v>02-09-2024</c:v>
                </c:pt>
                <c:pt idx="14">
                  <c:v>09-09-2024</c:v>
                </c:pt>
                <c:pt idx="15">
                  <c:v>16-09-2024</c:v>
                </c:pt>
                <c:pt idx="16">
                  <c:v>23-09-2024</c:v>
                </c:pt>
                <c:pt idx="17">
                  <c:v>30-09-2024</c:v>
                </c:pt>
                <c:pt idx="18">
                  <c:v>07-10-2024</c:v>
                </c:pt>
                <c:pt idx="19">
                  <c:v>14-10-2024</c:v>
                </c:pt>
                <c:pt idx="20">
                  <c:v>21-10-2024</c:v>
                </c:pt>
                <c:pt idx="21">
                  <c:v>28-10-2024</c:v>
                </c:pt>
                <c:pt idx="22">
                  <c:v>04-11-2024</c:v>
                </c:pt>
                <c:pt idx="23">
                  <c:v>11-11-2024</c:v>
                </c:pt>
                <c:pt idx="24">
                  <c:v>18-11-2024</c:v>
                </c:pt>
                <c:pt idx="25">
                  <c:v>25-11-2024</c:v>
                </c:pt>
                <c:pt idx="26">
                  <c:v>02-12-2024</c:v>
                </c:pt>
                <c:pt idx="27">
                  <c:v>09-12-2024</c:v>
                </c:pt>
                <c:pt idx="28">
                  <c:v>16-12-2024</c:v>
                </c:pt>
                <c:pt idx="29">
                  <c:v>23-12-2024</c:v>
                </c:pt>
                <c:pt idx="30">
                  <c:v>30-12-2024</c:v>
                </c:pt>
                <c:pt idx="31">
                  <c:v>06-01-2025</c:v>
                </c:pt>
                <c:pt idx="32">
                  <c:v>13-01-2025</c:v>
                </c:pt>
                <c:pt idx="33">
                  <c:v>20-01-2025</c:v>
                </c:pt>
                <c:pt idx="34">
                  <c:v>27-01-2025</c:v>
                </c:pt>
                <c:pt idx="35">
                  <c:v>03-02-2025</c:v>
                </c:pt>
                <c:pt idx="36">
                  <c:v>10-02-2025</c:v>
                </c:pt>
                <c:pt idx="37">
                  <c:v>17-02-2025</c:v>
                </c:pt>
                <c:pt idx="38">
                  <c:v>24-02-2025</c:v>
                </c:pt>
                <c:pt idx="39">
                  <c:v>03-03-2025</c:v>
                </c:pt>
                <c:pt idx="40">
                  <c:v>10-03-2025</c:v>
                </c:pt>
                <c:pt idx="41">
                  <c:v>17-03-2025</c:v>
                </c:pt>
                <c:pt idx="42">
                  <c:v>24-03-2025</c:v>
                </c:pt>
                <c:pt idx="43">
                  <c:v>31-03-2025</c:v>
                </c:pt>
                <c:pt idx="44">
                  <c:v>07-04-2025</c:v>
                </c:pt>
                <c:pt idx="45">
                  <c:v>14-04-2025</c:v>
                </c:pt>
                <c:pt idx="46">
                  <c:v>21-04-2025</c:v>
                </c:pt>
                <c:pt idx="47">
                  <c:v>28-04-2025</c:v>
                </c:pt>
                <c:pt idx="48">
                  <c:v>05-05-2025</c:v>
                </c:pt>
                <c:pt idx="49">
                  <c:v>12-05-2025</c:v>
                </c:pt>
              </c:strCache>
            </c:strRef>
          </c:cat>
          <c:val>
            <c:numRef>
              <c:f>'Task 3.2'!$B$3:$B$52</c:f>
              <c:numCache>
                <c:formatCode>0%</c:formatCode>
                <c:ptCount val="50"/>
                <c:pt idx="1">
                  <c:v>0.17706422018348625</c:v>
                </c:pt>
                <c:pt idx="2">
                  <c:v>0.3903420523138833</c:v>
                </c:pt>
                <c:pt idx="3">
                  <c:v>3.9554896142433233</c:v>
                </c:pt>
                <c:pt idx="4">
                  <c:v>-1.5203252032520325</c:v>
                </c:pt>
                <c:pt idx="5">
                  <c:v>2.3956043956043955</c:v>
                </c:pt>
                <c:pt idx="6">
                  <c:v>-1.3190661478599222</c:v>
                </c:pt>
                <c:pt idx="7">
                  <c:v>5.0062499999999996</c:v>
                </c:pt>
                <c:pt idx="8">
                  <c:v>-2.0031545741324921</c:v>
                </c:pt>
                <c:pt idx="9">
                  <c:v>-1.4147368421052631</c:v>
                </c:pt>
                <c:pt idx="10">
                  <c:v>3.1818181818181817</c:v>
                </c:pt>
                <c:pt idx="11">
                  <c:v>2.5193798449612403E-2</c:v>
                </c:pt>
                <c:pt idx="12">
                  <c:v>-0.80526315789473679</c:v>
                </c:pt>
                <c:pt idx="13">
                  <c:v>36.321428571428569</c:v>
                </c:pt>
                <c:pt idx="14">
                  <c:v>3.2882882882882885</c:v>
                </c:pt>
                <c:pt idx="15">
                  <c:v>-0.91090909090909089</c:v>
                </c:pt>
                <c:pt idx="16">
                  <c:v>-0.40625</c:v>
                </c:pt>
                <c:pt idx="17">
                  <c:v>-1.1779324055666005</c:v>
                </c:pt>
                <c:pt idx="18">
                  <c:v>-2.5791324736225089E-2</c:v>
                </c:pt>
                <c:pt idx="19">
                  <c:v>1.4152542372881356</c:v>
                </c:pt>
                <c:pt idx="20">
                  <c:v>0.19618528610354224</c:v>
                </c:pt>
                <c:pt idx="21">
                  <c:v>-0.73989218328840967</c:v>
                </c:pt>
                <c:pt idx="22">
                  <c:v>-0.67410983705491856</c:v>
                </c:pt>
                <c:pt idx="23">
                  <c:v>-1.1015325670498084</c:v>
                </c:pt>
                <c:pt idx="24">
                  <c:v>-0.79369627507163321</c:v>
                </c:pt>
                <c:pt idx="25">
                  <c:v>21.2</c:v>
                </c:pt>
                <c:pt idx="26">
                  <c:v>0.927683615819209</c:v>
                </c:pt>
                <c:pt idx="27">
                  <c:v>3.7182130584192441</c:v>
                </c:pt>
                <c:pt idx="28">
                  <c:v>1.4031413612565444</c:v>
                </c:pt>
                <c:pt idx="29">
                  <c:v>-0.16666666666666666</c:v>
                </c:pt>
                <c:pt idx="30">
                  <c:v>0.11768407803650094</c:v>
                </c:pt>
                <c:pt idx="31">
                  <c:v>-0.57534246575342463</c:v>
                </c:pt>
                <c:pt idx="32">
                  <c:v>-0.64775413711583929</c:v>
                </c:pt>
                <c:pt idx="33">
                  <c:v>-0.52608213096559375</c:v>
                </c:pt>
                <c:pt idx="34">
                  <c:v>0.24033149171270718</c:v>
                </c:pt>
                <c:pt idx="35">
                  <c:v>-0.38938775510204082</c:v>
                </c:pt>
                <c:pt idx="36">
                  <c:v>-5.4926108374384235</c:v>
                </c:pt>
                <c:pt idx="37">
                  <c:v>0.10110803324099724</c:v>
                </c:pt>
                <c:pt idx="38">
                  <c:v>0.45276595744680853</c:v>
                </c:pt>
                <c:pt idx="39">
                  <c:v>-1.1171259842519685</c:v>
                </c:pt>
                <c:pt idx="40">
                  <c:v>1.8825396825396825</c:v>
                </c:pt>
                <c:pt idx="41">
                  <c:v>-0.10144927536231885</c:v>
                </c:pt>
                <c:pt idx="42">
                  <c:v>-0.65776173285198558</c:v>
                </c:pt>
                <c:pt idx="43">
                  <c:v>0.32133676092544988</c:v>
                </c:pt>
                <c:pt idx="44">
                  <c:v>-0.29856850715746419</c:v>
                </c:pt>
                <c:pt idx="45">
                  <c:v>-1.8373205741626795</c:v>
                </c:pt>
                <c:pt idx="46">
                  <c:v>6.2068965517241379</c:v>
                </c:pt>
                <c:pt idx="47">
                  <c:v>-0.72259644825474589</c:v>
                </c:pt>
                <c:pt idx="48">
                  <c:v>-0.46781789638932497</c:v>
                </c:pt>
                <c:pt idx="49">
                  <c:v>-0.52893518518518523</c:v>
                </c:pt>
              </c:numCache>
            </c:numRef>
          </c:val>
          <c:smooth val="0"/>
          <c:extLst>
            <c:ext xmlns:c16="http://schemas.microsoft.com/office/drawing/2014/chart" uri="{C3380CC4-5D6E-409C-BE32-E72D297353CC}">
              <c16:uniqueId val="{00000005-822B-42B8-AB5C-6AA4E2BF32FC}"/>
            </c:ext>
          </c:extLst>
        </c:ser>
        <c:dLbls>
          <c:showLegendKey val="0"/>
          <c:showVal val="0"/>
          <c:showCatName val="0"/>
          <c:showSerName val="0"/>
          <c:showPercent val="0"/>
          <c:showBubbleSize val="0"/>
        </c:dLbls>
        <c:smooth val="0"/>
        <c:axId val="282354320"/>
        <c:axId val="282347600"/>
      </c:lineChart>
      <c:catAx>
        <c:axId val="282354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347600"/>
        <c:crosses val="autoZero"/>
        <c:auto val="1"/>
        <c:lblAlgn val="ctr"/>
        <c:lblOffset val="100"/>
        <c:noMultiLvlLbl val="0"/>
      </c:catAx>
      <c:valAx>
        <c:axId val="2823476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354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[Tesla Project(Solved).xlsx]Task 3.3!PivotTable11</c:name>
    <c:fmtId val="53"/>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'Task 3.3'!$C$3</c:f>
              <c:strCache>
                <c:ptCount val="1"/>
                <c:pt idx="0">
                  <c:v>Average of Ad_Spend</c:v>
                </c:pt>
              </c:strCache>
            </c:strRef>
          </c:tx>
          <c:spPr>
            <a:solidFill>
              <a:schemeClr val="accent2"/>
            </a:solidFill>
            <a:ln>
              <a:noFill/>
            </a:ln>
            <a:effectLst/>
          </c:spPr>
          <c:invertIfNegative val="0"/>
          <c:cat>
            <c:strRef>
              <c:f>'Task 3.3'!$A$4:$A$15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'Task 3.3'!$C$4:$C$15</c:f>
              <c:numCache>
                <c:formatCode>General</c:formatCode>
                <c:ptCount val="12"/>
                <c:pt idx="0">
                  <c:v>27018</c:v>
                </c:pt>
                <c:pt idx="1">
                  <c:v>29594.5</c:v>
                </c:pt>
                <c:pt idx="2">
                  <c:v>23224.400000000001</c:v>
                </c:pt>
                <c:pt idx="3">
                  <c:v>21245</c:v>
                </c:pt>
                <c:pt idx="4">
                  <c:v>48909.5</c:v>
                </c:pt>
                <c:pt idx="5">
                  <c:v>23698.75</c:v>
                </c:pt>
                <c:pt idx="6">
                  <c:v>31048.6</c:v>
                </c:pt>
                <c:pt idx="7">
                  <c:v>26371.5</c:v>
                </c:pt>
                <c:pt idx="8">
                  <c:v>25308</c:v>
                </c:pt>
                <c:pt idx="9">
                  <c:v>31039.75</c:v>
                </c:pt>
                <c:pt idx="10">
                  <c:v>27985.75</c:v>
                </c:pt>
                <c:pt idx="11">
                  <c:v>27200.400000000001</c:v>
                </c:pt>
              </c:numCache>
            </c:numRef>
          </c:val>
          <c:extLst>
            <c:ext xmlns:c16="http://schemas.microsoft.com/office/drawing/2014/chart" uri="{C3380CC4-5D6E-409C-BE32-E72D297353CC}">
              <c16:uniqueId val="{00000001-FFE5-495B-8044-F2BD2CDF28DF}"/>
            </c:ext>
          </c:extLst>
        </c:ser>
        <c:dLbls>
          <c:showLegendKey val="0"/>
          <c:showVal val="0"/>
          <c:showCatName val="0"/>
          <c:showSerName val="0"/>
          <c:showPercent val="0"/>
          <c:showBubbleSize val="0"/>
        </c:dLbls>
        <c:gapWidth val="150"/>
        <c:axId val="677230544"/>
        <c:axId val="677219024"/>
      </c:barChart>
      <c:lineChart>
        <c:grouping val="standard"/>
        <c:varyColors val="0"/>
        <c:ser>
          <c:idx val="0"/>
          <c:order val="0"/>
          <c:tx>
            <c:strRef>
              <c:f>'Task 3.3'!$B$3</c:f>
              <c:strCache>
                <c:ptCount val="1"/>
                <c:pt idx="0">
                  <c:v>Average of Engagement_Rate</c:v>
                </c:pt>
              </c:strCache>
            </c:strRef>
          </c:tx>
          <c:spPr>
            <a:ln w="28575" cap="rnd">
              <a:solidFill>
                <a:schemeClr val="accent1"/>
              </a:solidFill>
              <a:round/>
            </a:ln>
            <a:effectLst/>
          </c:spPr>
          <c:marker>
            <c:symbol val="none"/>
          </c:marker>
          <c:cat>
            <c:strRef>
              <c:f>'Task 3.3'!$A$4:$A$15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'Task 3.3'!$B$4:$B$15</c:f>
              <c:numCache>
                <c:formatCode>General</c:formatCode>
                <c:ptCount val="12"/>
                <c:pt idx="0">
                  <c:v>6.1724999999999994</c:v>
                </c:pt>
                <c:pt idx="1">
                  <c:v>7.0949999999999998</c:v>
                </c:pt>
                <c:pt idx="2">
                  <c:v>7.3719999999999999</c:v>
                </c:pt>
                <c:pt idx="3">
                  <c:v>3.4449999999999998</c:v>
                </c:pt>
                <c:pt idx="4">
                  <c:v>4.7949999999999999</c:v>
                </c:pt>
                <c:pt idx="5">
                  <c:v>6.1449999999999996</c:v>
                </c:pt>
                <c:pt idx="6">
                  <c:v>5.6840000000000002</c:v>
                </c:pt>
                <c:pt idx="7">
                  <c:v>7.5</c:v>
                </c:pt>
                <c:pt idx="8">
                  <c:v>5.3</c:v>
                </c:pt>
                <c:pt idx="9">
                  <c:v>3.3125</c:v>
                </c:pt>
                <c:pt idx="10">
                  <c:v>5.2249999999999996</c:v>
                </c:pt>
                <c:pt idx="11">
                  <c:v>5.0959999999999992</c:v>
                </c:pt>
              </c:numCache>
            </c:numRef>
          </c:val>
          <c:smooth val="0"/>
          <c:extLst>
            <c:ext xmlns:c16="http://schemas.microsoft.com/office/drawing/2014/chart" uri="{C3380CC4-5D6E-409C-BE32-E72D297353CC}">
              <c16:uniqueId val="{00000000-7307-47D8-8EAB-99B42110DB44}"/>
            </c:ext>
          </c:extLst>
        </c:ser>
        <c:dLbls>
          <c:showLegendKey val="0"/>
          <c:showVal val="0"/>
          <c:showCatName val="0"/>
          <c:showSerName val="0"/>
          <c:showPercent val="0"/>
          <c:showBubbleSize val="0"/>
        </c:dLbls>
        <c:marker val="1"/>
        <c:smooth val="0"/>
        <c:axId val="890141391"/>
        <c:axId val="890137551"/>
      </c:lineChart>
      <c:catAx>
        <c:axId val="677230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219024"/>
        <c:crosses val="autoZero"/>
        <c:auto val="1"/>
        <c:lblAlgn val="ctr"/>
        <c:lblOffset val="100"/>
        <c:noMultiLvlLbl val="0"/>
      </c:catAx>
      <c:valAx>
        <c:axId val="677219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230544"/>
        <c:crosses val="autoZero"/>
        <c:crossBetween val="between"/>
      </c:valAx>
      <c:valAx>
        <c:axId val="89013755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141391"/>
        <c:crosses val="max"/>
        <c:crossBetween val="between"/>
      </c:valAx>
      <c:catAx>
        <c:axId val="890141391"/>
        <c:scaling>
          <c:orientation val="minMax"/>
        </c:scaling>
        <c:delete val="1"/>
        <c:axPos val="b"/>
        <c:numFmt formatCode="General" sourceLinked="1"/>
        <c:majorTickMark val="out"/>
        <c:minorTickMark val="none"/>
        <c:tickLblPos val="nextTo"/>
        <c:crossAx val="89013755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[Tesla Project(Solved).xlsx]Task 6.1 &amp; 6.2!PivotTable46</c:name>
    <c:fmtId val="3"/>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'Task 6.1 &amp; 6.2'!$B$3</c:f>
              <c:strCache>
                <c:ptCount val="1"/>
                <c:pt idx="0">
                  <c:v>Total</c:v>
                </c:pt>
              </c:strCache>
            </c:strRef>
          </c:tx>
          <c:spPr>
            <a:ln w="28575" cap="rnd">
              <a:solidFill>
                <a:schemeClr val="accent1"/>
              </a:solidFill>
              <a:round/>
            </a:ln>
            <a:effectLst/>
          </c:spPr>
          <c:marker>
            <c:symbol val="none"/>
          </c:marker>
          <c:cat>
            <c:strRef>
              <c:f>'Task 6.1 &amp; 6.2'!$A$4:$A$54</c:f>
              <c:strCache>
                <c:ptCount val="50"/>
                <c:pt idx="0">
                  <c:v>03-06-2024</c:v>
                </c:pt>
                <c:pt idx="1">
                  <c:v>10-06-2024</c:v>
                </c:pt>
                <c:pt idx="2">
                  <c:v>17-06-2024</c:v>
                </c:pt>
                <c:pt idx="3">
                  <c:v>24-06-2024</c:v>
                </c:pt>
                <c:pt idx="4">
                  <c:v>01-07-2024</c:v>
                </c:pt>
                <c:pt idx="5">
                  <c:v>08-07-2024</c:v>
                </c:pt>
                <c:pt idx="6">
                  <c:v>15-07-2024</c:v>
                </c:pt>
                <c:pt idx="7">
                  <c:v>22-07-2024</c:v>
                </c:pt>
                <c:pt idx="8">
                  <c:v>29-07-2024</c:v>
                </c:pt>
                <c:pt idx="9">
                  <c:v>05-08-2024</c:v>
                </c:pt>
                <c:pt idx="10">
                  <c:v>12-08-2024</c:v>
                </c:pt>
                <c:pt idx="11">
                  <c:v>19-08-2024</c:v>
                </c:pt>
                <c:pt idx="12">
                  <c:v>26-08-2024</c:v>
                </c:pt>
                <c:pt idx="13">
                  <c:v>02-09-2024</c:v>
                </c:pt>
                <c:pt idx="14">
                  <c:v>09-09-2024</c:v>
                </c:pt>
                <c:pt idx="15">
                  <c:v>16-09-2024</c:v>
                </c:pt>
                <c:pt idx="16">
                  <c:v>23-09-2024</c:v>
                </c:pt>
                <c:pt idx="17">
                  <c:v>30-09-2024</c:v>
                </c:pt>
                <c:pt idx="18">
                  <c:v>07-10-2024</c:v>
                </c:pt>
                <c:pt idx="19">
                  <c:v>14-10-2024</c:v>
                </c:pt>
                <c:pt idx="20">
                  <c:v>21-10-2024</c:v>
                </c:pt>
                <c:pt idx="21">
                  <c:v>28-10-2024</c:v>
                </c:pt>
                <c:pt idx="22">
                  <c:v>04-11-2024</c:v>
                </c:pt>
                <c:pt idx="23">
                  <c:v>11-11-2024</c:v>
                </c:pt>
                <c:pt idx="24">
                  <c:v>18-11-2024</c:v>
                </c:pt>
                <c:pt idx="25">
                  <c:v>25-11-2024</c:v>
                </c:pt>
                <c:pt idx="26">
                  <c:v>02-12-2024</c:v>
                </c:pt>
                <c:pt idx="27">
                  <c:v>09-12-2024</c:v>
                </c:pt>
                <c:pt idx="28">
                  <c:v>16-12-2024</c:v>
                </c:pt>
                <c:pt idx="29">
                  <c:v>23-12-2024</c:v>
                </c:pt>
                <c:pt idx="30">
                  <c:v>30-12-2024</c:v>
                </c:pt>
                <c:pt idx="31">
                  <c:v>06-01-2025</c:v>
                </c:pt>
                <c:pt idx="32">
                  <c:v>13-01-2025</c:v>
                </c:pt>
                <c:pt idx="33">
                  <c:v>20-01-2025</c:v>
                </c:pt>
                <c:pt idx="34">
                  <c:v>27-01-2025</c:v>
                </c:pt>
                <c:pt idx="35">
                  <c:v>03-02-2025</c:v>
                </c:pt>
                <c:pt idx="36">
                  <c:v>10-02-2025</c:v>
                </c:pt>
                <c:pt idx="37">
                  <c:v>17-02-2025</c:v>
                </c:pt>
                <c:pt idx="38">
                  <c:v>24-02-2025</c:v>
                </c:pt>
                <c:pt idx="39">
                  <c:v>03-03-2025</c:v>
                </c:pt>
                <c:pt idx="40">
                  <c:v>10-03-2025</c:v>
                </c:pt>
                <c:pt idx="41">
                  <c:v>17-03-2025</c:v>
                </c:pt>
                <c:pt idx="42">
                  <c:v>24-03-2025</c:v>
                </c:pt>
                <c:pt idx="43">
                  <c:v>31-03-2025</c:v>
                </c:pt>
                <c:pt idx="44">
                  <c:v>07-04-2025</c:v>
                </c:pt>
                <c:pt idx="45">
                  <c:v>14-04-2025</c:v>
                </c:pt>
                <c:pt idx="46">
                  <c:v>21-04-2025</c:v>
                </c:pt>
                <c:pt idx="47">
                  <c:v>28-04-2025</c:v>
                </c:pt>
                <c:pt idx="48">
                  <c:v>05-05-2025</c:v>
                </c:pt>
                <c:pt idx="49">
                  <c:v>12-05-2025</c:v>
                </c:pt>
              </c:strCache>
            </c:strRef>
          </c:cat>
          <c:val>
            <c:numRef>
              <c:f>'Task 6.1 &amp; 6.2'!$B$4:$B$54</c:f>
              <c:numCache>
                <c:formatCode>General</c:formatCode>
                <c:ptCount val="50"/>
                <c:pt idx="0">
                  <c:v>1047</c:v>
                </c:pt>
                <c:pt idx="1">
                  <c:v>517</c:v>
                </c:pt>
                <c:pt idx="2">
                  <c:v>893</c:v>
                </c:pt>
                <c:pt idx="3">
                  <c:v>629</c:v>
                </c:pt>
                <c:pt idx="4">
                  <c:v>-219</c:v>
                </c:pt>
                <c:pt idx="5">
                  <c:v>1672</c:v>
                </c:pt>
                <c:pt idx="6">
                  <c:v>1845</c:v>
                </c:pt>
                <c:pt idx="7">
                  <c:v>159</c:v>
                </c:pt>
                <c:pt idx="8">
                  <c:v>541</c:v>
                </c:pt>
                <c:pt idx="9">
                  <c:v>352</c:v>
                </c:pt>
                <c:pt idx="10">
                  <c:v>1325</c:v>
                </c:pt>
                <c:pt idx="11">
                  <c:v>76</c:v>
                </c:pt>
                <c:pt idx="12">
                  <c:v>1609</c:v>
                </c:pt>
                <c:pt idx="13">
                  <c:v>1247</c:v>
                </c:pt>
                <c:pt idx="14">
                  <c:v>1572</c:v>
                </c:pt>
                <c:pt idx="15">
                  <c:v>377</c:v>
                </c:pt>
                <c:pt idx="16">
                  <c:v>666</c:v>
                </c:pt>
                <c:pt idx="17">
                  <c:v>1025</c:v>
                </c:pt>
                <c:pt idx="18">
                  <c:v>1872</c:v>
                </c:pt>
                <c:pt idx="19">
                  <c:v>1224</c:v>
                </c:pt>
                <c:pt idx="20">
                  <c:v>262</c:v>
                </c:pt>
                <c:pt idx="21">
                  <c:v>576</c:v>
                </c:pt>
                <c:pt idx="22">
                  <c:v>1397</c:v>
                </c:pt>
                <c:pt idx="23">
                  <c:v>902</c:v>
                </c:pt>
                <c:pt idx="24">
                  <c:v>-49</c:v>
                </c:pt>
                <c:pt idx="25">
                  <c:v>1693</c:v>
                </c:pt>
                <c:pt idx="26">
                  <c:v>1625</c:v>
                </c:pt>
                <c:pt idx="27">
                  <c:v>1119</c:v>
                </c:pt>
                <c:pt idx="28">
                  <c:v>1432</c:v>
                </c:pt>
                <c:pt idx="29">
                  <c:v>684</c:v>
                </c:pt>
                <c:pt idx="30">
                  <c:v>1765</c:v>
                </c:pt>
                <c:pt idx="31">
                  <c:v>903</c:v>
                </c:pt>
                <c:pt idx="32">
                  <c:v>1722</c:v>
                </c:pt>
                <c:pt idx="33">
                  <c:v>1572</c:v>
                </c:pt>
                <c:pt idx="34">
                  <c:v>-166</c:v>
                </c:pt>
                <c:pt idx="35">
                  <c:v>1080</c:v>
                </c:pt>
                <c:pt idx="36">
                  <c:v>1723</c:v>
                </c:pt>
                <c:pt idx="37">
                  <c:v>965</c:v>
                </c:pt>
                <c:pt idx="38">
                  <c:v>1375</c:v>
                </c:pt>
                <c:pt idx="39">
                  <c:v>1315</c:v>
                </c:pt>
                <c:pt idx="40">
                  <c:v>212</c:v>
                </c:pt>
                <c:pt idx="41">
                  <c:v>680</c:v>
                </c:pt>
                <c:pt idx="42">
                  <c:v>461</c:v>
                </c:pt>
                <c:pt idx="43">
                  <c:v>641</c:v>
                </c:pt>
                <c:pt idx="44">
                  <c:v>167</c:v>
                </c:pt>
                <c:pt idx="45">
                  <c:v>-160</c:v>
                </c:pt>
                <c:pt idx="46">
                  <c:v>603</c:v>
                </c:pt>
                <c:pt idx="47">
                  <c:v>1539</c:v>
                </c:pt>
                <c:pt idx="48">
                  <c:v>1881</c:v>
                </c:pt>
                <c:pt idx="49">
                  <c:v>1656</c:v>
                </c:pt>
              </c:numCache>
            </c:numRef>
          </c:val>
          <c:smooth val="0"/>
          <c:extLst>
            <c:ext xmlns:c16="http://schemas.microsoft.com/office/drawing/2014/chart" uri="{C3380CC4-5D6E-409C-BE32-E72D297353CC}">
              <c16:uniqueId val="{00000000-E707-4BDE-BC3D-934853A59464}"/>
            </c:ext>
          </c:extLst>
        </c:ser>
        <c:dLbls>
          <c:showLegendKey val="0"/>
          <c:showVal val="0"/>
          <c:showCatName val="0"/>
          <c:showSerName val="0"/>
          <c:showPercent val="0"/>
          <c:showBubbleSize val="0"/>
        </c:dLbls>
        <c:smooth val="0"/>
        <c:axId val="677218544"/>
        <c:axId val="677231024"/>
      </c:lineChart>
      <c:catAx>
        <c:axId val="677218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231024"/>
        <c:crosses val="autoZero"/>
        <c:auto val="1"/>
        <c:lblAlgn val="ctr"/>
        <c:lblOffset val="100"/>
        <c:noMultiLvlLbl val="0"/>
      </c:catAx>
      <c:valAx>
        <c:axId val="6772310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218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3-week Moving Average</a:t>
            </a:r>
          </a:p>
          <a:p>
            <a:pPr>
              <a:defRPr/>
            </a:pPr>
            <a:r>
              <a:rPr lang="en-US"/>
              <a:t>Growth</a:t>
            </a:r>
            <a:r>
              <a:rPr lang="en-US" baseline="0"/>
              <a:t> Trend</a:t>
            </a:r>
          </a:p>
        </c:rich>
      </c:tx>
      <c:layout>
        <c:manualLayout>
          <c:xMode val="edge"/>
          <c:yMode val="edge"/>
          <c:x val="0.37242535507529645"/>
          <c:y val="3.27198364008179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'Engagement Summary'!$H$1</c:f>
              <c:strCache>
                <c:ptCount val="1"/>
                <c:pt idx="0">
                  <c:v>Net new follower</c:v>
                </c:pt>
              </c:strCache>
            </c:strRef>
          </c:tx>
          <c:spPr>
            <a:ln w="28575" cap="rnd">
              <a:solidFill>
                <a:schemeClr val="accent1"/>
              </a:solidFill>
              <a:round/>
            </a:ln>
            <a:effectLst/>
          </c:spPr>
          <c:marker>
            <c:symbol val="none"/>
          </c:marker>
          <c:trendline>
            <c:spPr>
              <a:ln w="19050" cap="rnd">
                <a:solidFill>
                  <a:srgbClr val="FF0000"/>
                </a:solidFill>
                <a:prstDash val="sysDot"/>
              </a:ln>
              <a:effectLst>
                <a:glow>
                  <a:srgbClr val="FF0000"/>
                </a:glow>
              </a:effectLst>
            </c:spPr>
            <c:trendlineType val="movingAvg"/>
            <c:period val="3"/>
            <c:dispRSqr val="0"/>
            <c:dispEq val="0"/>
          </c:trendline>
          <c:cat>
            <c:numRef>
              <c:f>'Engagement Summary'!$A$2:$A$202</c:f>
              <c:numCache>
                <c:formatCode>m/d/yyyy</c:formatCode>
                <c:ptCount val="201"/>
                <c:pt idx="0">
                  <c:v>45446</c:v>
                </c:pt>
                <c:pt idx="1">
                  <c:v>45446</c:v>
                </c:pt>
                <c:pt idx="2">
                  <c:v>45446</c:v>
                </c:pt>
                <c:pt idx="3">
                  <c:v>45446</c:v>
                </c:pt>
                <c:pt idx="4">
                  <c:v>45453</c:v>
                </c:pt>
                <c:pt idx="5">
                  <c:v>45453</c:v>
                </c:pt>
                <c:pt idx="6">
                  <c:v>45453</c:v>
                </c:pt>
                <c:pt idx="7">
                  <c:v>45453</c:v>
                </c:pt>
                <c:pt idx="8">
                  <c:v>45460</c:v>
                </c:pt>
                <c:pt idx="9">
                  <c:v>45460</c:v>
                </c:pt>
                <c:pt idx="10">
                  <c:v>45460</c:v>
                </c:pt>
                <c:pt idx="11">
                  <c:v>45460</c:v>
                </c:pt>
                <c:pt idx="12">
                  <c:v>45467</c:v>
                </c:pt>
                <c:pt idx="13">
                  <c:v>45467</c:v>
                </c:pt>
                <c:pt idx="14">
                  <c:v>45467</c:v>
                </c:pt>
                <c:pt idx="15">
                  <c:v>45467</c:v>
                </c:pt>
                <c:pt idx="16">
                  <c:v>45474</c:v>
                </c:pt>
                <c:pt idx="17">
                  <c:v>45474</c:v>
                </c:pt>
                <c:pt idx="18">
                  <c:v>45474</c:v>
                </c:pt>
                <c:pt idx="19">
                  <c:v>45474</c:v>
                </c:pt>
                <c:pt idx="20">
                  <c:v>45481</c:v>
                </c:pt>
                <c:pt idx="21">
                  <c:v>45481</c:v>
                </c:pt>
                <c:pt idx="22">
                  <c:v>45481</c:v>
                </c:pt>
                <c:pt idx="23">
                  <c:v>45481</c:v>
                </c:pt>
                <c:pt idx="24">
                  <c:v>45488</c:v>
                </c:pt>
                <c:pt idx="25">
                  <c:v>45488</c:v>
                </c:pt>
                <c:pt idx="26">
                  <c:v>45488</c:v>
                </c:pt>
                <c:pt idx="27">
                  <c:v>45488</c:v>
                </c:pt>
                <c:pt idx="28">
                  <c:v>45495</c:v>
                </c:pt>
                <c:pt idx="29">
                  <c:v>45495</c:v>
                </c:pt>
                <c:pt idx="30">
                  <c:v>45495</c:v>
                </c:pt>
                <c:pt idx="31">
                  <c:v>45495</c:v>
                </c:pt>
                <c:pt idx="32">
                  <c:v>45502</c:v>
                </c:pt>
                <c:pt idx="33">
                  <c:v>45502</c:v>
                </c:pt>
                <c:pt idx="34">
                  <c:v>45502</c:v>
                </c:pt>
                <c:pt idx="35">
                  <c:v>45502</c:v>
                </c:pt>
                <c:pt idx="36">
                  <c:v>45509</c:v>
                </c:pt>
                <c:pt idx="37">
                  <c:v>45509</c:v>
                </c:pt>
                <c:pt idx="38">
                  <c:v>45509</c:v>
                </c:pt>
                <c:pt idx="39">
                  <c:v>45509</c:v>
                </c:pt>
                <c:pt idx="40">
                  <c:v>45516</c:v>
                </c:pt>
                <c:pt idx="41">
                  <c:v>45516</c:v>
                </c:pt>
                <c:pt idx="42">
                  <c:v>45516</c:v>
                </c:pt>
                <c:pt idx="43">
                  <c:v>45516</c:v>
                </c:pt>
                <c:pt idx="44">
                  <c:v>45523</c:v>
                </c:pt>
                <c:pt idx="45">
                  <c:v>45523</c:v>
                </c:pt>
                <c:pt idx="46">
                  <c:v>45523</c:v>
                </c:pt>
                <c:pt idx="47">
                  <c:v>45523</c:v>
                </c:pt>
                <c:pt idx="48">
                  <c:v>45530</c:v>
                </c:pt>
                <c:pt idx="49">
                  <c:v>45530</c:v>
                </c:pt>
                <c:pt idx="50">
                  <c:v>45530</c:v>
                </c:pt>
                <c:pt idx="51">
                  <c:v>45530</c:v>
                </c:pt>
                <c:pt idx="52">
                  <c:v>45537</c:v>
                </c:pt>
                <c:pt idx="53">
                  <c:v>45537</c:v>
                </c:pt>
                <c:pt idx="54">
                  <c:v>45537</c:v>
                </c:pt>
                <c:pt idx="55">
                  <c:v>45537</c:v>
                </c:pt>
                <c:pt idx="56">
                  <c:v>45544</c:v>
                </c:pt>
                <c:pt idx="57">
                  <c:v>45544</c:v>
                </c:pt>
                <c:pt idx="58">
                  <c:v>45544</c:v>
                </c:pt>
                <c:pt idx="59">
                  <c:v>45544</c:v>
                </c:pt>
                <c:pt idx="60">
                  <c:v>45551</c:v>
                </c:pt>
                <c:pt idx="61">
                  <c:v>45551</c:v>
                </c:pt>
                <c:pt idx="62">
                  <c:v>45551</c:v>
                </c:pt>
                <c:pt idx="63">
                  <c:v>45551</c:v>
                </c:pt>
                <c:pt idx="64">
                  <c:v>45558</c:v>
                </c:pt>
                <c:pt idx="65">
                  <c:v>45558</c:v>
                </c:pt>
                <c:pt idx="66">
                  <c:v>45558</c:v>
                </c:pt>
                <c:pt idx="67">
                  <c:v>45558</c:v>
                </c:pt>
                <c:pt idx="68">
                  <c:v>45565</c:v>
                </c:pt>
                <c:pt idx="69">
                  <c:v>45565</c:v>
                </c:pt>
                <c:pt idx="70">
                  <c:v>45565</c:v>
                </c:pt>
                <c:pt idx="71">
                  <c:v>45565</c:v>
                </c:pt>
                <c:pt idx="72">
                  <c:v>45572</c:v>
                </c:pt>
                <c:pt idx="73">
                  <c:v>45572</c:v>
                </c:pt>
                <c:pt idx="74">
                  <c:v>45572</c:v>
                </c:pt>
                <c:pt idx="75">
                  <c:v>45572</c:v>
                </c:pt>
                <c:pt idx="76">
                  <c:v>45579</c:v>
                </c:pt>
                <c:pt idx="77">
                  <c:v>45579</c:v>
                </c:pt>
                <c:pt idx="78">
                  <c:v>45579</c:v>
                </c:pt>
                <c:pt idx="79">
                  <c:v>45579</c:v>
                </c:pt>
                <c:pt idx="80">
                  <c:v>45586</c:v>
                </c:pt>
                <c:pt idx="81">
                  <c:v>45586</c:v>
                </c:pt>
                <c:pt idx="82">
                  <c:v>45586</c:v>
                </c:pt>
                <c:pt idx="83">
                  <c:v>45586</c:v>
                </c:pt>
                <c:pt idx="84">
                  <c:v>45593</c:v>
                </c:pt>
                <c:pt idx="85">
                  <c:v>45593</c:v>
                </c:pt>
                <c:pt idx="86">
                  <c:v>45593</c:v>
                </c:pt>
                <c:pt idx="87">
                  <c:v>45593</c:v>
                </c:pt>
                <c:pt idx="88">
                  <c:v>45600</c:v>
                </c:pt>
                <c:pt idx="89">
                  <c:v>45600</c:v>
                </c:pt>
                <c:pt idx="90">
                  <c:v>45600</c:v>
                </c:pt>
                <c:pt idx="91">
                  <c:v>45600</c:v>
                </c:pt>
                <c:pt idx="92">
                  <c:v>45607</c:v>
                </c:pt>
                <c:pt idx="93">
                  <c:v>45607</c:v>
                </c:pt>
                <c:pt idx="94">
                  <c:v>45607</c:v>
                </c:pt>
                <c:pt idx="95">
                  <c:v>45607</c:v>
                </c:pt>
                <c:pt idx="96">
                  <c:v>45614</c:v>
                </c:pt>
                <c:pt idx="97">
                  <c:v>45614</c:v>
                </c:pt>
                <c:pt idx="98">
                  <c:v>45614</c:v>
                </c:pt>
                <c:pt idx="99">
                  <c:v>45614</c:v>
                </c:pt>
                <c:pt idx="100">
                  <c:v>45621</c:v>
                </c:pt>
                <c:pt idx="101">
                  <c:v>45621</c:v>
                </c:pt>
                <c:pt idx="102">
                  <c:v>45621</c:v>
                </c:pt>
                <c:pt idx="103">
                  <c:v>45621</c:v>
                </c:pt>
                <c:pt idx="104">
                  <c:v>45628</c:v>
                </c:pt>
                <c:pt idx="105">
                  <c:v>45628</c:v>
                </c:pt>
                <c:pt idx="106">
                  <c:v>45628</c:v>
                </c:pt>
                <c:pt idx="107">
                  <c:v>45628</c:v>
                </c:pt>
                <c:pt idx="108">
                  <c:v>45635</c:v>
                </c:pt>
                <c:pt idx="109">
                  <c:v>45635</c:v>
                </c:pt>
                <c:pt idx="110">
                  <c:v>45635</c:v>
                </c:pt>
                <c:pt idx="111">
                  <c:v>45635</c:v>
                </c:pt>
                <c:pt idx="112">
                  <c:v>45642</c:v>
                </c:pt>
                <c:pt idx="113">
                  <c:v>45642</c:v>
                </c:pt>
                <c:pt idx="114">
                  <c:v>45642</c:v>
                </c:pt>
                <c:pt idx="115">
                  <c:v>45642</c:v>
                </c:pt>
                <c:pt idx="116">
                  <c:v>45649</c:v>
                </c:pt>
                <c:pt idx="117">
                  <c:v>45649</c:v>
                </c:pt>
                <c:pt idx="118">
                  <c:v>45649</c:v>
                </c:pt>
                <c:pt idx="119">
                  <c:v>45649</c:v>
                </c:pt>
                <c:pt idx="120">
                  <c:v>45656</c:v>
                </c:pt>
                <c:pt idx="121">
                  <c:v>45656</c:v>
                </c:pt>
                <c:pt idx="122">
                  <c:v>45656</c:v>
                </c:pt>
                <c:pt idx="123">
                  <c:v>45656</c:v>
                </c:pt>
                <c:pt idx="124">
                  <c:v>45663</c:v>
                </c:pt>
                <c:pt idx="125">
                  <c:v>45663</c:v>
                </c:pt>
                <c:pt idx="126">
                  <c:v>45663</c:v>
                </c:pt>
                <c:pt idx="127">
                  <c:v>45663</c:v>
                </c:pt>
                <c:pt idx="128">
                  <c:v>45670</c:v>
                </c:pt>
                <c:pt idx="129">
                  <c:v>45670</c:v>
                </c:pt>
                <c:pt idx="130">
                  <c:v>45670</c:v>
                </c:pt>
                <c:pt idx="131">
                  <c:v>45670</c:v>
                </c:pt>
                <c:pt idx="132">
                  <c:v>45677</c:v>
                </c:pt>
                <c:pt idx="133">
                  <c:v>45677</c:v>
                </c:pt>
                <c:pt idx="134">
                  <c:v>45677</c:v>
                </c:pt>
                <c:pt idx="135">
                  <c:v>45677</c:v>
                </c:pt>
                <c:pt idx="136">
                  <c:v>45684</c:v>
                </c:pt>
                <c:pt idx="137">
                  <c:v>45684</c:v>
                </c:pt>
                <c:pt idx="138">
                  <c:v>45684</c:v>
                </c:pt>
                <c:pt idx="139">
                  <c:v>45684</c:v>
                </c:pt>
                <c:pt idx="140">
                  <c:v>45691</c:v>
                </c:pt>
                <c:pt idx="141">
                  <c:v>45691</c:v>
                </c:pt>
                <c:pt idx="142">
                  <c:v>45691</c:v>
                </c:pt>
                <c:pt idx="143">
                  <c:v>45691</c:v>
                </c:pt>
                <c:pt idx="144">
                  <c:v>45698</c:v>
                </c:pt>
                <c:pt idx="145">
                  <c:v>45698</c:v>
                </c:pt>
                <c:pt idx="146">
                  <c:v>45698</c:v>
                </c:pt>
                <c:pt idx="147">
                  <c:v>45698</c:v>
                </c:pt>
                <c:pt idx="148">
                  <c:v>45705</c:v>
                </c:pt>
                <c:pt idx="149">
                  <c:v>45705</c:v>
                </c:pt>
                <c:pt idx="150">
                  <c:v>45705</c:v>
                </c:pt>
                <c:pt idx="151">
                  <c:v>45705</c:v>
                </c:pt>
                <c:pt idx="152">
                  <c:v>45712</c:v>
                </c:pt>
                <c:pt idx="153">
                  <c:v>45712</c:v>
                </c:pt>
                <c:pt idx="154">
                  <c:v>45712</c:v>
                </c:pt>
                <c:pt idx="155">
                  <c:v>45712</c:v>
                </c:pt>
                <c:pt idx="156">
                  <c:v>45719</c:v>
                </c:pt>
                <c:pt idx="157">
                  <c:v>45719</c:v>
                </c:pt>
                <c:pt idx="158">
                  <c:v>45719</c:v>
                </c:pt>
                <c:pt idx="159">
                  <c:v>45719</c:v>
                </c:pt>
                <c:pt idx="160">
                  <c:v>45726</c:v>
                </c:pt>
                <c:pt idx="161">
                  <c:v>45726</c:v>
                </c:pt>
                <c:pt idx="162">
                  <c:v>45726</c:v>
                </c:pt>
                <c:pt idx="163">
                  <c:v>45726</c:v>
                </c:pt>
                <c:pt idx="164">
                  <c:v>45733</c:v>
                </c:pt>
                <c:pt idx="165">
                  <c:v>45733</c:v>
                </c:pt>
                <c:pt idx="166">
                  <c:v>45733</c:v>
                </c:pt>
                <c:pt idx="167">
                  <c:v>45733</c:v>
                </c:pt>
                <c:pt idx="168">
                  <c:v>45740</c:v>
                </c:pt>
                <c:pt idx="169">
                  <c:v>45740</c:v>
                </c:pt>
                <c:pt idx="170">
                  <c:v>45740</c:v>
                </c:pt>
                <c:pt idx="171">
                  <c:v>45740</c:v>
                </c:pt>
                <c:pt idx="172">
                  <c:v>45747</c:v>
                </c:pt>
                <c:pt idx="173">
                  <c:v>45747</c:v>
                </c:pt>
                <c:pt idx="174">
                  <c:v>45747</c:v>
                </c:pt>
                <c:pt idx="175">
                  <c:v>45747</c:v>
                </c:pt>
                <c:pt idx="176">
                  <c:v>45754</c:v>
                </c:pt>
                <c:pt idx="177">
                  <c:v>45754</c:v>
                </c:pt>
                <c:pt idx="178">
                  <c:v>45754</c:v>
                </c:pt>
                <c:pt idx="179">
                  <c:v>45754</c:v>
                </c:pt>
                <c:pt idx="180">
                  <c:v>45761</c:v>
                </c:pt>
                <c:pt idx="181">
                  <c:v>45761</c:v>
                </c:pt>
                <c:pt idx="182">
                  <c:v>45761</c:v>
                </c:pt>
                <c:pt idx="183">
                  <c:v>45761</c:v>
                </c:pt>
                <c:pt idx="184">
                  <c:v>45768</c:v>
                </c:pt>
                <c:pt idx="185">
                  <c:v>45768</c:v>
                </c:pt>
                <c:pt idx="186">
                  <c:v>45768</c:v>
                </c:pt>
                <c:pt idx="187">
                  <c:v>45768</c:v>
                </c:pt>
                <c:pt idx="188">
                  <c:v>45775</c:v>
                </c:pt>
                <c:pt idx="189">
                  <c:v>45775</c:v>
                </c:pt>
                <c:pt idx="190">
                  <c:v>45775</c:v>
                </c:pt>
                <c:pt idx="191">
                  <c:v>45775</c:v>
                </c:pt>
                <c:pt idx="192">
                  <c:v>45782</c:v>
                </c:pt>
                <c:pt idx="193">
                  <c:v>45782</c:v>
                </c:pt>
                <c:pt idx="194">
                  <c:v>45782</c:v>
                </c:pt>
                <c:pt idx="195">
                  <c:v>45782</c:v>
                </c:pt>
                <c:pt idx="196">
                  <c:v>45789</c:v>
                </c:pt>
                <c:pt idx="197">
                  <c:v>45789</c:v>
                </c:pt>
                <c:pt idx="198">
                  <c:v>45789</c:v>
                </c:pt>
                <c:pt idx="199">
                  <c:v>45789</c:v>
                </c:pt>
              </c:numCache>
            </c:numRef>
          </c:cat>
          <c:val>
            <c:numRef>
              <c:f>'Engagement Summary'!$H$2:$H$202</c:f>
              <c:numCache>
                <c:formatCode>General</c:formatCode>
                <c:ptCount val="201"/>
                <c:pt idx="0">
                  <c:v>1047</c:v>
                </c:pt>
                <c:pt idx="1">
                  <c:v>1002</c:v>
                </c:pt>
                <c:pt idx="2">
                  <c:v>415</c:v>
                </c:pt>
                <c:pt idx="3">
                  <c:v>1090</c:v>
                </c:pt>
                <c:pt idx="4">
                  <c:v>517</c:v>
                </c:pt>
                <c:pt idx="5">
                  <c:v>1283</c:v>
                </c:pt>
                <c:pt idx="6">
                  <c:v>186</c:v>
                </c:pt>
                <c:pt idx="7">
                  <c:v>994</c:v>
                </c:pt>
                <c:pt idx="8">
                  <c:v>893</c:v>
                </c:pt>
                <c:pt idx="9">
                  <c:v>1382</c:v>
                </c:pt>
                <c:pt idx="10">
                  <c:v>1295</c:v>
                </c:pt>
                <c:pt idx="11">
                  <c:v>337</c:v>
                </c:pt>
                <c:pt idx="12">
                  <c:v>629</c:v>
                </c:pt>
                <c:pt idx="13">
                  <c:v>1670</c:v>
                </c:pt>
                <c:pt idx="14">
                  <c:v>835</c:v>
                </c:pt>
                <c:pt idx="15">
                  <c:v>-123</c:v>
                </c:pt>
                <c:pt idx="16">
                  <c:v>-219</c:v>
                </c:pt>
                <c:pt idx="17">
                  <c:v>64</c:v>
                </c:pt>
                <c:pt idx="18">
                  <c:v>1357</c:v>
                </c:pt>
                <c:pt idx="19">
                  <c:v>91</c:v>
                </c:pt>
                <c:pt idx="20">
                  <c:v>1672</c:v>
                </c:pt>
                <c:pt idx="21">
                  <c:v>309</c:v>
                </c:pt>
                <c:pt idx="22">
                  <c:v>547</c:v>
                </c:pt>
                <c:pt idx="23">
                  <c:v>514</c:v>
                </c:pt>
                <c:pt idx="24">
                  <c:v>1845</c:v>
                </c:pt>
                <c:pt idx="25">
                  <c:v>-164</c:v>
                </c:pt>
                <c:pt idx="26">
                  <c:v>429</c:v>
                </c:pt>
                <c:pt idx="27">
                  <c:v>160</c:v>
                </c:pt>
                <c:pt idx="28">
                  <c:v>159</c:v>
                </c:pt>
                <c:pt idx="29">
                  <c:v>961</c:v>
                </c:pt>
                <c:pt idx="30">
                  <c:v>1316</c:v>
                </c:pt>
                <c:pt idx="31">
                  <c:v>317</c:v>
                </c:pt>
                <c:pt idx="32">
                  <c:v>541</c:v>
                </c:pt>
                <c:pt idx="33">
                  <c:v>-318</c:v>
                </c:pt>
                <c:pt idx="34">
                  <c:v>1495</c:v>
                </c:pt>
                <c:pt idx="35">
                  <c:v>475</c:v>
                </c:pt>
                <c:pt idx="36">
                  <c:v>352</c:v>
                </c:pt>
                <c:pt idx="37">
                  <c:v>-197</c:v>
                </c:pt>
                <c:pt idx="38">
                  <c:v>328</c:v>
                </c:pt>
                <c:pt idx="39">
                  <c:v>319</c:v>
                </c:pt>
                <c:pt idx="40">
                  <c:v>1325</c:v>
                </c:pt>
                <c:pt idx="41">
                  <c:v>1334</c:v>
                </c:pt>
                <c:pt idx="42">
                  <c:v>37</c:v>
                </c:pt>
                <c:pt idx="43">
                  <c:v>1032</c:v>
                </c:pt>
                <c:pt idx="44">
                  <c:v>76</c:v>
                </c:pt>
                <c:pt idx="45">
                  <c:v>1058</c:v>
                </c:pt>
                <c:pt idx="46">
                  <c:v>1665</c:v>
                </c:pt>
                <c:pt idx="47">
                  <c:v>190</c:v>
                </c:pt>
                <c:pt idx="48">
                  <c:v>1609</c:v>
                </c:pt>
                <c:pt idx="49">
                  <c:v>37</c:v>
                </c:pt>
                <c:pt idx="50">
                  <c:v>1229</c:v>
                </c:pt>
                <c:pt idx="51">
                  <c:v>28</c:v>
                </c:pt>
                <c:pt idx="52">
                  <c:v>1247</c:v>
                </c:pt>
                <c:pt idx="53">
                  <c:v>1045</c:v>
                </c:pt>
                <c:pt idx="54">
                  <c:v>197</c:v>
                </c:pt>
                <c:pt idx="55">
                  <c:v>333</c:v>
                </c:pt>
                <c:pt idx="56">
                  <c:v>1572</c:v>
                </c:pt>
                <c:pt idx="57">
                  <c:v>1428</c:v>
                </c:pt>
                <c:pt idx="58">
                  <c:v>260</c:v>
                </c:pt>
                <c:pt idx="59">
                  <c:v>1100</c:v>
                </c:pt>
                <c:pt idx="60">
                  <c:v>377</c:v>
                </c:pt>
                <c:pt idx="61">
                  <c:v>98</c:v>
                </c:pt>
                <c:pt idx="62">
                  <c:v>1125</c:v>
                </c:pt>
                <c:pt idx="63">
                  <c:v>-32</c:v>
                </c:pt>
                <c:pt idx="64">
                  <c:v>666</c:v>
                </c:pt>
                <c:pt idx="65">
                  <c:v>-19</c:v>
                </c:pt>
                <c:pt idx="66">
                  <c:v>1680</c:v>
                </c:pt>
                <c:pt idx="67">
                  <c:v>1006</c:v>
                </c:pt>
                <c:pt idx="68">
                  <c:v>1025</c:v>
                </c:pt>
                <c:pt idx="69">
                  <c:v>-179</c:v>
                </c:pt>
                <c:pt idx="70">
                  <c:v>599</c:v>
                </c:pt>
                <c:pt idx="71">
                  <c:v>1706</c:v>
                </c:pt>
                <c:pt idx="72">
                  <c:v>1872</c:v>
                </c:pt>
                <c:pt idx="73">
                  <c:v>1662</c:v>
                </c:pt>
                <c:pt idx="74">
                  <c:v>107</c:v>
                </c:pt>
                <c:pt idx="75">
                  <c:v>118</c:v>
                </c:pt>
                <c:pt idx="76">
                  <c:v>1224</c:v>
                </c:pt>
                <c:pt idx="77">
                  <c:v>285</c:v>
                </c:pt>
                <c:pt idx="78">
                  <c:v>-20</c:v>
                </c:pt>
                <c:pt idx="79">
                  <c:v>367</c:v>
                </c:pt>
                <c:pt idx="80">
                  <c:v>262</c:v>
                </c:pt>
                <c:pt idx="81">
                  <c:v>439</c:v>
                </c:pt>
                <c:pt idx="82">
                  <c:v>636</c:v>
                </c:pt>
                <c:pt idx="83">
                  <c:v>1484</c:v>
                </c:pt>
                <c:pt idx="84">
                  <c:v>576</c:v>
                </c:pt>
                <c:pt idx="85">
                  <c:v>386</c:v>
                </c:pt>
                <c:pt idx="86">
                  <c:v>37</c:v>
                </c:pt>
                <c:pt idx="87">
                  <c:v>1657</c:v>
                </c:pt>
                <c:pt idx="88">
                  <c:v>1397</c:v>
                </c:pt>
                <c:pt idx="89">
                  <c:v>540</c:v>
                </c:pt>
                <c:pt idx="90">
                  <c:v>1603</c:v>
                </c:pt>
                <c:pt idx="91">
                  <c:v>1044</c:v>
                </c:pt>
                <c:pt idx="92">
                  <c:v>902</c:v>
                </c:pt>
                <c:pt idx="93">
                  <c:v>-106</c:v>
                </c:pt>
                <c:pt idx="94">
                  <c:v>1150</c:v>
                </c:pt>
                <c:pt idx="95">
                  <c:v>349</c:v>
                </c:pt>
                <c:pt idx="96">
                  <c:v>-49</c:v>
                </c:pt>
                <c:pt idx="97">
                  <c:v>72</c:v>
                </c:pt>
                <c:pt idx="98">
                  <c:v>445</c:v>
                </c:pt>
                <c:pt idx="99">
                  <c:v>60</c:v>
                </c:pt>
                <c:pt idx="100">
                  <c:v>1693</c:v>
                </c:pt>
                <c:pt idx="101">
                  <c:v>1332</c:v>
                </c:pt>
                <c:pt idx="102">
                  <c:v>98</c:v>
                </c:pt>
                <c:pt idx="103">
                  <c:v>885</c:v>
                </c:pt>
                <c:pt idx="104">
                  <c:v>1625</c:v>
                </c:pt>
                <c:pt idx="105">
                  <c:v>1706</c:v>
                </c:pt>
                <c:pt idx="106">
                  <c:v>1173</c:v>
                </c:pt>
                <c:pt idx="107">
                  <c:v>291</c:v>
                </c:pt>
                <c:pt idx="108">
                  <c:v>1119</c:v>
                </c:pt>
                <c:pt idx="109">
                  <c:v>1373</c:v>
                </c:pt>
                <c:pt idx="110">
                  <c:v>1727</c:v>
                </c:pt>
                <c:pt idx="111">
                  <c:v>573</c:v>
                </c:pt>
                <c:pt idx="112">
                  <c:v>1432</c:v>
                </c:pt>
                <c:pt idx="113">
                  <c:v>1377</c:v>
                </c:pt>
                <c:pt idx="114">
                  <c:v>1359</c:v>
                </c:pt>
                <c:pt idx="115">
                  <c:v>876</c:v>
                </c:pt>
                <c:pt idx="116">
                  <c:v>684</c:v>
                </c:pt>
                <c:pt idx="117">
                  <c:v>730</c:v>
                </c:pt>
                <c:pt idx="118">
                  <c:v>911</c:v>
                </c:pt>
                <c:pt idx="119">
                  <c:v>1589</c:v>
                </c:pt>
                <c:pt idx="120">
                  <c:v>1765</c:v>
                </c:pt>
                <c:pt idx="121">
                  <c:v>1776</c:v>
                </c:pt>
                <c:pt idx="122">
                  <c:v>1529</c:v>
                </c:pt>
                <c:pt idx="123">
                  <c:v>1460</c:v>
                </c:pt>
                <c:pt idx="124">
                  <c:v>903</c:v>
                </c:pt>
                <c:pt idx="125">
                  <c:v>620</c:v>
                </c:pt>
                <c:pt idx="126">
                  <c:v>1188</c:v>
                </c:pt>
                <c:pt idx="127">
                  <c:v>846</c:v>
                </c:pt>
                <c:pt idx="128">
                  <c:v>1722</c:v>
                </c:pt>
                <c:pt idx="129">
                  <c:v>298</c:v>
                </c:pt>
                <c:pt idx="130">
                  <c:v>-144</c:v>
                </c:pt>
                <c:pt idx="131">
                  <c:v>901</c:v>
                </c:pt>
                <c:pt idx="132">
                  <c:v>1572</c:v>
                </c:pt>
                <c:pt idx="133">
                  <c:v>427</c:v>
                </c:pt>
                <c:pt idx="134">
                  <c:v>891</c:v>
                </c:pt>
                <c:pt idx="135">
                  <c:v>724</c:v>
                </c:pt>
                <c:pt idx="136">
                  <c:v>-166</c:v>
                </c:pt>
                <c:pt idx="137">
                  <c:v>898</c:v>
                </c:pt>
                <c:pt idx="138">
                  <c:v>1426</c:v>
                </c:pt>
                <c:pt idx="139">
                  <c:v>1225</c:v>
                </c:pt>
                <c:pt idx="140">
                  <c:v>1080</c:v>
                </c:pt>
                <c:pt idx="141">
                  <c:v>748</c:v>
                </c:pt>
                <c:pt idx="142">
                  <c:v>569</c:v>
                </c:pt>
                <c:pt idx="143">
                  <c:v>-203</c:v>
                </c:pt>
                <c:pt idx="144">
                  <c:v>1723</c:v>
                </c:pt>
                <c:pt idx="145">
                  <c:v>912</c:v>
                </c:pt>
                <c:pt idx="146">
                  <c:v>1202</c:v>
                </c:pt>
                <c:pt idx="147">
                  <c:v>1444</c:v>
                </c:pt>
                <c:pt idx="148">
                  <c:v>965</c:v>
                </c:pt>
                <c:pt idx="149">
                  <c:v>1590</c:v>
                </c:pt>
                <c:pt idx="150">
                  <c:v>-37</c:v>
                </c:pt>
                <c:pt idx="151">
                  <c:v>1175</c:v>
                </c:pt>
                <c:pt idx="152">
                  <c:v>1375</c:v>
                </c:pt>
                <c:pt idx="153">
                  <c:v>1707</c:v>
                </c:pt>
                <c:pt idx="154">
                  <c:v>708</c:v>
                </c:pt>
                <c:pt idx="155">
                  <c:v>1016</c:v>
                </c:pt>
                <c:pt idx="156">
                  <c:v>1315</c:v>
                </c:pt>
                <c:pt idx="157">
                  <c:v>-119</c:v>
                </c:pt>
                <c:pt idx="158">
                  <c:v>899</c:v>
                </c:pt>
                <c:pt idx="159">
                  <c:v>315</c:v>
                </c:pt>
                <c:pt idx="160">
                  <c:v>212</c:v>
                </c:pt>
                <c:pt idx="161">
                  <c:v>908</c:v>
                </c:pt>
                <c:pt idx="162">
                  <c:v>1350</c:v>
                </c:pt>
                <c:pt idx="163">
                  <c:v>1242</c:v>
                </c:pt>
                <c:pt idx="164">
                  <c:v>680</c:v>
                </c:pt>
                <c:pt idx="165">
                  <c:v>1116</c:v>
                </c:pt>
                <c:pt idx="166">
                  <c:v>861</c:v>
                </c:pt>
                <c:pt idx="167">
                  <c:v>1385</c:v>
                </c:pt>
                <c:pt idx="168">
                  <c:v>461</c:v>
                </c:pt>
                <c:pt idx="169">
                  <c:v>474</c:v>
                </c:pt>
                <c:pt idx="170">
                  <c:v>292</c:v>
                </c:pt>
                <c:pt idx="171">
                  <c:v>389</c:v>
                </c:pt>
                <c:pt idx="172">
                  <c:v>641</c:v>
                </c:pt>
                <c:pt idx="173">
                  <c:v>514</c:v>
                </c:pt>
                <c:pt idx="174">
                  <c:v>1676</c:v>
                </c:pt>
                <c:pt idx="175">
                  <c:v>1467</c:v>
                </c:pt>
                <c:pt idx="176">
                  <c:v>167</c:v>
                </c:pt>
                <c:pt idx="177">
                  <c:v>1029</c:v>
                </c:pt>
                <c:pt idx="178">
                  <c:v>1007</c:v>
                </c:pt>
                <c:pt idx="179">
                  <c:v>209</c:v>
                </c:pt>
                <c:pt idx="180">
                  <c:v>-160</c:v>
                </c:pt>
                <c:pt idx="181">
                  <c:v>-175</c:v>
                </c:pt>
                <c:pt idx="182">
                  <c:v>53</c:v>
                </c:pt>
                <c:pt idx="183">
                  <c:v>145</c:v>
                </c:pt>
                <c:pt idx="184">
                  <c:v>603</c:v>
                </c:pt>
                <c:pt idx="185">
                  <c:v>1045</c:v>
                </c:pt>
                <c:pt idx="186">
                  <c:v>759</c:v>
                </c:pt>
                <c:pt idx="187">
                  <c:v>1633</c:v>
                </c:pt>
                <c:pt idx="188">
                  <c:v>1539</c:v>
                </c:pt>
                <c:pt idx="189">
                  <c:v>453</c:v>
                </c:pt>
                <c:pt idx="190">
                  <c:v>948</c:v>
                </c:pt>
                <c:pt idx="191">
                  <c:v>637</c:v>
                </c:pt>
                <c:pt idx="192">
                  <c:v>1881</c:v>
                </c:pt>
                <c:pt idx="193">
                  <c:v>339</c:v>
                </c:pt>
                <c:pt idx="194">
                  <c:v>1510</c:v>
                </c:pt>
                <c:pt idx="195">
                  <c:v>864</c:v>
                </c:pt>
                <c:pt idx="196">
                  <c:v>1656</c:v>
                </c:pt>
                <c:pt idx="197">
                  <c:v>407</c:v>
                </c:pt>
                <c:pt idx="198">
                  <c:v>269</c:v>
                </c:pt>
                <c:pt idx="199">
                  <c:v>-337</c:v>
                </c:pt>
              </c:numCache>
            </c:numRef>
          </c:val>
          <c:smooth val="0"/>
          <c:extLst>
            <c:ext xmlns:c16="http://schemas.microsoft.com/office/drawing/2014/chart" uri="{C3380CC4-5D6E-409C-BE32-E72D297353CC}">
              <c16:uniqueId val="{00000001-7B20-4AEE-B9A1-CB1C0F071616}"/>
            </c:ext>
          </c:extLst>
        </c:ser>
        <c:dLbls>
          <c:showLegendKey val="0"/>
          <c:showVal val="0"/>
          <c:showCatName val="0"/>
          <c:showSerName val="0"/>
          <c:showPercent val="0"/>
          <c:showBubbleSize val="0"/>
        </c:dLbls>
        <c:smooth val="0"/>
        <c:axId val="593466128"/>
        <c:axId val="593447408"/>
      </c:lineChart>
      <c:dateAx>
        <c:axId val="593466128"/>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447408"/>
        <c:crosses val="autoZero"/>
        <c:auto val="1"/>
        <c:lblOffset val="100"/>
        <c:baseTimeUnit val="days"/>
      </c:dateAx>
      <c:valAx>
        <c:axId val="593447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466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Ad spend vs follower growth</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scatterChart>
        <c:scatterStyle val="lineMarker"/>
        <c:varyColors val="0"/>
        <c:ser>
          <c:idx val="0"/>
          <c:order val="0"/>
          <c:tx>
            <c:strRef>
              <c:f>'Engagement Summary'!$H$1</c:f>
              <c:strCache>
                <c:ptCount val="1"/>
                <c:pt idx="0">
                  <c:v>Net new follower</c:v>
                </c:pt>
              </c:strCache>
            </c:strRef>
          </c:tx>
          <c:spPr>
            <a:ln w="25400" cap="rnd">
              <a:noFill/>
              <a:round/>
            </a:ln>
            <a:effectLst>
              <a:outerShdw dist="25400" dir="2700000" algn="tl" rotWithShape="0">
                <a:schemeClr val="accent1"/>
              </a:outerShdw>
            </a:effectLst>
          </c:spPr>
          <c:marker>
            <c:symbol val="circle"/>
            <c:size val="6"/>
            <c:spPr>
              <a:solidFill>
                <a:schemeClr val="accent1"/>
              </a:solidFill>
              <a:ln w="22225">
                <a:solidFill>
                  <a:schemeClr val="lt1"/>
                </a:solidFill>
                <a:round/>
              </a:ln>
              <a:effectLst/>
            </c:spPr>
          </c:marker>
          <c:trendline>
            <c:spPr>
              <a:ln w="28575" cap="rnd">
                <a:solidFill>
                  <a:schemeClr val="lt1">
                    <a:alpha val="50000"/>
                  </a:schemeClr>
                </a:solidFill>
                <a:round/>
              </a:ln>
              <a:effectLst/>
            </c:spPr>
            <c:trendlineType val="linear"/>
            <c:dispRSqr val="0"/>
            <c:dispEq val="0"/>
          </c:trendline>
          <c:trendline>
            <c:spPr>
              <a:ln w="28575" cap="rnd">
                <a:solidFill>
                  <a:schemeClr val="lt1">
                    <a:alpha val="50000"/>
                  </a:schemeClr>
                </a:solidFill>
                <a:round/>
              </a:ln>
              <a:effectLst/>
            </c:spPr>
            <c:trendlineType val="linear"/>
            <c:forward val="2"/>
            <c:dispRSqr val="0"/>
            <c:dispEq val="0"/>
          </c:trendline>
          <c:trendline>
            <c:spPr>
              <a:ln w="28575" cap="rnd">
                <a:solidFill>
                  <a:schemeClr val="lt1">
                    <a:alpha val="50000"/>
                  </a:schemeClr>
                </a:solidFill>
                <a:round/>
              </a:ln>
              <a:effectLst/>
            </c:spPr>
            <c:trendlineType val="linear"/>
            <c:forward val="2"/>
            <c:dispRSqr val="0"/>
            <c:dispEq val="0"/>
          </c:trendline>
          <c:trendline>
            <c:spPr>
              <a:ln w="28575" cap="rnd">
                <a:solidFill>
                  <a:schemeClr val="lt1">
                    <a:alpha val="50000"/>
                  </a:schemeClr>
                </a:solidFill>
                <a:round/>
              </a:ln>
              <a:effectLst/>
            </c:spPr>
            <c:trendlineType val="linear"/>
            <c:dispRSqr val="0"/>
            <c:dispEq val="0"/>
          </c:trendline>
          <c:trendline>
            <c:spPr>
              <a:ln w="28575" cap="rnd">
                <a:solidFill>
                  <a:schemeClr val="lt1">
                    <a:alpha val="50000"/>
                  </a:schemeClr>
                </a:solidFill>
                <a:round/>
              </a:ln>
              <a:effectLst/>
            </c:spPr>
            <c:trendlineType val="linear"/>
            <c:dispRSqr val="0"/>
            <c:dispEq val="0"/>
          </c:trendline>
          <c:trendline>
            <c:spPr>
              <a:ln w="28575" cap="rnd">
                <a:solidFill>
                  <a:schemeClr val="lt1">
                    <a:alpha val="50000"/>
                  </a:schemeClr>
                </a:solidFill>
                <a:round/>
              </a:ln>
              <a:effectLst/>
            </c:spPr>
            <c:trendlineType val="linear"/>
            <c:forward val="2"/>
            <c:dispRSqr val="0"/>
            <c:dispEq val="0"/>
          </c:trendline>
          <c:trendline>
            <c:spPr>
              <a:ln w="28575" cap="rnd">
                <a:solidFill>
                  <a:schemeClr val="lt1">
                    <a:alpha val="50000"/>
                  </a:schemeClr>
                </a:solidFill>
                <a:round/>
              </a:ln>
              <a:effectLst/>
            </c:spPr>
            <c:trendlineType val="linear"/>
            <c:dispRSqr val="0"/>
            <c:dispEq val="0"/>
          </c:trendline>
          <c:xVal>
            <c:numRef>
              <c:f>'Engagement Summary'!$G$2:$G$202</c:f>
              <c:numCache>
                <c:formatCode>General</c:formatCode>
                <c:ptCount val="201"/>
                <c:pt idx="0">
                  <c:v>5904</c:v>
                </c:pt>
                <c:pt idx="1">
                  <c:v>9566</c:v>
                </c:pt>
                <c:pt idx="2">
                  <c:v>26752</c:v>
                </c:pt>
                <c:pt idx="3">
                  <c:v>30671</c:v>
                </c:pt>
                <c:pt idx="4">
                  <c:v>9920</c:v>
                </c:pt>
                <c:pt idx="5">
                  <c:v>7924</c:v>
                </c:pt>
                <c:pt idx="6">
                  <c:v>8912</c:v>
                </c:pt>
                <c:pt idx="7">
                  <c:v>21205</c:v>
                </c:pt>
                <c:pt idx="8">
                  <c:v>11329</c:v>
                </c:pt>
                <c:pt idx="9">
                  <c:v>46670</c:v>
                </c:pt>
                <c:pt idx="10">
                  <c:v>22482</c:v>
                </c:pt>
                <c:pt idx="11">
                  <c:v>24313</c:v>
                </c:pt>
                <c:pt idx="12">
                  <c:v>18050</c:v>
                </c:pt>
                <c:pt idx="13">
                  <c:v>30635</c:v>
                </c:pt>
                <c:pt idx="14">
                  <c:v>31280</c:v>
                </c:pt>
                <c:pt idx="15">
                  <c:v>1783</c:v>
                </c:pt>
                <c:pt idx="16">
                  <c:v>9566</c:v>
                </c:pt>
                <c:pt idx="17">
                  <c:v>42307</c:v>
                </c:pt>
                <c:pt idx="18">
                  <c:v>5914</c:v>
                </c:pt>
                <c:pt idx="19">
                  <c:v>30060</c:v>
                </c:pt>
                <c:pt idx="20">
                  <c:v>22728</c:v>
                </c:pt>
                <c:pt idx="21">
                  <c:v>38610</c:v>
                </c:pt>
                <c:pt idx="22">
                  <c:v>2932</c:v>
                </c:pt>
                <c:pt idx="23">
                  <c:v>15071</c:v>
                </c:pt>
                <c:pt idx="24">
                  <c:v>10740</c:v>
                </c:pt>
                <c:pt idx="25">
                  <c:v>43420</c:v>
                </c:pt>
                <c:pt idx="26">
                  <c:v>32393</c:v>
                </c:pt>
                <c:pt idx="27">
                  <c:v>28474</c:v>
                </c:pt>
                <c:pt idx="28">
                  <c:v>17328</c:v>
                </c:pt>
                <c:pt idx="29">
                  <c:v>26067</c:v>
                </c:pt>
                <c:pt idx="30">
                  <c:v>32763</c:v>
                </c:pt>
                <c:pt idx="31">
                  <c:v>26452</c:v>
                </c:pt>
                <c:pt idx="32">
                  <c:v>15353</c:v>
                </c:pt>
                <c:pt idx="33">
                  <c:v>4839</c:v>
                </c:pt>
                <c:pt idx="34">
                  <c:v>39272</c:v>
                </c:pt>
                <c:pt idx="35">
                  <c:v>16804</c:v>
                </c:pt>
                <c:pt idx="36">
                  <c:v>49303</c:v>
                </c:pt>
                <c:pt idx="37">
                  <c:v>26455</c:v>
                </c:pt>
                <c:pt idx="38">
                  <c:v>12384</c:v>
                </c:pt>
                <c:pt idx="39">
                  <c:v>49372</c:v>
                </c:pt>
                <c:pt idx="40">
                  <c:v>47101</c:v>
                </c:pt>
                <c:pt idx="41">
                  <c:v>37903</c:v>
                </c:pt>
                <c:pt idx="42">
                  <c:v>33258</c:v>
                </c:pt>
                <c:pt idx="43">
                  <c:v>6915</c:v>
                </c:pt>
                <c:pt idx="44">
                  <c:v>35501</c:v>
                </c:pt>
                <c:pt idx="45">
                  <c:v>14203</c:v>
                </c:pt>
                <c:pt idx="46">
                  <c:v>22206</c:v>
                </c:pt>
                <c:pt idx="47">
                  <c:v>10283</c:v>
                </c:pt>
                <c:pt idx="48">
                  <c:v>24913</c:v>
                </c:pt>
                <c:pt idx="49">
                  <c:v>26925</c:v>
                </c:pt>
                <c:pt idx="50">
                  <c:v>9942</c:v>
                </c:pt>
                <c:pt idx="51">
                  <c:v>32929</c:v>
                </c:pt>
                <c:pt idx="52">
                  <c:v>37829</c:v>
                </c:pt>
                <c:pt idx="53">
                  <c:v>24384</c:v>
                </c:pt>
                <c:pt idx="54">
                  <c:v>25797</c:v>
                </c:pt>
                <c:pt idx="55">
                  <c:v>12646</c:v>
                </c:pt>
                <c:pt idx="56">
                  <c:v>26663</c:v>
                </c:pt>
                <c:pt idx="57">
                  <c:v>40478</c:v>
                </c:pt>
                <c:pt idx="58">
                  <c:v>15476</c:v>
                </c:pt>
                <c:pt idx="59">
                  <c:v>10217</c:v>
                </c:pt>
                <c:pt idx="60">
                  <c:v>21939</c:v>
                </c:pt>
                <c:pt idx="61">
                  <c:v>47462</c:v>
                </c:pt>
                <c:pt idx="62">
                  <c:v>30270</c:v>
                </c:pt>
                <c:pt idx="63">
                  <c:v>5442</c:v>
                </c:pt>
                <c:pt idx="64">
                  <c:v>1083</c:v>
                </c:pt>
                <c:pt idx="65">
                  <c:v>11901</c:v>
                </c:pt>
                <c:pt idx="66">
                  <c:v>24018</c:v>
                </c:pt>
                <c:pt idx="67">
                  <c:v>38883</c:v>
                </c:pt>
                <c:pt idx="68">
                  <c:v>30575</c:v>
                </c:pt>
                <c:pt idx="69">
                  <c:v>2315</c:v>
                </c:pt>
                <c:pt idx="70">
                  <c:v>12148</c:v>
                </c:pt>
                <c:pt idx="71">
                  <c:v>36851</c:v>
                </c:pt>
                <c:pt idx="72">
                  <c:v>41215</c:v>
                </c:pt>
                <c:pt idx="73">
                  <c:v>43836</c:v>
                </c:pt>
                <c:pt idx="74">
                  <c:v>4509</c:v>
                </c:pt>
                <c:pt idx="75">
                  <c:v>27822</c:v>
                </c:pt>
                <c:pt idx="76">
                  <c:v>36397</c:v>
                </c:pt>
                <c:pt idx="77">
                  <c:v>7285</c:v>
                </c:pt>
                <c:pt idx="78">
                  <c:v>33174</c:v>
                </c:pt>
                <c:pt idx="79">
                  <c:v>6742</c:v>
                </c:pt>
                <c:pt idx="80">
                  <c:v>32478</c:v>
                </c:pt>
                <c:pt idx="81">
                  <c:v>42824</c:v>
                </c:pt>
                <c:pt idx="82">
                  <c:v>21208</c:v>
                </c:pt>
                <c:pt idx="83">
                  <c:v>44321</c:v>
                </c:pt>
                <c:pt idx="84">
                  <c:v>13116</c:v>
                </c:pt>
                <c:pt idx="85">
                  <c:v>30214</c:v>
                </c:pt>
                <c:pt idx="86">
                  <c:v>15827</c:v>
                </c:pt>
                <c:pt idx="87">
                  <c:v>46643</c:v>
                </c:pt>
                <c:pt idx="88">
                  <c:v>36484</c:v>
                </c:pt>
                <c:pt idx="89">
                  <c:v>4996</c:v>
                </c:pt>
                <c:pt idx="90">
                  <c:v>36095</c:v>
                </c:pt>
                <c:pt idx="91">
                  <c:v>16443</c:v>
                </c:pt>
                <c:pt idx="92">
                  <c:v>47812</c:v>
                </c:pt>
                <c:pt idx="93">
                  <c:v>38452</c:v>
                </c:pt>
                <c:pt idx="94">
                  <c:v>30428</c:v>
                </c:pt>
                <c:pt idx="95">
                  <c:v>9269</c:v>
                </c:pt>
                <c:pt idx="96">
                  <c:v>29533</c:v>
                </c:pt>
                <c:pt idx="97">
                  <c:v>39997</c:v>
                </c:pt>
                <c:pt idx="98">
                  <c:v>5391</c:v>
                </c:pt>
                <c:pt idx="99">
                  <c:v>22373</c:v>
                </c:pt>
                <c:pt idx="100">
                  <c:v>1810</c:v>
                </c:pt>
                <c:pt idx="101">
                  <c:v>28498</c:v>
                </c:pt>
                <c:pt idx="102">
                  <c:v>39530</c:v>
                </c:pt>
                <c:pt idx="103">
                  <c:v>37876</c:v>
                </c:pt>
                <c:pt idx="104">
                  <c:v>36103</c:v>
                </c:pt>
                <c:pt idx="105">
                  <c:v>26103</c:v>
                </c:pt>
                <c:pt idx="106">
                  <c:v>3455</c:v>
                </c:pt>
                <c:pt idx="107">
                  <c:v>40888</c:v>
                </c:pt>
                <c:pt idx="108">
                  <c:v>22724</c:v>
                </c:pt>
                <c:pt idx="109">
                  <c:v>18601</c:v>
                </c:pt>
                <c:pt idx="110">
                  <c:v>20861</c:v>
                </c:pt>
                <c:pt idx="111">
                  <c:v>46625</c:v>
                </c:pt>
                <c:pt idx="112">
                  <c:v>20692</c:v>
                </c:pt>
                <c:pt idx="113">
                  <c:v>18656</c:v>
                </c:pt>
                <c:pt idx="114">
                  <c:v>13316</c:v>
                </c:pt>
                <c:pt idx="115">
                  <c:v>49558</c:v>
                </c:pt>
                <c:pt idx="116">
                  <c:v>4683</c:v>
                </c:pt>
                <c:pt idx="117">
                  <c:v>47502</c:v>
                </c:pt>
                <c:pt idx="118">
                  <c:v>35359</c:v>
                </c:pt>
                <c:pt idx="119">
                  <c:v>14154</c:v>
                </c:pt>
                <c:pt idx="120">
                  <c:v>4313</c:v>
                </c:pt>
                <c:pt idx="121">
                  <c:v>25140</c:v>
                </c:pt>
                <c:pt idx="122">
                  <c:v>9118</c:v>
                </c:pt>
                <c:pt idx="123">
                  <c:v>39931</c:v>
                </c:pt>
                <c:pt idx="124">
                  <c:v>37132</c:v>
                </c:pt>
                <c:pt idx="125">
                  <c:v>17951</c:v>
                </c:pt>
                <c:pt idx="126">
                  <c:v>2798</c:v>
                </c:pt>
                <c:pt idx="127">
                  <c:v>15045</c:v>
                </c:pt>
                <c:pt idx="128">
                  <c:v>14548</c:v>
                </c:pt>
                <c:pt idx="129">
                  <c:v>45708</c:v>
                </c:pt>
                <c:pt idx="130">
                  <c:v>12350</c:v>
                </c:pt>
                <c:pt idx="131">
                  <c:v>40868</c:v>
                </c:pt>
                <c:pt idx="132">
                  <c:v>43122</c:v>
                </c:pt>
                <c:pt idx="133">
                  <c:v>23853</c:v>
                </c:pt>
                <c:pt idx="134">
                  <c:v>45380</c:v>
                </c:pt>
                <c:pt idx="135">
                  <c:v>7705</c:v>
                </c:pt>
                <c:pt idx="136">
                  <c:v>25525</c:v>
                </c:pt>
                <c:pt idx="137">
                  <c:v>20560</c:v>
                </c:pt>
                <c:pt idx="138">
                  <c:v>19119</c:v>
                </c:pt>
                <c:pt idx="139">
                  <c:v>43999</c:v>
                </c:pt>
                <c:pt idx="140">
                  <c:v>10825</c:v>
                </c:pt>
                <c:pt idx="141">
                  <c:v>40323</c:v>
                </c:pt>
                <c:pt idx="142">
                  <c:v>48270</c:v>
                </c:pt>
                <c:pt idx="143">
                  <c:v>18001</c:v>
                </c:pt>
                <c:pt idx="144">
                  <c:v>3314</c:v>
                </c:pt>
                <c:pt idx="145">
                  <c:v>23489</c:v>
                </c:pt>
                <c:pt idx="146">
                  <c:v>42832</c:v>
                </c:pt>
                <c:pt idx="147">
                  <c:v>24494</c:v>
                </c:pt>
                <c:pt idx="148">
                  <c:v>44097</c:v>
                </c:pt>
                <c:pt idx="149">
                  <c:v>31853</c:v>
                </c:pt>
                <c:pt idx="150">
                  <c:v>37636</c:v>
                </c:pt>
                <c:pt idx="151">
                  <c:v>22996</c:v>
                </c:pt>
                <c:pt idx="152">
                  <c:v>49772</c:v>
                </c:pt>
                <c:pt idx="153">
                  <c:v>22713</c:v>
                </c:pt>
                <c:pt idx="154">
                  <c:v>8718</c:v>
                </c:pt>
                <c:pt idx="155">
                  <c:v>39031</c:v>
                </c:pt>
                <c:pt idx="156">
                  <c:v>33799</c:v>
                </c:pt>
                <c:pt idx="157">
                  <c:v>20553</c:v>
                </c:pt>
                <c:pt idx="158">
                  <c:v>10002</c:v>
                </c:pt>
                <c:pt idx="159">
                  <c:v>30987</c:v>
                </c:pt>
                <c:pt idx="160">
                  <c:v>6296</c:v>
                </c:pt>
                <c:pt idx="161">
                  <c:v>21539</c:v>
                </c:pt>
                <c:pt idx="162">
                  <c:v>14722</c:v>
                </c:pt>
                <c:pt idx="163">
                  <c:v>11383</c:v>
                </c:pt>
                <c:pt idx="164">
                  <c:v>9480</c:v>
                </c:pt>
                <c:pt idx="165">
                  <c:v>29116</c:v>
                </c:pt>
                <c:pt idx="166">
                  <c:v>14068</c:v>
                </c:pt>
                <c:pt idx="167">
                  <c:v>35801</c:v>
                </c:pt>
                <c:pt idx="168">
                  <c:v>49077</c:v>
                </c:pt>
                <c:pt idx="169">
                  <c:v>21453</c:v>
                </c:pt>
                <c:pt idx="170">
                  <c:v>21061</c:v>
                </c:pt>
                <c:pt idx="171">
                  <c:v>20059</c:v>
                </c:pt>
                <c:pt idx="172">
                  <c:v>23140</c:v>
                </c:pt>
                <c:pt idx="173">
                  <c:v>23461</c:v>
                </c:pt>
                <c:pt idx="174">
                  <c:v>11805</c:v>
                </c:pt>
                <c:pt idx="175">
                  <c:v>15969</c:v>
                </c:pt>
                <c:pt idx="176">
                  <c:v>2436</c:v>
                </c:pt>
                <c:pt idx="177">
                  <c:v>47603</c:v>
                </c:pt>
                <c:pt idx="178">
                  <c:v>42964</c:v>
                </c:pt>
                <c:pt idx="179">
                  <c:v>39923</c:v>
                </c:pt>
                <c:pt idx="180">
                  <c:v>2293</c:v>
                </c:pt>
                <c:pt idx="181">
                  <c:v>25920</c:v>
                </c:pt>
                <c:pt idx="182">
                  <c:v>11035</c:v>
                </c:pt>
                <c:pt idx="183">
                  <c:v>20733</c:v>
                </c:pt>
                <c:pt idx="184">
                  <c:v>18693</c:v>
                </c:pt>
                <c:pt idx="185">
                  <c:v>7875</c:v>
                </c:pt>
                <c:pt idx="186">
                  <c:v>8471</c:v>
                </c:pt>
                <c:pt idx="187">
                  <c:v>14090</c:v>
                </c:pt>
                <c:pt idx="188">
                  <c:v>14216</c:v>
                </c:pt>
                <c:pt idx="189">
                  <c:v>3582</c:v>
                </c:pt>
                <c:pt idx="190">
                  <c:v>32500</c:v>
                </c:pt>
                <c:pt idx="191">
                  <c:v>6832</c:v>
                </c:pt>
                <c:pt idx="192">
                  <c:v>33381</c:v>
                </c:pt>
                <c:pt idx="193">
                  <c:v>48419</c:v>
                </c:pt>
                <c:pt idx="194">
                  <c:v>16149</c:v>
                </c:pt>
                <c:pt idx="195">
                  <c:v>7541</c:v>
                </c:pt>
                <c:pt idx="196">
                  <c:v>20042</c:v>
                </c:pt>
                <c:pt idx="197">
                  <c:v>49400</c:v>
                </c:pt>
                <c:pt idx="198">
                  <c:v>4007</c:v>
                </c:pt>
                <c:pt idx="199">
                  <c:v>12174</c:v>
                </c:pt>
              </c:numCache>
            </c:numRef>
          </c:xVal>
          <c:yVal>
            <c:numRef>
              <c:f>'Engagement Summary'!$H$2:$H$202</c:f>
              <c:numCache>
                <c:formatCode>General</c:formatCode>
                <c:ptCount val="201"/>
                <c:pt idx="0">
                  <c:v>1047</c:v>
                </c:pt>
                <c:pt idx="1">
                  <c:v>1002</c:v>
                </c:pt>
                <c:pt idx="2">
                  <c:v>415</c:v>
                </c:pt>
                <c:pt idx="3">
                  <c:v>1090</c:v>
                </c:pt>
                <c:pt idx="4">
                  <c:v>517</c:v>
                </c:pt>
                <c:pt idx="5">
                  <c:v>1283</c:v>
                </c:pt>
                <c:pt idx="6">
                  <c:v>186</c:v>
                </c:pt>
                <c:pt idx="7">
                  <c:v>994</c:v>
                </c:pt>
                <c:pt idx="8">
                  <c:v>893</c:v>
                </c:pt>
                <c:pt idx="9">
                  <c:v>1382</c:v>
                </c:pt>
                <c:pt idx="10">
                  <c:v>1295</c:v>
                </c:pt>
                <c:pt idx="11">
                  <c:v>337</c:v>
                </c:pt>
                <c:pt idx="12">
                  <c:v>629</c:v>
                </c:pt>
                <c:pt idx="13">
                  <c:v>1670</c:v>
                </c:pt>
                <c:pt idx="14">
                  <c:v>835</c:v>
                </c:pt>
                <c:pt idx="15">
                  <c:v>-123</c:v>
                </c:pt>
                <c:pt idx="16">
                  <c:v>-219</c:v>
                </c:pt>
                <c:pt idx="17">
                  <c:v>64</c:v>
                </c:pt>
                <c:pt idx="18">
                  <c:v>1357</c:v>
                </c:pt>
                <c:pt idx="19">
                  <c:v>91</c:v>
                </c:pt>
                <c:pt idx="20">
                  <c:v>1672</c:v>
                </c:pt>
                <c:pt idx="21">
                  <c:v>309</c:v>
                </c:pt>
                <c:pt idx="22">
                  <c:v>547</c:v>
                </c:pt>
                <c:pt idx="23">
                  <c:v>514</c:v>
                </c:pt>
                <c:pt idx="24">
                  <c:v>1845</c:v>
                </c:pt>
                <c:pt idx="25">
                  <c:v>-164</c:v>
                </c:pt>
                <c:pt idx="26">
                  <c:v>429</c:v>
                </c:pt>
                <c:pt idx="27">
                  <c:v>160</c:v>
                </c:pt>
                <c:pt idx="28">
                  <c:v>159</c:v>
                </c:pt>
                <c:pt idx="29">
                  <c:v>961</c:v>
                </c:pt>
                <c:pt idx="30">
                  <c:v>1316</c:v>
                </c:pt>
                <c:pt idx="31">
                  <c:v>317</c:v>
                </c:pt>
                <c:pt idx="32">
                  <c:v>541</c:v>
                </c:pt>
                <c:pt idx="33">
                  <c:v>-318</c:v>
                </c:pt>
                <c:pt idx="34">
                  <c:v>1495</c:v>
                </c:pt>
                <c:pt idx="35">
                  <c:v>475</c:v>
                </c:pt>
                <c:pt idx="36">
                  <c:v>352</c:v>
                </c:pt>
                <c:pt idx="37">
                  <c:v>-197</c:v>
                </c:pt>
                <c:pt idx="38">
                  <c:v>328</c:v>
                </c:pt>
                <c:pt idx="39">
                  <c:v>319</c:v>
                </c:pt>
                <c:pt idx="40">
                  <c:v>1325</c:v>
                </c:pt>
                <c:pt idx="41">
                  <c:v>1334</c:v>
                </c:pt>
                <c:pt idx="42">
                  <c:v>37</c:v>
                </c:pt>
                <c:pt idx="43">
                  <c:v>1032</c:v>
                </c:pt>
                <c:pt idx="44">
                  <c:v>76</c:v>
                </c:pt>
                <c:pt idx="45">
                  <c:v>1058</c:v>
                </c:pt>
                <c:pt idx="46">
                  <c:v>1665</c:v>
                </c:pt>
                <c:pt idx="47">
                  <c:v>190</c:v>
                </c:pt>
                <c:pt idx="48">
                  <c:v>1609</c:v>
                </c:pt>
                <c:pt idx="49">
                  <c:v>37</c:v>
                </c:pt>
                <c:pt idx="50">
                  <c:v>1229</c:v>
                </c:pt>
                <c:pt idx="51">
                  <c:v>28</c:v>
                </c:pt>
                <c:pt idx="52">
                  <c:v>1247</c:v>
                </c:pt>
                <c:pt idx="53">
                  <c:v>1045</c:v>
                </c:pt>
                <c:pt idx="54">
                  <c:v>197</c:v>
                </c:pt>
                <c:pt idx="55">
                  <c:v>333</c:v>
                </c:pt>
                <c:pt idx="56">
                  <c:v>1572</c:v>
                </c:pt>
                <c:pt idx="57">
                  <c:v>1428</c:v>
                </c:pt>
                <c:pt idx="58">
                  <c:v>260</c:v>
                </c:pt>
                <c:pt idx="59">
                  <c:v>1100</c:v>
                </c:pt>
                <c:pt idx="60">
                  <c:v>377</c:v>
                </c:pt>
                <c:pt idx="61">
                  <c:v>98</c:v>
                </c:pt>
                <c:pt idx="62">
                  <c:v>1125</c:v>
                </c:pt>
                <c:pt idx="63">
                  <c:v>-32</c:v>
                </c:pt>
                <c:pt idx="64">
                  <c:v>666</c:v>
                </c:pt>
                <c:pt idx="65">
                  <c:v>-19</c:v>
                </c:pt>
                <c:pt idx="66">
                  <c:v>1680</c:v>
                </c:pt>
                <c:pt idx="67">
                  <c:v>1006</c:v>
                </c:pt>
                <c:pt idx="68">
                  <c:v>1025</c:v>
                </c:pt>
                <c:pt idx="69">
                  <c:v>-179</c:v>
                </c:pt>
                <c:pt idx="70">
                  <c:v>599</c:v>
                </c:pt>
                <c:pt idx="71">
                  <c:v>1706</c:v>
                </c:pt>
                <c:pt idx="72">
                  <c:v>1872</c:v>
                </c:pt>
                <c:pt idx="73">
                  <c:v>1662</c:v>
                </c:pt>
                <c:pt idx="74">
                  <c:v>107</c:v>
                </c:pt>
                <c:pt idx="75">
                  <c:v>118</c:v>
                </c:pt>
                <c:pt idx="76">
                  <c:v>1224</c:v>
                </c:pt>
                <c:pt idx="77">
                  <c:v>285</c:v>
                </c:pt>
                <c:pt idx="78">
                  <c:v>-20</c:v>
                </c:pt>
                <c:pt idx="79">
                  <c:v>367</c:v>
                </c:pt>
                <c:pt idx="80">
                  <c:v>262</c:v>
                </c:pt>
                <c:pt idx="81">
                  <c:v>439</c:v>
                </c:pt>
                <c:pt idx="82">
                  <c:v>636</c:v>
                </c:pt>
                <c:pt idx="83">
                  <c:v>1484</c:v>
                </c:pt>
                <c:pt idx="84">
                  <c:v>576</c:v>
                </c:pt>
                <c:pt idx="85">
                  <c:v>386</c:v>
                </c:pt>
                <c:pt idx="86">
                  <c:v>37</c:v>
                </c:pt>
                <c:pt idx="87">
                  <c:v>1657</c:v>
                </c:pt>
                <c:pt idx="88">
                  <c:v>1397</c:v>
                </c:pt>
                <c:pt idx="89">
                  <c:v>540</c:v>
                </c:pt>
                <c:pt idx="90">
                  <c:v>1603</c:v>
                </c:pt>
                <c:pt idx="91">
                  <c:v>1044</c:v>
                </c:pt>
                <c:pt idx="92">
                  <c:v>902</c:v>
                </c:pt>
                <c:pt idx="93">
                  <c:v>-106</c:v>
                </c:pt>
                <c:pt idx="94">
                  <c:v>1150</c:v>
                </c:pt>
                <c:pt idx="95">
                  <c:v>349</c:v>
                </c:pt>
                <c:pt idx="96">
                  <c:v>-49</c:v>
                </c:pt>
                <c:pt idx="97">
                  <c:v>72</c:v>
                </c:pt>
                <c:pt idx="98">
                  <c:v>445</c:v>
                </c:pt>
                <c:pt idx="99">
                  <c:v>60</c:v>
                </c:pt>
                <c:pt idx="100">
                  <c:v>1693</c:v>
                </c:pt>
                <c:pt idx="101">
                  <c:v>1332</c:v>
                </c:pt>
                <c:pt idx="102">
                  <c:v>98</c:v>
                </c:pt>
                <c:pt idx="103">
                  <c:v>885</c:v>
                </c:pt>
                <c:pt idx="104">
                  <c:v>1625</c:v>
                </c:pt>
                <c:pt idx="105">
                  <c:v>1706</c:v>
                </c:pt>
                <c:pt idx="106">
                  <c:v>1173</c:v>
                </c:pt>
                <c:pt idx="107">
                  <c:v>291</c:v>
                </c:pt>
                <c:pt idx="108">
                  <c:v>1119</c:v>
                </c:pt>
                <c:pt idx="109">
                  <c:v>1373</c:v>
                </c:pt>
                <c:pt idx="110">
                  <c:v>1727</c:v>
                </c:pt>
                <c:pt idx="111">
                  <c:v>573</c:v>
                </c:pt>
                <c:pt idx="112">
                  <c:v>1432</c:v>
                </c:pt>
                <c:pt idx="113">
                  <c:v>1377</c:v>
                </c:pt>
                <c:pt idx="114">
                  <c:v>1359</c:v>
                </c:pt>
                <c:pt idx="115">
                  <c:v>876</c:v>
                </c:pt>
                <c:pt idx="116">
                  <c:v>684</c:v>
                </c:pt>
                <c:pt idx="117">
                  <c:v>730</c:v>
                </c:pt>
                <c:pt idx="118">
                  <c:v>911</c:v>
                </c:pt>
                <c:pt idx="119">
                  <c:v>1589</c:v>
                </c:pt>
                <c:pt idx="120">
                  <c:v>1765</c:v>
                </c:pt>
                <c:pt idx="121">
                  <c:v>1776</c:v>
                </c:pt>
                <c:pt idx="122">
                  <c:v>1529</c:v>
                </c:pt>
                <c:pt idx="123">
                  <c:v>1460</c:v>
                </c:pt>
                <c:pt idx="124">
                  <c:v>903</c:v>
                </c:pt>
                <c:pt idx="125">
                  <c:v>620</c:v>
                </c:pt>
                <c:pt idx="126">
                  <c:v>1188</c:v>
                </c:pt>
                <c:pt idx="127">
                  <c:v>846</c:v>
                </c:pt>
                <c:pt idx="128">
                  <c:v>1722</c:v>
                </c:pt>
                <c:pt idx="129">
                  <c:v>298</c:v>
                </c:pt>
                <c:pt idx="130">
                  <c:v>-144</c:v>
                </c:pt>
                <c:pt idx="131">
                  <c:v>901</c:v>
                </c:pt>
                <c:pt idx="132">
                  <c:v>1572</c:v>
                </c:pt>
                <c:pt idx="133">
                  <c:v>427</c:v>
                </c:pt>
                <c:pt idx="134">
                  <c:v>891</c:v>
                </c:pt>
                <c:pt idx="135">
                  <c:v>724</c:v>
                </c:pt>
                <c:pt idx="136">
                  <c:v>-166</c:v>
                </c:pt>
                <c:pt idx="137">
                  <c:v>898</c:v>
                </c:pt>
                <c:pt idx="138">
                  <c:v>1426</c:v>
                </c:pt>
                <c:pt idx="139">
                  <c:v>1225</c:v>
                </c:pt>
                <c:pt idx="140">
                  <c:v>1080</c:v>
                </c:pt>
                <c:pt idx="141">
                  <c:v>748</c:v>
                </c:pt>
                <c:pt idx="142">
                  <c:v>569</c:v>
                </c:pt>
                <c:pt idx="143">
                  <c:v>-203</c:v>
                </c:pt>
                <c:pt idx="144">
                  <c:v>1723</c:v>
                </c:pt>
                <c:pt idx="145">
                  <c:v>912</c:v>
                </c:pt>
                <c:pt idx="146">
                  <c:v>1202</c:v>
                </c:pt>
                <c:pt idx="147">
                  <c:v>1444</c:v>
                </c:pt>
                <c:pt idx="148">
                  <c:v>965</c:v>
                </c:pt>
                <c:pt idx="149">
                  <c:v>1590</c:v>
                </c:pt>
                <c:pt idx="150">
                  <c:v>-37</c:v>
                </c:pt>
                <c:pt idx="151">
                  <c:v>1175</c:v>
                </c:pt>
                <c:pt idx="152">
                  <c:v>1375</c:v>
                </c:pt>
                <c:pt idx="153">
                  <c:v>1707</c:v>
                </c:pt>
                <c:pt idx="154">
                  <c:v>708</c:v>
                </c:pt>
                <c:pt idx="155">
                  <c:v>1016</c:v>
                </c:pt>
                <c:pt idx="156">
                  <c:v>1315</c:v>
                </c:pt>
                <c:pt idx="157">
                  <c:v>-119</c:v>
                </c:pt>
                <c:pt idx="158">
                  <c:v>899</c:v>
                </c:pt>
                <c:pt idx="159">
                  <c:v>315</c:v>
                </c:pt>
                <c:pt idx="160">
                  <c:v>212</c:v>
                </c:pt>
                <c:pt idx="161">
                  <c:v>908</c:v>
                </c:pt>
                <c:pt idx="162">
                  <c:v>1350</c:v>
                </c:pt>
                <c:pt idx="163">
                  <c:v>1242</c:v>
                </c:pt>
                <c:pt idx="164">
                  <c:v>680</c:v>
                </c:pt>
                <c:pt idx="165">
                  <c:v>1116</c:v>
                </c:pt>
                <c:pt idx="166">
                  <c:v>861</c:v>
                </c:pt>
                <c:pt idx="167">
                  <c:v>1385</c:v>
                </c:pt>
                <c:pt idx="168">
                  <c:v>461</c:v>
                </c:pt>
                <c:pt idx="169">
                  <c:v>474</c:v>
                </c:pt>
                <c:pt idx="170">
                  <c:v>292</c:v>
                </c:pt>
                <c:pt idx="171">
                  <c:v>389</c:v>
                </c:pt>
                <c:pt idx="172">
                  <c:v>641</c:v>
                </c:pt>
                <c:pt idx="173">
                  <c:v>514</c:v>
                </c:pt>
                <c:pt idx="174">
                  <c:v>1676</c:v>
                </c:pt>
                <c:pt idx="175">
                  <c:v>1467</c:v>
                </c:pt>
                <c:pt idx="176">
                  <c:v>167</c:v>
                </c:pt>
                <c:pt idx="177">
                  <c:v>1029</c:v>
                </c:pt>
                <c:pt idx="178">
                  <c:v>1007</c:v>
                </c:pt>
                <c:pt idx="179">
                  <c:v>209</c:v>
                </c:pt>
                <c:pt idx="180">
                  <c:v>-160</c:v>
                </c:pt>
                <c:pt idx="181">
                  <c:v>-175</c:v>
                </c:pt>
                <c:pt idx="182">
                  <c:v>53</c:v>
                </c:pt>
                <c:pt idx="183">
                  <c:v>145</c:v>
                </c:pt>
                <c:pt idx="184">
                  <c:v>603</c:v>
                </c:pt>
                <c:pt idx="185">
                  <c:v>1045</c:v>
                </c:pt>
                <c:pt idx="186">
                  <c:v>759</c:v>
                </c:pt>
                <c:pt idx="187">
                  <c:v>1633</c:v>
                </c:pt>
                <c:pt idx="188">
                  <c:v>1539</c:v>
                </c:pt>
                <c:pt idx="189">
                  <c:v>453</c:v>
                </c:pt>
                <c:pt idx="190">
                  <c:v>948</c:v>
                </c:pt>
                <c:pt idx="191">
                  <c:v>637</c:v>
                </c:pt>
                <c:pt idx="192">
                  <c:v>1881</c:v>
                </c:pt>
                <c:pt idx="193">
                  <c:v>339</c:v>
                </c:pt>
                <c:pt idx="194">
                  <c:v>1510</c:v>
                </c:pt>
                <c:pt idx="195">
                  <c:v>864</c:v>
                </c:pt>
                <c:pt idx="196">
                  <c:v>1656</c:v>
                </c:pt>
                <c:pt idx="197">
                  <c:v>407</c:v>
                </c:pt>
                <c:pt idx="198">
                  <c:v>269</c:v>
                </c:pt>
                <c:pt idx="199">
                  <c:v>-337</c:v>
                </c:pt>
              </c:numCache>
            </c:numRef>
          </c:yVal>
          <c:smooth val="0"/>
          <c:extLst>
            <c:ext xmlns:c16="http://schemas.microsoft.com/office/drawing/2014/chart" uri="{C3380CC4-5D6E-409C-BE32-E72D297353CC}">
              <c16:uniqueId val="{00000007-A61D-4017-9CF4-00D8C6E05848}"/>
            </c:ext>
          </c:extLst>
        </c:ser>
        <c:dLbls>
          <c:showLegendKey val="0"/>
          <c:showVal val="0"/>
          <c:showCatName val="0"/>
          <c:showSerName val="0"/>
          <c:showPercent val="0"/>
          <c:showBubbleSize val="0"/>
        </c:dLbls>
        <c:axId val="1727909999"/>
        <c:axId val="1727910479"/>
      </c:scatterChart>
      <c:valAx>
        <c:axId val="1727909999"/>
        <c:scaling>
          <c:orientation val="minMax"/>
        </c:scaling>
        <c:delete val="0"/>
        <c:axPos val="b"/>
        <c:majorGridlines>
          <c:spPr>
            <a:ln w="9525" cap="flat" cmpd="sng" algn="ctr">
              <a:solidFill>
                <a:schemeClr val="lt1">
                  <a:alpha val="2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US"/>
                  <a:t>Ad spend</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727910479"/>
        <c:crosses val="autoZero"/>
        <c:crossBetween val="midCat"/>
      </c:valAx>
      <c:valAx>
        <c:axId val="1727910479"/>
        <c:scaling>
          <c:orientation val="minMax"/>
        </c:scaling>
        <c:delete val="0"/>
        <c:axPos val="l"/>
        <c:majorGridlines>
          <c:spPr>
            <a:ln w="9525" cap="flat" cmpd="sng" algn="ctr">
              <a:solidFill>
                <a:schemeClr val="lt1">
                  <a:alpha val="2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US"/>
                  <a:t>Followers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72790999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7">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alpha val="25000"/>
          </a:schemeClr>
        </a:solidFill>
        <a:round/>
      </a:ln>
    </cs:spPr>
    <cs:defRPr sz="900" b="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8575" cap="rnd">
        <a:solidFill>
          <a:schemeClr val="lt1">
            <a:alpha val="50000"/>
          </a:schemeClr>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cap="flat" cmpd="sng" algn="ctr">
        <a:gradFill>
          <a:gsLst>
            <a:gs pos="79000">
              <a:schemeClr val="phClr"/>
            </a:gs>
            <a:gs pos="0">
              <a:schemeClr val="lt1">
                <a:alpha val="6000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6</xdr:col>
      <xdr:colOff>792480</xdr:colOff>
      <xdr:row>3</xdr:row>
      <xdr:rowOff>144781</xdr:rowOff>
    </xdr:to>
    <mc:AlternateContent xmlns:mc="http://schemas.openxmlformats.org/markup-compatibility/2006" xmlns:a14="http://schemas.microsoft.com/office/drawing/2010/main">
      <mc:Choice Requires="a14">
        <xdr:graphicFrame macro="">
          <xdr:nvGraphicFramePr>
            <xdr:cNvPr id="2" name="Platform">
              <a:extLst>
                <a:ext uri="{FF2B5EF4-FFF2-40B4-BE49-F238E27FC236}">
                  <a16:creationId xmlns:a16="http://schemas.microsoft.com/office/drawing/2014/main" id="{1943232F-77F8-ACB1-828C-B7665F53162B}"/>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0" y="1"/>
              <a:ext cx="5882640" cy="6934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205740</xdr:colOff>
      <xdr:row>8</xdr:row>
      <xdr:rowOff>34290</xdr:rowOff>
    </xdr:from>
    <xdr:to>
      <xdr:col>13</xdr:col>
      <xdr:colOff>304800</xdr:colOff>
      <xdr:row>27</xdr:row>
      <xdr:rowOff>7620</xdr:rowOff>
    </xdr:to>
    <xdr:graphicFrame macro="">
      <xdr:nvGraphicFramePr>
        <xdr:cNvPr id="2" name="Chart 1">
          <a:extLst>
            <a:ext uri="{FF2B5EF4-FFF2-40B4-BE49-F238E27FC236}">
              <a16:creationId xmlns:a16="http://schemas.microsoft.com/office/drawing/2014/main" id="{6767FC51-3B28-BF7A-0C8B-57CEB4184D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205740</xdr:colOff>
      <xdr:row>0</xdr:row>
      <xdr:rowOff>0</xdr:rowOff>
    </xdr:from>
    <xdr:to>
      <xdr:col>7</xdr:col>
      <xdr:colOff>464820</xdr:colOff>
      <xdr:row>8</xdr:row>
      <xdr:rowOff>76200</xdr:rowOff>
    </xdr:to>
    <mc:AlternateContent xmlns:mc="http://schemas.openxmlformats.org/markup-compatibility/2006" xmlns:a14="http://schemas.microsoft.com/office/drawing/2010/main">
      <mc:Choice Requires="a14">
        <xdr:graphicFrame macro="">
          <xdr:nvGraphicFramePr>
            <xdr:cNvPr id="3" name="Platform 1">
              <a:extLst>
                <a:ext uri="{FF2B5EF4-FFF2-40B4-BE49-F238E27FC236}">
                  <a16:creationId xmlns:a16="http://schemas.microsoft.com/office/drawing/2014/main" id="{56D3F34C-D1FD-E09F-05FE-71E47DDCFABC}"/>
                </a:ext>
              </a:extLst>
            </xdr:cNvPr>
            <xdr:cNvGraphicFramePr/>
          </xdr:nvGraphicFramePr>
          <xdr:xfrm>
            <a:off x="0" y="0"/>
            <a:ext cx="0" cy="0"/>
          </xdr:xfrm>
          <a:graphic>
            <a:graphicData uri="http://schemas.microsoft.com/office/drawing/2010/slicer">
              <sle:slicer xmlns:sle="http://schemas.microsoft.com/office/drawing/2010/slicer" name="Platform 1"/>
            </a:graphicData>
          </a:graphic>
        </xdr:graphicFrame>
      </mc:Choice>
      <mc:Fallback xmlns="">
        <xdr:sp macro="" textlink="">
          <xdr:nvSpPr>
            <xdr:cNvPr id="0" name=""/>
            <xdr:cNvSpPr>
              <a:spLocks noTextEdit="1"/>
            </xdr:cNvSpPr>
          </xdr:nvSpPr>
          <xdr:spPr>
            <a:xfrm>
              <a:off x="4457700" y="0"/>
              <a:ext cx="1828800" cy="14401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99060</xdr:colOff>
      <xdr:row>0</xdr:row>
      <xdr:rowOff>0</xdr:rowOff>
    </xdr:from>
    <xdr:to>
      <xdr:col>3</xdr:col>
      <xdr:colOff>1927860</xdr:colOff>
      <xdr:row>8</xdr:row>
      <xdr:rowOff>129540</xdr:rowOff>
    </xdr:to>
    <mc:AlternateContent xmlns:mc="http://schemas.openxmlformats.org/markup-compatibility/2006" xmlns:a14="http://schemas.microsoft.com/office/drawing/2010/main">
      <mc:Choice Requires="a14">
        <xdr:graphicFrame macro="">
          <xdr:nvGraphicFramePr>
            <xdr:cNvPr id="3" name="Platform 2">
              <a:extLst>
                <a:ext uri="{FF2B5EF4-FFF2-40B4-BE49-F238E27FC236}">
                  <a16:creationId xmlns:a16="http://schemas.microsoft.com/office/drawing/2014/main" id="{241758A5-0401-2E2D-88D8-828327D0E2B4}"/>
                </a:ext>
              </a:extLst>
            </xdr:cNvPr>
            <xdr:cNvGraphicFramePr/>
          </xdr:nvGraphicFramePr>
          <xdr:xfrm>
            <a:off x="0" y="0"/>
            <a:ext cx="0" cy="0"/>
          </xdr:xfrm>
          <a:graphic>
            <a:graphicData uri="http://schemas.microsoft.com/office/drawing/2010/slicer">
              <sle:slicer xmlns:sle="http://schemas.microsoft.com/office/drawing/2010/slicer" name="Platform 2"/>
            </a:graphicData>
          </a:graphic>
        </xdr:graphicFrame>
      </mc:Choice>
      <mc:Fallback xmlns="">
        <xdr:sp macro="" textlink="">
          <xdr:nvSpPr>
            <xdr:cNvPr id="0" name=""/>
            <xdr:cNvSpPr>
              <a:spLocks noTextEdit="1"/>
            </xdr:cNvSpPr>
          </xdr:nvSpPr>
          <xdr:spPr>
            <a:xfrm>
              <a:off x="3627120" y="0"/>
              <a:ext cx="1828800" cy="14325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91440</xdr:colOff>
      <xdr:row>8</xdr:row>
      <xdr:rowOff>121920</xdr:rowOff>
    </xdr:from>
    <xdr:to>
      <xdr:col>16</xdr:col>
      <xdr:colOff>45720</xdr:colOff>
      <xdr:row>26</xdr:row>
      <xdr:rowOff>106680</xdr:rowOff>
    </xdr:to>
    <xdr:graphicFrame macro="">
      <xdr:nvGraphicFramePr>
        <xdr:cNvPr id="10" name="Chart 9">
          <a:extLst>
            <a:ext uri="{FF2B5EF4-FFF2-40B4-BE49-F238E27FC236}">
              <a16:creationId xmlns:a16="http://schemas.microsoft.com/office/drawing/2014/main" id="{624B9AC9-8E58-959C-8926-157374CE7F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281940</xdr:colOff>
      <xdr:row>1</xdr:row>
      <xdr:rowOff>114300</xdr:rowOff>
    </xdr:from>
    <xdr:to>
      <xdr:col>5</xdr:col>
      <xdr:colOff>457200</xdr:colOff>
      <xdr:row>15</xdr:row>
      <xdr:rowOff>135255</xdr:rowOff>
    </xdr:to>
    <mc:AlternateContent xmlns:mc="http://schemas.openxmlformats.org/markup-compatibility/2006" xmlns:a14="http://schemas.microsoft.com/office/drawing/2010/main">
      <mc:Choice Requires="a14">
        <xdr:graphicFrame macro="">
          <xdr:nvGraphicFramePr>
            <xdr:cNvPr id="2" name="Platform 3">
              <a:extLst>
                <a:ext uri="{FF2B5EF4-FFF2-40B4-BE49-F238E27FC236}">
                  <a16:creationId xmlns:a16="http://schemas.microsoft.com/office/drawing/2014/main" id="{BAF43FB4-C476-5524-7559-5DA47C731D6B}"/>
                </a:ext>
              </a:extLst>
            </xdr:cNvPr>
            <xdr:cNvGraphicFramePr/>
          </xdr:nvGraphicFramePr>
          <xdr:xfrm>
            <a:off x="0" y="0"/>
            <a:ext cx="0" cy="0"/>
          </xdr:xfrm>
          <a:graphic>
            <a:graphicData uri="http://schemas.microsoft.com/office/drawing/2010/slicer">
              <sle:slicer xmlns:sle="http://schemas.microsoft.com/office/drawing/2010/slicer" name="Platform 3"/>
            </a:graphicData>
          </a:graphic>
        </xdr:graphicFrame>
      </mc:Choice>
      <mc:Fallback xmlns="">
        <xdr:sp macro="" textlink="">
          <xdr:nvSpPr>
            <xdr:cNvPr id="0" name=""/>
            <xdr:cNvSpPr>
              <a:spLocks noTextEdit="1"/>
            </xdr:cNvSpPr>
          </xdr:nvSpPr>
          <xdr:spPr>
            <a:xfrm>
              <a:off x="2567940" y="2971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525780</xdr:colOff>
      <xdr:row>3</xdr:row>
      <xdr:rowOff>179070</xdr:rowOff>
    </xdr:from>
    <xdr:to>
      <xdr:col>15</xdr:col>
      <xdr:colOff>182880</xdr:colOff>
      <xdr:row>21</xdr:row>
      <xdr:rowOff>0</xdr:rowOff>
    </xdr:to>
    <xdr:graphicFrame macro="">
      <xdr:nvGraphicFramePr>
        <xdr:cNvPr id="3" name="Chart 2">
          <a:extLst>
            <a:ext uri="{FF2B5EF4-FFF2-40B4-BE49-F238E27FC236}">
              <a16:creationId xmlns:a16="http://schemas.microsoft.com/office/drawing/2014/main" id="{BCB1DED9-620B-338A-3C1F-7C49E320B8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15240</xdr:colOff>
      <xdr:row>3</xdr:row>
      <xdr:rowOff>45720</xdr:rowOff>
    </xdr:from>
    <xdr:to>
      <xdr:col>20</xdr:col>
      <xdr:colOff>601980</xdr:colOff>
      <xdr:row>20</xdr:row>
      <xdr:rowOff>144780</xdr:rowOff>
    </xdr:to>
    <xdr:graphicFrame macro="">
      <xdr:nvGraphicFramePr>
        <xdr:cNvPr id="2" name="Chart 1">
          <a:extLst>
            <a:ext uri="{FF2B5EF4-FFF2-40B4-BE49-F238E27FC236}">
              <a16:creationId xmlns:a16="http://schemas.microsoft.com/office/drawing/2014/main" id="{35EC9399-791B-410A-AFAA-79919EA2B9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548640</xdr:colOff>
      <xdr:row>4</xdr:row>
      <xdr:rowOff>83820</xdr:rowOff>
    </xdr:from>
    <xdr:to>
      <xdr:col>14</xdr:col>
      <xdr:colOff>243840</xdr:colOff>
      <xdr:row>19</xdr:row>
      <xdr:rowOff>83820</xdr:rowOff>
    </xdr:to>
    <xdr:graphicFrame macro="">
      <xdr:nvGraphicFramePr>
        <xdr:cNvPr id="2" name="Chart 1">
          <a:extLst>
            <a:ext uri="{FF2B5EF4-FFF2-40B4-BE49-F238E27FC236}">
              <a16:creationId xmlns:a16="http://schemas.microsoft.com/office/drawing/2014/main" id="{A32EC898-74C7-4D55-AD89-F6CD383752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shabh Vishnoi" refreshedDate="45954.176008449074" createdVersion="8" refreshedVersion="8" minRefreshableVersion="3" recordCount="200" xr:uid="{A187786D-21C3-4091-9BF9-19A8C0E8D118}">
  <cacheSource type="worksheet">
    <worksheetSource name="Engagement_Summary"/>
  </cacheSource>
  <cacheFields count="14">
    <cacheField name="Week_Start_Date" numFmtId="14">
      <sharedItems containsSemiMixedTypes="0" containsNonDate="0" containsDate="1" containsString="0" minDate="2024-06-03T00:00:00" maxDate="2025-05-13T00:00:00" count="50">
        <d v="2024-06-03T00:00:00"/>
        <d v="2024-06-10T00:00:00"/>
        <d v="2024-06-17T00:00:00"/>
        <d v="2024-06-24T00:00:00"/>
        <d v="2024-07-01T00:00:00"/>
        <d v="2024-07-08T00:00:00"/>
        <d v="2024-07-15T00:00:00"/>
        <d v="2024-07-22T00:00:00"/>
        <d v="2024-07-29T00:00:00"/>
        <d v="2024-08-05T00:00:00"/>
        <d v="2024-08-12T00:00:00"/>
        <d v="2024-08-19T00:00:00"/>
        <d v="2024-08-26T00:00:00"/>
        <d v="2024-09-02T00:00:00"/>
        <d v="2024-09-09T00:00:00"/>
        <d v="2024-09-16T00:00:00"/>
        <d v="2024-09-23T00:00:00"/>
        <d v="2024-09-30T00:00:00"/>
        <d v="2024-10-07T00:00:00"/>
        <d v="2024-10-14T00:00:00"/>
        <d v="2024-10-21T00:00:00"/>
        <d v="2024-10-28T00:00:00"/>
        <d v="2024-11-04T00:00:00"/>
        <d v="2024-11-11T00:00:00"/>
        <d v="2024-11-18T00:00:00"/>
        <d v="2024-11-25T00:00:00"/>
        <d v="2024-12-02T00:00:00"/>
        <d v="2024-12-09T00:00:00"/>
        <d v="2024-12-16T00:00:00"/>
        <d v="2024-12-23T00:00:00"/>
        <d v="2024-12-30T00:00:00"/>
        <d v="2025-01-06T00:00:00"/>
        <d v="2025-01-13T00:00:00"/>
        <d v="2025-01-20T00:00:00"/>
        <d v="2025-01-27T00:00:00"/>
        <d v="2025-02-03T00:00:00"/>
        <d v="2025-02-10T00:00:00"/>
        <d v="2025-02-17T00:00:00"/>
        <d v="2025-02-24T00:00:00"/>
        <d v="2025-03-03T00:00:00"/>
        <d v="2025-03-10T00:00:00"/>
        <d v="2025-03-17T00:00:00"/>
        <d v="2025-03-24T00:00:00"/>
        <d v="2025-03-31T00:00:00"/>
        <d v="2025-04-07T00:00:00"/>
        <d v="2025-04-14T00:00:00"/>
        <d v="2025-04-21T00:00:00"/>
        <d v="2025-04-28T00:00:00"/>
        <d v="2025-05-05T00:00:00"/>
        <d v="2025-05-12T00:00:00"/>
      </sharedItems>
      <fieldGroup par="12"/>
    </cacheField>
    <cacheField name="Platform" numFmtId="0">
      <sharedItems count="4">
        <s v="Facebook"/>
        <s v="Instagram"/>
        <s v="Twitter"/>
        <s v="YouTube"/>
      </sharedItems>
    </cacheField>
    <cacheField name="New_Followers" numFmtId="0">
      <sharedItems containsSemiMixedTypes="0" containsString="0" containsNumber="1" containsInteger="1" minValue="115" maxValue="1980"/>
    </cacheField>
    <cacheField name="Unfollows" numFmtId="0">
      <sharedItems containsSemiMixedTypes="0" containsString="0" containsNumber="1" containsInteger="1" minValue="20" maxValue="498"/>
    </cacheField>
    <cacheField name="Total_Followers" numFmtId="0">
      <sharedItems containsSemiMixedTypes="0" containsString="0" containsNumber="1" containsInteger="1" minValue="11435" maxValue="496982"/>
    </cacheField>
    <cacheField name="Engagement_Rate" numFmtId="0">
      <sharedItems containsSemiMixedTypes="0" containsString="0" containsNumber="1" minValue="1.53" maxValue="9.48"/>
    </cacheField>
    <cacheField name="Ad_Spend" numFmtId="0">
      <sharedItems containsSemiMixedTypes="0" containsString="0" containsNumber="1" containsInteger="1" minValue="1083" maxValue="49772"/>
    </cacheField>
    <cacheField name="Net new follower" numFmtId="0">
      <sharedItems containsSemiMixedTypes="0" containsString="0" containsNumber="1" containsInteger="1" minValue="-337" maxValue="1881"/>
    </cacheField>
    <cacheField name="Net follower growth rate" numFmtId="10">
      <sharedItems containsString="0" containsBlank="1" containsNumber="1" minValue="-36.05263157894737" maxValue="43.783783783783782"/>
    </cacheField>
    <cacheField name="Campaign" numFmtId="0">
      <sharedItems count="5">
        <s v="No Campaign"/>
        <s v="CybertruckLaunch"/>
        <s v="ModelYCampaign"/>
        <s v="FSDUpdate"/>
        <s v="SustainabilityDrive"/>
      </sharedItems>
    </cacheField>
    <cacheField name="Months (Week_Start_Date)" numFmtId="0" databaseField="0">
      <fieldGroup base="0">
        <rangePr groupBy="months" startDate="2024-06-03T00:00:00" endDate="2025-05-13T00:00:00"/>
        <groupItems count="14">
          <s v="&lt;03-06-2024"/>
          <s v="Jan"/>
          <s v="Feb"/>
          <s v="Mar"/>
          <s v="Apr"/>
          <s v="May"/>
          <s v="Jun"/>
          <s v="Jul"/>
          <s v="Aug"/>
          <s v="Sep"/>
          <s v="Oct"/>
          <s v="Nov"/>
          <s v="Dec"/>
          <s v="&gt;13-05-2025"/>
        </groupItems>
      </fieldGroup>
    </cacheField>
    <cacheField name="Quarters (Week_Start_Date)" numFmtId="0" databaseField="0">
      <fieldGroup base="0">
        <rangePr groupBy="quarters" startDate="2024-06-03T00:00:00" endDate="2025-05-13T00:00:00"/>
        <groupItems count="6">
          <s v="&lt;03-06-2024"/>
          <s v="Qtr1"/>
          <s v="Qtr2"/>
          <s v="Qtr3"/>
          <s v="Qtr4"/>
          <s v="&gt;13-05-2025"/>
        </groupItems>
      </fieldGroup>
    </cacheField>
    <cacheField name="Years (Week_Start_Date)" numFmtId="0" databaseField="0">
      <fieldGroup base="0">
        <rangePr groupBy="years" startDate="2024-06-03T00:00:00" endDate="2025-05-13T00:00:00"/>
        <groupItems count="4">
          <s v="&lt;03-06-2024"/>
          <s v="2024"/>
          <s v="2025"/>
          <s v="&gt;13-05-2025"/>
        </groupItems>
      </fieldGroup>
    </cacheField>
    <cacheField name="Field1" numFmtId="0" formula="Ad_Spend/1000" databaseField="0"/>
  </cacheFields>
  <extLst>
    <ext xmlns:x14="http://schemas.microsoft.com/office/spreadsheetml/2009/9/main" uri="{725AE2AE-9491-48be-B2B4-4EB974FC3084}">
      <x14:pivotCacheDefinition pivotCacheId="189590770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shabh Vishnoi" refreshedDate="45954.176011805554" createdVersion="8" refreshedVersion="8" minRefreshableVersion="3" recordCount="339" xr:uid="{810C160C-6AB6-405A-BACD-0E54AC28566B}">
  <cacheSource type="worksheet">
    <worksheetSource name="Posts1116"/>
  </cacheSource>
  <cacheFields count="16">
    <cacheField name="Post ID" numFmtId="0">
      <sharedItems/>
    </cacheField>
    <cacheField name="Platform" numFmtId="0">
      <sharedItems count="4">
        <s v="Instagram"/>
        <s v="Twitter"/>
        <s v="Facebook"/>
        <s v="YouTube"/>
      </sharedItems>
    </cacheField>
    <cacheField name="Date" numFmtId="14">
      <sharedItems containsSemiMixedTypes="0" containsNonDate="0" containsDate="1" containsString="0" minDate="2024-06-01T00:00:00" maxDate="2025-05-15T00:00:00"/>
    </cacheField>
    <cacheField name="Content Type" numFmtId="0">
      <sharedItems count="6">
        <s v="Carousel"/>
        <s v="Story"/>
        <s v="Video"/>
        <s v="Text"/>
        <s v="Reel"/>
        <s v="Image"/>
      </sharedItems>
    </cacheField>
    <cacheField name="Post Text" numFmtId="0">
      <sharedItems/>
    </cacheField>
    <cacheField name="Likes" numFmtId="0">
      <sharedItems containsSemiMixedTypes="0" containsString="0" containsNumber="1" containsInteger="1" minValue="53" maxValue="4941"/>
    </cacheField>
    <cacheField name="Shares" numFmtId="0">
      <sharedItems containsSemiMixedTypes="0" containsString="0" containsNumber="1" containsInteger="1" minValue="10" maxValue="983"/>
    </cacheField>
    <cacheField name="Comments" numFmtId="0">
      <sharedItems containsSemiMixedTypes="0" containsString="0" containsNumber="1" containsInteger="1" minValue="7" maxValue="500"/>
    </cacheField>
    <cacheField name="Impressions" numFmtId="0">
      <sharedItems containsSemiMixedTypes="0" containsString="0" containsNumber="1" containsInteger="1" minValue="588" maxValue="98100"/>
    </cacheField>
    <cacheField name="Reach" numFmtId="0">
      <sharedItems containsSemiMixedTypes="0" containsString="0" containsNumber="1" containsInteger="1" minValue="7" maxValue="97772"/>
    </cacheField>
    <cacheField name="Clicks" numFmtId="0">
      <sharedItems containsSemiMixedTypes="0" containsString="0" containsNumber="1" containsInteger="1" minValue="10" maxValue="300"/>
    </cacheField>
    <cacheField name="Hashtags Used" numFmtId="0">
      <sharedItems/>
    </cacheField>
    <cacheField name="Campaign_Name" numFmtId="0">
      <sharedItems containsBlank="1" count="5">
        <s v="CybertruckLaunch"/>
        <s v="FSDUpdate"/>
        <s v="ModelYCampaign"/>
        <s v="SustainabilityDrive"/>
        <m/>
      </sharedItems>
    </cacheField>
    <cacheField name="Engagement Rate" numFmtId="164">
      <sharedItems containsSemiMixedTypes="0" containsString="0" containsNumber="1" minValue="5.2551586421122697E-2" maxValue="1.8129251700680271"/>
    </cacheField>
    <cacheField name="Content Objective" numFmtId="0">
      <sharedItems count="5">
        <s v="Product Awareness"/>
        <s v="Vehicle Launch"/>
        <s v="Customer Engagement"/>
        <s v="Community Growth"/>
        <e v="#N/A"/>
      </sharedItems>
    </cacheField>
    <cacheField name="Campaign Period" numFmtId="0">
      <sharedItems containsBlank="1" count="3">
        <s v="Before"/>
        <s v="During"/>
        <m/>
      </sharedItems>
    </cacheField>
  </cacheFields>
  <extLst>
    <ext xmlns:x14="http://schemas.microsoft.com/office/spreadsheetml/2009/9/main" uri="{725AE2AE-9491-48be-B2B4-4EB974FC3084}">
      <x14:pivotCacheDefinition pivotCacheId="1677877279"/>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shabh Vishnoi" refreshedDate="45954.176014351855" createdVersion="8" refreshedVersion="8" minRefreshableVersion="3" recordCount="339" xr:uid="{5C88CE59-B61B-49A1-A994-1012F7994E74}">
  <cacheSource type="worksheet">
    <worksheetSource name="Posts11"/>
  </cacheSource>
  <cacheFields count="14">
    <cacheField name="Post ID" numFmtId="0">
      <sharedItems/>
    </cacheField>
    <cacheField name="Platform" numFmtId="0">
      <sharedItems count="4">
        <s v="Twitter"/>
        <s v="YouTube"/>
        <s v="Instagram"/>
        <s v="Facebook"/>
      </sharedItems>
    </cacheField>
    <cacheField name="Date" numFmtId="14">
      <sharedItems containsSemiMixedTypes="0" containsNonDate="0" containsDate="1" containsString="0" minDate="2024-06-01T00:00:00" maxDate="2025-05-15T00:00:00"/>
    </cacheField>
    <cacheField name="Content Type" numFmtId="0">
      <sharedItems count="6">
        <s v="Reel"/>
        <s v="Text"/>
        <s v="Story"/>
        <s v="Carousel"/>
        <s v="Image"/>
        <s v="Video"/>
      </sharedItems>
    </cacheField>
    <cacheField name="Post Text" numFmtId="0">
      <sharedItems/>
    </cacheField>
    <cacheField name="Likes" numFmtId="0">
      <sharedItems containsSemiMixedTypes="0" containsString="0" containsNumber="1" containsInteger="1" minValue="53" maxValue="4941"/>
    </cacheField>
    <cacheField name="Shares" numFmtId="0">
      <sharedItems containsSemiMixedTypes="0" containsString="0" containsNumber="1" containsInteger="1" minValue="10" maxValue="983"/>
    </cacheField>
    <cacheField name="Comments" numFmtId="0">
      <sharedItems containsSemiMixedTypes="0" containsString="0" containsNumber="1" containsInteger="1" minValue="7" maxValue="500"/>
    </cacheField>
    <cacheField name="Impressions" numFmtId="0">
      <sharedItems containsSemiMixedTypes="0" containsString="0" containsNumber="1" containsInteger="1" minValue="588" maxValue="98100"/>
    </cacheField>
    <cacheField name="Reach" numFmtId="0">
      <sharedItems containsSemiMixedTypes="0" containsString="0" containsNumber="1" containsInteger="1" minValue="7" maxValue="97772"/>
    </cacheField>
    <cacheField name="Clicks" numFmtId="0">
      <sharedItems containsSemiMixedTypes="0" containsString="0" containsNumber="1" containsInteger="1" minValue="10" maxValue="300"/>
    </cacheField>
    <cacheField name="Hashtags Used" numFmtId="0">
      <sharedItems count="6">
        <s v="#FutureOfDriving"/>
        <s v="#AnytimeIsTeslaTime"/>
        <s v="#TeslaCoInnovation"/>
        <s v="#BetterWithTesla"/>
        <s v="#EVRevolution"/>
        <s v="#SmoothLikeNitroTesla"/>
      </sharedItems>
    </cacheField>
    <cacheField name="Campaign_Name" numFmtId="0">
      <sharedItems containsBlank="1"/>
    </cacheField>
    <cacheField name="Engagement Rate" numFmtId="164">
      <sharedItems containsSemiMixedTypes="0" containsString="0" containsNumber="1" minValue="5.2551586421122697E-2" maxValue="1.8129251700680271"/>
    </cacheField>
  </cacheFields>
  <extLst>
    <ext xmlns:x14="http://schemas.microsoft.com/office/spreadsheetml/2009/9/main" uri="{725AE2AE-9491-48be-B2B4-4EB974FC3084}">
      <x14:pivotCacheDefinition pivotCacheId="432779526"/>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shabh Vishnoi" refreshedDate="45954.176015740741" createdVersion="8" refreshedVersion="8" minRefreshableVersion="3" recordCount="339" xr:uid="{C894B7F6-EE0C-4F4A-A9EC-B9E9B5B141FC}">
  <cacheSource type="worksheet">
    <worksheetSource name="Posts"/>
  </cacheSource>
  <cacheFields count="13">
    <cacheField name="Post ID" numFmtId="0">
      <sharedItems/>
    </cacheField>
    <cacheField name="Platform" numFmtId="0">
      <sharedItems/>
    </cacheField>
    <cacheField name="Date" numFmtId="14">
      <sharedItems containsSemiMixedTypes="0" containsNonDate="0" containsDate="1" containsString="0" minDate="2024-06-01T00:00:00" maxDate="2025-05-15T00:00:00"/>
    </cacheField>
    <cacheField name="Content Type" numFmtId="0">
      <sharedItems/>
    </cacheField>
    <cacheField name="Post Text" numFmtId="0">
      <sharedItems/>
    </cacheField>
    <cacheField name="Likes" numFmtId="1">
      <sharedItems containsSemiMixedTypes="0" containsString="0" containsNumber="1" containsInteger="1" minValue="53" maxValue="4941"/>
    </cacheField>
    <cacheField name="Shares" numFmtId="1">
      <sharedItems containsSemiMixedTypes="0" containsString="0" containsNumber="1" containsInteger="1" minValue="10" maxValue="983"/>
    </cacheField>
    <cacheField name="Comments" numFmtId="1">
      <sharedItems containsSemiMixedTypes="0" containsString="0" containsNumber="1" containsInteger="1" minValue="7" maxValue="500"/>
    </cacheField>
    <cacheField name="Impressions" numFmtId="1">
      <sharedItems containsSemiMixedTypes="0" containsString="0" containsNumber="1" containsInteger="1" minValue="588" maxValue="98100"/>
    </cacheField>
    <cacheField name="Reach" numFmtId="1">
      <sharedItems containsSemiMixedTypes="0" containsString="0" containsNumber="1" containsInteger="1" minValue="7" maxValue="97772"/>
    </cacheField>
    <cacheField name="Clicks" numFmtId="1">
      <sharedItems containsSemiMixedTypes="0" containsString="0" containsNumber="1" containsInteger="1" minValue="10" maxValue="300"/>
    </cacheField>
    <cacheField name="Hashtags Used" numFmtId="0">
      <sharedItems count="6">
        <s v="#FutureOfDriving"/>
        <s v="#AnytimeIsTeslaTime"/>
        <s v="#TeslaCoInnovation"/>
        <s v="#BetterWithTesla"/>
        <s v="#EVRevolution"/>
        <s v="#SmoothLikeNitroTesla"/>
      </sharedItems>
    </cacheField>
    <cacheField name="Campaign_Name"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n v="1312"/>
    <n v="310"/>
    <n v="42654"/>
    <n v="4.9800000000000004"/>
    <n v="9566"/>
    <n v="1002"/>
    <m/>
    <x v="0"/>
  </r>
  <r>
    <x v="0"/>
    <x v="1"/>
    <n v="1135"/>
    <n v="88"/>
    <n v="344084"/>
    <n v="8.06"/>
    <n v="5904"/>
    <n v="1047"/>
    <m/>
    <x v="0"/>
  </r>
  <r>
    <x v="0"/>
    <x v="2"/>
    <n v="584"/>
    <n v="169"/>
    <n v="146834"/>
    <n v="8.31"/>
    <n v="26752"/>
    <n v="415"/>
    <m/>
    <x v="0"/>
  </r>
  <r>
    <x v="0"/>
    <x v="3"/>
    <n v="1535"/>
    <n v="445"/>
    <n v="395536"/>
    <n v="4.1100000000000003"/>
    <n v="30671"/>
    <n v="1090"/>
    <m/>
    <x v="0"/>
  </r>
  <r>
    <x v="1"/>
    <x v="0"/>
    <n v="1697"/>
    <n v="414"/>
    <n v="316555"/>
    <n v="2.37"/>
    <n v="7924"/>
    <n v="1283"/>
    <n v="0.17706422018348625"/>
    <x v="0"/>
  </r>
  <r>
    <x v="1"/>
    <x v="1"/>
    <n v="656"/>
    <n v="139"/>
    <n v="49157"/>
    <n v="9.0500000000000007"/>
    <n v="9920"/>
    <n v="517"/>
    <n v="-0.59703819173811379"/>
    <x v="0"/>
  </r>
  <r>
    <x v="1"/>
    <x v="2"/>
    <n v="436"/>
    <n v="250"/>
    <n v="254347"/>
    <n v="4.01"/>
    <n v="8912"/>
    <n v="186"/>
    <n v="-0.64023210831721467"/>
    <x v="0"/>
  </r>
  <r>
    <x v="1"/>
    <x v="3"/>
    <n v="1197"/>
    <n v="203"/>
    <n v="413878"/>
    <n v="3.16"/>
    <n v="21205"/>
    <n v="994"/>
    <n v="4.344086021505376"/>
    <x v="0"/>
  </r>
  <r>
    <x v="2"/>
    <x v="0"/>
    <n v="1753"/>
    <n v="371"/>
    <n v="169496"/>
    <n v="8.11"/>
    <n v="46670"/>
    <n v="1382"/>
    <n v="0.3903420523138833"/>
    <x v="1"/>
  </r>
  <r>
    <x v="2"/>
    <x v="1"/>
    <n v="1048"/>
    <n v="155"/>
    <n v="456946"/>
    <n v="2.46"/>
    <n v="11329"/>
    <n v="893"/>
    <n v="-0.35383502170767006"/>
    <x v="1"/>
  </r>
  <r>
    <x v="2"/>
    <x v="2"/>
    <n v="1335"/>
    <n v="40"/>
    <n v="122732"/>
    <n v="8.19"/>
    <n v="22482"/>
    <n v="1295"/>
    <n v="0.45016797312430012"/>
    <x v="1"/>
  </r>
  <r>
    <x v="2"/>
    <x v="3"/>
    <n v="403"/>
    <n v="66"/>
    <n v="382851"/>
    <n v="3.49"/>
    <n v="24313"/>
    <n v="337"/>
    <n v="-0.73976833976833978"/>
    <x v="1"/>
  </r>
  <r>
    <x v="3"/>
    <x v="0"/>
    <n v="1779"/>
    <n v="109"/>
    <n v="26295"/>
    <n v="9.1199999999999992"/>
    <n v="30635"/>
    <n v="1670"/>
    <n v="3.9554896142433233"/>
    <x v="1"/>
  </r>
  <r>
    <x v="3"/>
    <x v="1"/>
    <n v="911"/>
    <n v="282"/>
    <n v="35664"/>
    <n v="6.92"/>
    <n v="18050"/>
    <n v="629"/>
    <n v="-0.62335329341317369"/>
    <x v="1"/>
  </r>
  <r>
    <x v="3"/>
    <x v="2"/>
    <n v="1238"/>
    <n v="403"/>
    <n v="298421"/>
    <n v="3.5"/>
    <n v="31280"/>
    <n v="835"/>
    <n v="0.32750397456279812"/>
    <x v="1"/>
  </r>
  <r>
    <x v="3"/>
    <x v="3"/>
    <n v="308"/>
    <n v="431"/>
    <n v="426184"/>
    <n v="2.62"/>
    <n v="1783"/>
    <n v="-123"/>
    <n v="-1.1473053892215568"/>
    <x v="1"/>
  </r>
  <r>
    <x v="4"/>
    <x v="0"/>
    <n v="505"/>
    <n v="441"/>
    <n v="220020"/>
    <n v="4.4800000000000004"/>
    <n v="42307"/>
    <n v="64"/>
    <n v="-1.5203252032520325"/>
    <x v="1"/>
  </r>
  <r>
    <x v="4"/>
    <x v="1"/>
    <n v="226"/>
    <n v="445"/>
    <n v="419447"/>
    <n v="9.36"/>
    <n v="9566"/>
    <n v="-219"/>
    <n v="-4.421875"/>
    <x v="1"/>
  </r>
  <r>
    <x v="4"/>
    <x v="2"/>
    <n v="1420"/>
    <n v="63"/>
    <n v="315305"/>
    <n v="6.19"/>
    <n v="5914"/>
    <n v="1357"/>
    <n v="-7.1963470319634704"/>
    <x v="1"/>
  </r>
  <r>
    <x v="4"/>
    <x v="3"/>
    <n v="144"/>
    <n v="53"/>
    <n v="113678"/>
    <n v="8.7200000000000006"/>
    <n v="30060"/>
    <n v="91"/>
    <n v="-0.93294030950626383"/>
    <x v="1"/>
  </r>
  <r>
    <x v="5"/>
    <x v="0"/>
    <n v="350"/>
    <n v="41"/>
    <n v="251694"/>
    <n v="1.91"/>
    <n v="38610"/>
    <n v="309"/>
    <n v="2.3956043956043955"/>
    <x v="1"/>
  </r>
  <r>
    <x v="5"/>
    <x v="1"/>
    <n v="1757"/>
    <n v="85"/>
    <n v="58223"/>
    <n v="8.74"/>
    <n v="22728"/>
    <n v="1672"/>
    <n v="4.4110032362459544"/>
    <x v="1"/>
  </r>
  <r>
    <x v="5"/>
    <x v="2"/>
    <n v="987"/>
    <n v="440"/>
    <n v="389810"/>
    <n v="4.66"/>
    <n v="2932"/>
    <n v="547"/>
    <n v="-0.67284688995215314"/>
    <x v="1"/>
  </r>
  <r>
    <x v="5"/>
    <x v="3"/>
    <n v="883"/>
    <n v="369"/>
    <n v="233694"/>
    <n v="2.88"/>
    <n v="15071"/>
    <n v="514"/>
    <n v="-6.0329067641681902E-2"/>
    <x v="1"/>
  </r>
  <r>
    <x v="6"/>
    <x v="0"/>
    <n v="170"/>
    <n v="334"/>
    <n v="334626"/>
    <n v="6.44"/>
    <n v="43420"/>
    <n v="-164"/>
    <n v="-1.3190661478599222"/>
    <x v="1"/>
  </r>
  <r>
    <x v="6"/>
    <x v="1"/>
    <n v="1960"/>
    <n v="115"/>
    <n v="154169"/>
    <n v="3.74"/>
    <n v="10740"/>
    <n v="1845"/>
    <n v="-12.25"/>
    <x v="1"/>
  </r>
  <r>
    <x v="6"/>
    <x v="2"/>
    <n v="704"/>
    <n v="275"/>
    <n v="226002"/>
    <n v="8.56"/>
    <n v="32393"/>
    <n v="429"/>
    <n v="-0.76747967479674795"/>
    <x v="1"/>
  </r>
  <r>
    <x v="6"/>
    <x v="3"/>
    <n v="224"/>
    <n v="64"/>
    <n v="156683"/>
    <n v="4.5599999999999996"/>
    <n v="28474"/>
    <n v="160"/>
    <n v="-0.62703962703962701"/>
    <x v="1"/>
  </r>
  <r>
    <x v="7"/>
    <x v="0"/>
    <n v="1391"/>
    <n v="430"/>
    <n v="295032"/>
    <n v="7.86"/>
    <n v="26067"/>
    <n v="961"/>
    <n v="5.0062499999999996"/>
    <x v="0"/>
  </r>
  <r>
    <x v="7"/>
    <x v="1"/>
    <n v="508"/>
    <n v="349"/>
    <n v="473812"/>
    <n v="7.88"/>
    <n v="17328"/>
    <n v="159"/>
    <n v="-0.83454734651404783"/>
    <x v="0"/>
  </r>
  <r>
    <x v="7"/>
    <x v="2"/>
    <n v="1701"/>
    <n v="385"/>
    <n v="198278"/>
    <n v="5.34"/>
    <n v="32763"/>
    <n v="1316"/>
    <n v="7.2767295597484276"/>
    <x v="0"/>
  </r>
  <r>
    <x v="7"/>
    <x v="3"/>
    <n v="804"/>
    <n v="487"/>
    <n v="306564"/>
    <n v="5.52"/>
    <n v="26452"/>
    <n v="317"/>
    <n v="-0.75911854103343468"/>
    <x v="0"/>
  </r>
  <r>
    <x v="8"/>
    <x v="0"/>
    <n v="160"/>
    <n v="478"/>
    <n v="435034"/>
    <n v="7.73"/>
    <n v="4839"/>
    <n v="-318"/>
    <n v="-2.0031545741324921"/>
    <x v="0"/>
  </r>
  <r>
    <x v="8"/>
    <x v="1"/>
    <n v="653"/>
    <n v="112"/>
    <n v="23664"/>
    <n v="4.05"/>
    <n v="15353"/>
    <n v="541"/>
    <n v="-2.7012578616352201"/>
    <x v="0"/>
  </r>
  <r>
    <x v="8"/>
    <x v="2"/>
    <n v="1756"/>
    <n v="261"/>
    <n v="287574"/>
    <n v="4.3600000000000003"/>
    <n v="39272"/>
    <n v="1495"/>
    <n v="1.7634011090573012"/>
    <x v="0"/>
  </r>
  <r>
    <x v="8"/>
    <x v="3"/>
    <n v="576"/>
    <n v="101"/>
    <n v="62499"/>
    <n v="3.48"/>
    <n v="16804"/>
    <n v="475"/>
    <n v="-0.68227424749163879"/>
    <x v="0"/>
  </r>
  <r>
    <x v="9"/>
    <x v="0"/>
    <n v="214"/>
    <n v="411"/>
    <n v="125034"/>
    <n v="6.11"/>
    <n v="26455"/>
    <n v="-197"/>
    <n v="-1.4147368421052631"/>
    <x v="0"/>
  </r>
  <r>
    <x v="9"/>
    <x v="1"/>
    <n v="645"/>
    <n v="293"/>
    <n v="437968"/>
    <n v="7.83"/>
    <n v="49303"/>
    <n v="352"/>
    <n v="-2.7868020304568528"/>
    <x v="0"/>
  </r>
  <r>
    <x v="9"/>
    <x v="2"/>
    <n v="826"/>
    <n v="498"/>
    <n v="449994"/>
    <n v="9.43"/>
    <n v="12384"/>
    <n v="328"/>
    <n v="-6.8181818181818177E-2"/>
    <x v="0"/>
  </r>
  <r>
    <x v="9"/>
    <x v="3"/>
    <n v="460"/>
    <n v="141"/>
    <n v="320650"/>
    <n v="4.04"/>
    <n v="49372"/>
    <n v="319"/>
    <n v="-2.7439024390243903E-2"/>
    <x v="0"/>
  </r>
  <r>
    <x v="10"/>
    <x v="0"/>
    <n v="1534"/>
    <n v="200"/>
    <n v="307612"/>
    <n v="6.01"/>
    <n v="37903"/>
    <n v="1334"/>
    <n v="3.1818181818181817"/>
    <x v="0"/>
  </r>
  <r>
    <x v="10"/>
    <x v="1"/>
    <n v="1528"/>
    <n v="203"/>
    <n v="489188"/>
    <n v="6.23"/>
    <n v="47101"/>
    <n v="1325"/>
    <n v="-6.746626686656672E-3"/>
    <x v="0"/>
  </r>
  <r>
    <x v="10"/>
    <x v="2"/>
    <n v="485"/>
    <n v="448"/>
    <n v="434883"/>
    <n v="8.5500000000000007"/>
    <n v="33258"/>
    <n v="37"/>
    <n v="-0.97207547169811326"/>
    <x v="0"/>
  </r>
  <r>
    <x v="10"/>
    <x v="3"/>
    <n v="1210"/>
    <n v="178"/>
    <n v="102042"/>
    <n v="5.42"/>
    <n v="6915"/>
    <n v="1032"/>
    <n v="26.891891891891891"/>
    <x v="0"/>
  </r>
  <r>
    <x v="11"/>
    <x v="0"/>
    <n v="1078"/>
    <n v="20"/>
    <n v="183924"/>
    <n v="8.84"/>
    <n v="14203"/>
    <n v="1058"/>
    <n v="2.5193798449612403E-2"/>
    <x v="0"/>
  </r>
  <r>
    <x v="11"/>
    <x v="1"/>
    <n v="215"/>
    <n v="139"/>
    <n v="325444"/>
    <n v="3.25"/>
    <n v="35501"/>
    <n v="76"/>
    <n v="-0.92816635160680527"/>
    <x v="0"/>
  </r>
  <r>
    <x v="11"/>
    <x v="2"/>
    <n v="1751"/>
    <n v="86"/>
    <n v="188655"/>
    <n v="7.24"/>
    <n v="22206"/>
    <n v="1665"/>
    <n v="20.907894736842106"/>
    <x v="0"/>
  </r>
  <r>
    <x v="11"/>
    <x v="3"/>
    <n v="221"/>
    <n v="31"/>
    <n v="87443"/>
    <n v="6.19"/>
    <n v="10283"/>
    <n v="190"/>
    <n v="-0.8858858858858859"/>
    <x v="0"/>
  </r>
  <r>
    <x v="12"/>
    <x v="0"/>
    <n v="248"/>
    <n v="211"/>
    <n v="379380"/>
    <n v="9.0399999999999991"/>
    <n v="26925"/>
    <n v="37"/>
    <n v="-0.80526315789473679"/>
    <x v="0"/>
  </r>
  <r>
    <x v="12"/>
    <x v="1"/>
    <n v="1685"/>
    <n v="76"/>
    <n v="453799"/>
    <n v="5.71"/>
    <n v="24913"/>
    <n v="1609"/>
    <n v="42.486486486486484"/>
    <x v="0"/>
  </r>
  <r>
    <x v="12"/>
    <x v="2"/>
    <n v="1300"/>
    <n v="71"/>
    <n v="186454"/>
    <n v="3.91"/>
    <n v="9942"/>
    <n v="1229"/>
    <n v="-0.23617153511497824"/>
    <x v="0"/>
  </r>
  <r>
    <x v="12"/>
    <x v="3"/>
    <n v="422"/>
    <n v="394"/>
    <n v="239044"/>
    <n v="7.83"/>
    <n v="32929"/>
    <n v="28"/>
    <n v="-0.97721724979658253"/>
    <x v="0"/>
  </r>
  <r>
    <x v="13"/>
    <x v="0"/>
    <n v="1520"/>
    <n v="475"/>
    <n v="496982"/>
    <n v="6.41"/>
    <n v="24384"/>
    <n v="1045"/>
    <n v="36.321428571428569"/>
    <x v="0"/>
  </r>
  <r>
    <x v="13"/>
    <x v="1"/>
    <n v="1429"/>
    <n v="182"/>
    <n v="101332"/>
    <n v="7.16"/>
    <n v="37829"/>
    <n v="1247"/>
    <n v="0.19330143540669856"/>
    <x v="0"/>
  </r>
  <r>
    <x v="13"/>
    <x v="2"/>
    <n v="557"/>
    <n v="360"/>
    <n v="318779"/>
    <n v="8.02"/>
    <n v="25797"/>
    <n v="197"/>
    <n v="-0.84202085004009619"/>
    <x v="0"/>
  </r>
  <r>
    <x v="13"/>
    <x v="3"/>
    <n v="728"/>
    <n v="395"/>
    <n v="370971"/>
    <n v="3.86"/>
    <n v="12646"/>
    <n v="333"/>
    <n v="0.69035532994923854"/>
    <x v="0"/>
  </r>
  <r>
    <x v="14"/>
    <x v="0"/>
    <n v="1842"/>
    <n v="414"/>
    <n v="307524"/>
    <n v="1.76"/>
    <n v="40478"/>
    <n v="1428"/>
    <n v="3.2882882882882885"/>
    <x v="0"/>
  </r>
  <r>
    <x v="14"/>
    <x v="1"/>
    <n v="1592"/>
    <n v="20"/>
    <n v="378054"/>
    <n v="9.09"/>
    <n v="26663"/>
    <n v="1572"/>
    <n v="0.10084033613445378"/>
    <x v="0"/>
  </r>
  <r>
    <x v="14"/>
    <x v="2"/>
    <n v="751"/>
    <n v="491"/>
    <n v="434047"/>
    <n v="9.24"/>
    <n v="15476"/>
    <n v="260"/>
    <n v="-0.83460559796437661"/>
    <x v="0"/>
  </r>
  <r>
    <x v="14"/>
    <x v="3"/>
    <n v="1409"/>
    <n v="309"/>
    <n v="64583"/>
    <n v="8.99"/>
    <n v="10217"/>
    <n v="1100"/>
    <n v="3.2307692307692308"/>
    <x v="0"/>
  </r>
  <r>
    <x v="15"/>
    <x v="0"/>
    <n v="443"/>
    <n v="345"/>
    <n v="474162"/>
    <n v="9.1999999999999993"/>
    <n v="47462"/>
    <n v="98"/>
    <n v="-0.91090909090909089"/>
    <x v="0"/>
  </r>
  <r>
    <x v="15"/>
    <x v="1"/>
    <n v="778"/>
    <n v="401"/>
    <n v="50793"/>
    <n v="3.4"/>
    <n v="21939"/>
    <n v="377"/>
    <n v="2.8469387755102042"/>
    <x v="0"/>
  </r>
  <r>
    <x v="15"/>
    <x v="2"/>
    <n v="1472"/>
    <n v="347"/>
    <n v="392355"/>
    <n v="8.59"/>
    <n v="30270"/>
    <n v="1125"/>
    <n v="1.9840848806366047"/>
    <x v="0"/>
  </r>
  <r>
    <x v="15"/>
    <x v="3"/>
    <n v="123"/>
    <n v="155"/>
    <n v="119934"/>
    <n v="3.5"/>
    <n v="5442"/>
    <n v="-32"/>
    <n v="-1.0284444444444445"/>
    <x v="0"/>
  </r>
  <r>
    <x v="16"/>
    <x v="0"/>
    <n v="198"/>
    <n v="217"/>
    <n v="239753"/>
    <n v="7.36"/>
    <n v="11901"/>
    <n v="-19"/>
    <n v="-0.40625"/>
    <x v="0"/>
  </r>
  <r>
    <x v="16"/>
    <x v="1"/>
    <n v="817"/>
    <n v="151"/>
    <n v="422625"/>
    <n v="2.36"/>
    <n v="1083"/>
    <n v="666"/>
    <n v="-36.05263157894737"/>
    <x v="0"/>
  </r>
  <r>
    <x v="16"/>
    <x v="2"/>
    <n v="1911"/>
    <n v="231"/>
    <n v="268516"/>
    <n v="8.5500000000000007"/>
    <n v="24018"/>
    <n v="1680"/>
    <n v="1.5225225225225225"/>
    <x v="0"/>
  </r>
  <r>
    <x v="16"/>
    <x v="3"/>
    <n v="1218"/>
    <n v="212"/>
    <n v="63177"/>
    <n v="8.1300000000000008"/>
    <n v="38883"/>
    <n v="1006"/>
    <n v="-0.40119047619047621"/>
    <x v="0"/>
  </r>
  <r>
    <x v="17"/>
    <x v="0"/>
    <n v="250"/>
    <n v="429"/>
    <n v="453423"/>
    <n v="1.77"/>
    <n v="2315"/>
    <n v="-179"/>
    <n v="-1.1779324055666005"/>
    <x v="0"/>
  </r>
  <r>
    <x v="17"/>
    <x v="1"/>
    <n v="1433"/>
    <n v="408"/>
    <n v="370269"/>
    <n v="3.3"/>
    <n v="30575"/>
    <n v="1025"/>
    <n v="-6.7262569832402237"/>
    <x v="0"/>
  </r>
  <r>
    <x v="17"/>
    <x v="2"/>
    <n v="752"/>
    <n v="153"/>
    <n v="64906"/>
    <n v="2.09"/>
    <n v="12148"/>
    <n v="599"/>
    <n v="-0.41560975609756096"/>
    <x v="0"/>
  </r>
  <r>
    <x v="17"/>
    <x v="3"/>
    <n v="1918"/>
    <n v="212"/>
    <n v="94360"/>
    <n v="7.36"/>
    <n v="36851"/>
    <n v="1706"/>
    <n v="1.8480801335559265"/>
    <x v="0"/>
  </r>
  <r>
    <x v="18"/>
    <x v="0"/>
    <n v="1929"/>
    <n v="267"/>
    <n v="379363"/>
    <n v="1.75"/>
    <n v="43836"/>
    <n v="1662"/>
    <n v="-2.5791324736225089E-2"/>
    <x v="2"/>
  </r>
  <r>
    <x v="18"/>
    <x v="1"/>
    <n v="1939"/>
    <n v="67"/>
    <n v="187183"/>
    <n v="6.25"/>
    <n v="41215"/>
    <n v="1872"/>
    <n v="0.1263537906137184"/>
    <x v="2"/>
  </r>
  <r>
    <x v="18"/>
    <x v="2"/>
    <n v="437"/>
    <n v="330"/>
    <n v="476486"/>
    <n v="4.97"/>
    <n v="4509"/>
    <n v="107"/>
    <n v="-0.94284188034188032"/>
    <x v="2"/>
  </r>
  <r>
    <x v="18"/>
    <x v="3"/>
    <n v="307"/>
    <n v="189"/>
    <n v="117767"/>
    <n v="9.3000000000000007"/>
    <n v="27822"/>
    <n v="118"/>
    <n v="0.10280373831775701"/>
    <x v="2"/>
  </r>
  <r>
    <x v="19"/>
    <x v="0"/>
    <n v="643"/>
    <n v="358"/>
    <n v="157599"/>
    <n v="3.88"/>
    <n v="7285"/>
    <n v="285"/>
    <n v="1.4152542372881356"/>
    <x v="2"/>
  </r>
  <r>
    <x v="19"/>
    <x v="1"/>
    <n v="1527"/>
    <n v="303"/>
    <n v="388555"/>
    <n v="8.9"/>
    <n v="36397"/>
    <n v="1224"/>
    <n v="3.2947368421052632"/>
    <x v="2"/>
  </r>
  <r>
    <x v="19"/>
    <x v="2"/>
    <n v="201"/>
    <n v="221"/>
    <n v="309772"/>
    <n v="5.9"/>
    <n v="33174"/>
    <n v="-20"/>
    <n v="-1.0163398692810457"/>
    <x v="2"/>
  </r>
  <r>
    <x v="19"/>
    <x v="3"/>
    <n v="414"/>
    <n v="47"/>
    <n v="199178"/>
    <n v="1.53"/>
    <n v="6742"/>
    <n v="367"/>
    <n v="-19.350000000000001"/>
    <x v="2"/>
  </r>
  <r>
    <x v="20"/>
    <x v="0"/>
    <n v="508"/>
    <n v="69"/>
    <n v="23492"/>
    <n v="3.16"/>
    <n v="42824"/>
    <n v="439"/>
    <n v="0.19618528610354224"/>
    <x v="2"/>
  </r>
  <r>
    <x v="20"/>
    <x v="1"/>
    <n v="703"/>
    <n v="441"/>
    <n v="357089"/>
    <n v="6.5"/>
    <n v="32478"/>
    <n v="262"/>
    <n v="-0.4031890660592255"/>
    <x v="2"/>
  </r>
  <r>
    <x v="20"/>
    <x v="2"/>
    <n v="697"/>
    <n v="61"/>
    <n v="258287"/>
    <n v="8.25"/>
    <n v="21208"/>
    <n v="636"/>
    <n v="1.4274809160305344"/>
    <x v="2"/>
  </r>
  <r>
    <x v="20"/>
    <x v="3"/>
    <n v="1707"/>
    <n v="223"/>
    <n v="256910"/>
    <n v="5.41"/>
    <n v="44321"/>
    <n v="1484"/>
    <n v="1.3333333333333333"/>
    <x v="2"/>
  </r>
  <r>
    <x v="21"/>
    <x v="0"/>
    <n v="859"/>
    <n v="473"/>
    <n v="209987"/>
    <n v="4.46"/>
    <n v="30214"/>
    <n v="386"/>
    <n v="-0.73989218328840967"/>
    <x v="2"/>
  </r>
  <r>
    <x v="21"/>
    <x v="1"/>
    <n v="642"/>
    <n v="66"/>
    <n v="346522"/>
    <n v="5.85"/>
    <n v="13116"/>
    <n v="576"/>
    <n v="0.49222797927461137"/>
    <x v="2"/>
  </r>
  <r>
    <x v="21"/>
    <x v="2"/>
    <n v="191"/>
    <n v="154"/>
    <n v="240550"/>
    <n v="5.22"/>
    <n v="15827"/>
    <n v="37"/>
    <n v="-0.93576388888888884"/>
    <x v="2"/>
  </r>
  <r>
    <x v="21"/>
    <x v="3"/>
    <n v="1814"/>
    <n v="157"/>
    <n v="305827"/>
    <n v="1.99"/>
    <n v="46643"/>
    <n v="1657"/>
    <n v="43.783783783783782"/>
    <x v="2"/>
  </r>
  <r>
    <x v="22"/>
    <x v="0"/>
    <n v="947"/>
    <n v="407"/>
    <n v="319186"/>
    <n v="3.32"/>
    <n v="4996"/>
    <n v="540"/>
    <n v="-0.67410983705491856"/>
    <x v="0"/>
  </r>
  <r>
    <x v="22"/>
    <x v="1"/>
    <n v="1466"/>
    <n v="69"/>
    <n v="54935"/>
    <n v="6.85"/>
    <n v="36484"/>
    <n v="1397"/>
    <n v="1.587037037037037"/>
    <x v="0"/>
  </r>
  <r>
    <x v="22"/>
    <x v="2"/>
    <n v="1821"/>
    <n v="218"/>
    <n v="439080"/>
    <n v="5.68"/>
    <n v="36095"/>
    <n v="1603"/>
    <n v="0.1474588403722262"/>
    <x v="0"/>
  </r>
  <r>
    <x v="22"/>
    <x v="3"/>
    <n v="1507"/>
    <n v="463"/>
    <n v="258944"/>
    <n v="6.08"/>
    <n v="16443"/>
    <n v="1044"/>
    <n v="-0.34872114784778541"/>
    <x v="0"/>
  </r>
  <r>
    <x v="23"/>
    <x v="0"/>
    <n v="171"/>
    <n v="277"/>
    <n v="309483"/>
    <n v="8.6999999999999993"/>
    <n v="38452"/>
    <n v="-106"/>
    <n v="-1.1015325670498084"/>
    <x v="0"/>
  </r>
  <r>
    <x v="23"/>
    <x v="1"/>
    <n v="1075"/>
    <n v="173"/>
    <n v="51395"/>
    <n v="4.66"/>
    <n v="47812"/>
    <n v="902"/>
    <n v="-9.5094339622641506"/>
    <x v="0"/>
  </r>
  <r>
    <x v="23"/>
    <x v="2"/>
    <n v="1487"/>
    <n v="337"/>
    <n v="87305"/>
    <n v="2.46"/>
    <n v="30428"/>
    <n v="1150"/>
    <n v="0.27494456762749447"/>
    <x v="0"/>
  </r>
  <r>
    <x v="23"/>
    <x v="3"/>
    <n v="454"/>
    <n v="105"/>
    <n v="121091"/>
    <n v="7.97"/>
    <n v="9269"/>
    <n v="349"/>
    <n v="-0.6965217391304348"/>
    <x v="0"/>
  </r>
  <r>
    <x v="24"/>
    <x v="0"/>
    <n v="513"/>
    <n v="441"/>
    <n v="338847"/>
    <n v="2.68"/>
    <n v="39997"/>
    <n v="72"/>
    <n v="-0.79369627507163321"/>
    <x v="0"/>
  </r>
  <r>
    <x v="24"/>
    <x v="1"/>
    <n v="187"/>
    <n v="236"/>
    <n v="51087"/>
    <n v="9.41"/>
    <n v="29533"/>
    <n v="-49"/>
    <n v="-1.6805555555555556"/>
    <x v="0"/>
  </r>
  <r>
    <x v="24"/>
    <x v="2"/>
    <n v="628"/>
    <n v="183"/>
    <n v="487523"/>
    <n v="7.32"/>
    <n v="5391"/>
    <n v="445"/>
    <n v="-10.081632653061224"/>
    <x v="0"/>
  </r>
  <r>
    <x v="24"/>
    <x v="3"/>
    <n v="278"/>
    <n v="218"/>
    <n v="301695"/>
    <n v="4.68"/>
    <n v="22373"/>
    <n v="60"/>
    <n v="-0.8651685393258427"/>
    <x v="0"/>
  </r>
  <r>
    <x v="25"/>
    <x v="0"/>
    <n v="1710"/>
    <n v="378"/>
    <n v="336661"/>
    <n v="6.2"/>
    <n v="28498"/>
    <n v="1332"/>
    <n v="21.2"/>
    <x v="0"/>
  </r>
  <r>
    <x v="25"/>
    <x v="1"/>
    <n v="1854"/>
    <n v="161"/>
    <n v="282466"/>
    <n v="5.17"/>
    <n v="1810"/>
    <n v="1693"/>
    <n v="0.27102102102102105"/>
    <x v="0"/>
  </r>
  <r>
    <x v="25"/>
    <x v="2"/>
    <n v="330"/>
    <n v="232"/>
    <n v="88455"/>
    <n v="2.69"/>
    <n v="39530"/>
    <n v="98"/>
    <n v="-0.94211458948611937"/>
    <x v="0"/>
  </r>
  <r>
    <x v="25"/>
    <x v="3"/>
    <n v="1293"/>
    <n v="408"/>
    <n v="62535"/>
    <n v="8.9"/>
    <n v="37876"/>
    <n v="885"/>
    <n v="8.0306122448979593"/>
    <x v="0"/>
  </r>
  <r>
    <x v="26"/>
    <x v="0"/>
    <n v="1902"/>
    <n v="196"/>
    <n v="470269"/>
    <n v="4.79"/>
    <n v="26103"/>
    <n v="1706"/>
    <n v="0.927683615819209"/>
    <x v="0"/>
  </r>
  <r>
    <x v="26"/>
    <x v="1"/>
    <n v="1696"/>
    <n v="71"/>
    <n v="421957"/>
    <n v="3.79"/>
    <n v="36103"/>
    <n v="1625"/>
    <n v="-4.7479484173505275E-2"/>
    <x v="0"/>
  </r>
  <r>
    <x v="26"/>
    <x v="2"/>
    <n v="1441"/>
    <n v="268"/>
    <n v="309904"/>
    <n v="6.37"/>
    <n v="3455"/>
    <n v="1173"/>
    <n v="-0.27815384615384614"/>
    <x v="0"/>
  </r>
  <r>
    <x v="26"/>
    <x v="3"/>
    <n v="452"/>
    <n v="161"/>
    <n v="221274"/>
    <n v="2.65"/>
    <n v="40888"/>
    <n v="291"/>
    <n v="-0.75191815856777489"/>
    <x v="0"/>
  </r>
  <r>
    <x v="27"/>
    <x v="0"/>
    <n v="1514"/>
    <n v="141"/>
    <n v="35842"/>
    <n v="7.47"/>
    <n v="18601"/>
    <n v="1373"/>
    <n v="3.7182130584192441"/>
    <x v="0"/>
  </r>
  <r>
    <x v="27"/>
    <x v="1"/>
    <n v="1494"/>
    <n v="375"/>
    <n v="220616"/>
    <n v="1.81"/>
    <n v="22724"/>
    <n v="1119"/>
    <n v="-0.18499635833940276"/>
    <x v="0"/>
  </r>
  <r>
    <x v="27"/>
    <x v="2"/>
    <n v="1937"/>
    <n v="210"/>
    <n v="20607"/>
    <n v="4.2"/>
    <n v="20861"/>
    <n v="1727"/>
    <n v="0.54334226988382484"/>
    <x v="0"/>
  </r>
  <r>
    <x v="27"/>
    <x v="3"/>
    <n v="736"/>
    <n v="163"/>
    <n v="451894"/>
    <n v="5.43"/>
    <n v="46625"/>
    <n v="573"/>
    <n v="-0.66821077012159813"/>
    <x v="0"/>
  </r>
  <r>
    <x v="28"/>
    <x v="0"/>
    <n v="1623"/>
    <n v="246"/>
    <n v="415815"/>
    <n v="8.11"/>
    <n v="18656"/>
    <n v="1377"/>
    <n v="1.4031413612565444"/>
    <x v="0"/>
  </r>
  <r>
    <x v="28"/>
    <x v="1"/>
    <n v="1502"/>
    <n v="70"/>
    <n v="465553"/>
    <n v="3.32"/>
    <n v="20692"/>
    <n v="1432"/>
    <n v="3.9941902687000728E-2"/>
    <x v="0"/>
  </r>
  <r>
    <x v="28"/>
    <x v="2"/>
    <n v="1592"/>
    <n v="233"/>
    <n v="327183"/>
    <n v="6.66"/>
    <n v="13316"/>
    <n v="1359"/>
    <n v="-5.0977653631284918E-2"/>
    <x v="0"/>
  </r>
  <r>
    <x v="28"/>
    <x v="3"/>
    <n v="1004"/>
    <n v="128"/>
    <n v="488901"/>
    <n v="8.09"/>
    <n v="49558"/>
    <n v="876"/>
    <n v="-0.35540838852097129"/>
    <x v="0"/>
  </r>
  <r>
    <x v="29"/>
    <x v="0"/>
    <n v="1155"/>
    <n v="425"/>
    <n v="93347"/>
    <n v="2.02"/>
    <n v="47502"/>
    <n v="730"/>
    <n v="-0.16666666666666666"/>
    <x v="0"/>
  </r>
  <r>
    <x v="29"/>
    <x v="1"/>
    <n v="1092"/>
    <n v="408"/>
    <n v="280795"/>
    <n v="8.44"/>
    <n v="4683"/>
    <n v="684"/>
    <n v="-6.3013698630136991E-2"/>
    <x v="0"/>
  </r>
  <r>
    <x v="29"/>
    <x v="2"/>
    <n v="1137"/>
    <n v="226"/>
    <n v="81119"/>
    <n v="7.74"/>
    <n v="35359"/>
    <n v="911"/>
    <n v="0.33187134502923976"/>
    <x v="0"/>
  </r>
  <r>
    <x v="29"/>
    <x v="3"/>
    <n v="1900"/>
    <n v="311"/>
    <n v="25177"/>
    <n v="2.89"/>
    <n v="14154"/>
    <n v="1589"/>
    <n v="0.74423710208562022"/>
    <x v="0"/>
  </r>
  <r>
    <x v="30"/>
    <x v="0"/>
    <n v="1980"/>
    <n v="204"/>
    <n v="379431"/>
    <n v="3.09"/>
    <n v="25140"/>
    <n v="1776"/>
    <n v="0.11768407803650094"/>
    <x v="3"/>
  </r>
  <r>
    <x v="30"/>
    <x v="1"/>
    <n v="1814"/>
    <n v="49"/>
    <n v="140804"/>
    <n v="1.76"/>
    <n v="4313"/>
    <n v="1765"/>
    <n v="-6.1936936936936937E-3"/>
    <x v="3"/>
  </r>
  <r>
    <x v="30"/>
    <x v="2"/>
    <n v="1786"/>
    <n v="257"/>
    <n v="274831"/>
    <n v="4.68"/>
    <n v="9118"/>
    <n v="1529"/>
    <n v="-0.13371104815864024"/>
    <x v="3"/>
  </r>
  <r>
    <x v="30"/>
    <x v="3"/>
    <n v="1495"/>
    <n v="35"/>
    <n v="136845"/>
    <n v="4.4800000000000004"/>
    <n v="39931"/>
    <n v="1460"/>
    <n v="-4.5127534336167431E-2"/>
    <x v="3"/>
  </r>
  <r>
    <x v="31"/>
    <x v="0"/>
    <n v="816"/>
    <n v="196"/>
    <n v="95728"/>
    <n v="8.1999999999999993"/>
    <n v="17951"/>
    <n v="620"/>
    <n v="-0.57534246575342463"/>
    <x v="3"/>
  </r>
  <r>
    <x v="31"/>
    <x v="1"/>
    <n v="1013"/>
    <n v="110"/>
    <n v="466382"/>
    <n v="5.3"/>
    <n v="37132"/>
    <n v="903"/>
    <n v="0.45645161290322583"/>
    <x v="3"/>
  </r>
  <r>
    <x v="31"/>
    <x v="2"/>
    <n v="1633"/>
    <n v="445"/>
    <n v="371156"/>
    <n v="2.2200000000000002"/>
    <n v="2798"/>
    <n v="1188"/>
    <n v="0.31561461794019935"/>
    <x v="3"/>
  </r>
  <r>
    <x v="31"/>
    <x v="3"/>
    <n v="891"/>
    <n v="45"/>
    <n v="95410"/>
    <n v="8.33"/>
    <n v="15045"/>
    <n v="846"/>
    <n v="-0.2878787878787879"/>
    <x v="3"/>
  </r>
  <r>
    <x v="32"/>
    <x v="0"/>
    <n v="651"/>
    <n v="353"/>
    <n v="224699"/>
    <n v="5.61"/>
    <n v="45708"/>
    <n v="298"/>
    <n v="-0.64775413711583929"/>
    <x v="0"/>
  </r>
  <r>
    <x v="32"/>
    <x v="1"/>
    <n v="1855"/>
    <n v="133"/>
    <n v="349413"/>
    <n v="3.3"/>
    <n v="14548"/>
    <n v="1722"/>
    <n v="4.7785234899328861"/>
    <x v="0"/>
  </r>
  <r>
    <x v="32"/>
    <x v="2"/>
    <n v="118"/>
    <n v="262"/>
    <n v="487896"/>
    <n v="2.56"/>
    <n v="12350"/>
    <n v="-144"/>
    <n v="-1.0836236933797909"/>
    <x v="0"/>
  </r>
  <r>
    <x v="32"/>
    <x v="3"/>
    <n v="1331"/>
    <n v="430"/>
    <n v="14437"/>
    <n v="3.29"/>
    <n v="40868"/>
    <n v="901"/>
    <n v="-7.2569444444444446"/>
    <x v="0"/>
  </r>
  <r>
    <x v="33"/>
    <x v="0"/>
    <n v="663"/>
    <n v="236"/>
    <n v="479490"/>
    <n v="4.51"/>
    <n v="23853"/>
    <n v="427"/>
    <n v="-0.52608213096559375"/>
    <x v="0"/>
  </r>
  <r>
    <x v="33"/>
    <x v="1"/>
    <n v="1748"/>
    <n v="176"/>
    <n v="383681"/>
    <n v="9.24"/>
    <n v="43122"/>
    <n v="1572"/>
    <n v="2.6814988290398127"/>
    <x v="0"/>
  </r>
  <r>
    <x v="33"/>
    <x v="2"/>
    <n v="1040"/>
    <n v="149"/>
    <n v="124404"/>
    <n v="5.23"/>
    <n v="45380"/>
    <n v="891"/>
    <n v="-0.43320610687022904"/>
    <x v="0"/>
  </r>
  <r>
    <x v="33"/>
    <x v="3"/>
    <n v="1166"/>
    <n v="442"/>
    <n v="336949"/>
    <n v="4.68"/>
    <n v="7705"/>
    <n v="724"/>
    <n v="-0.18742985409652077"/>
    <x v="0"/>
  </r>
  <r>
    <x v="34"/>
    <x v="0"/>
    <n v="1249"/>
    <n v="351"/>
    <n v="321307"/>
    <n v="6.37"/>
    <n v="20560"/>
    <n v="898"/>
    <n v="0.24033149171270718"/>
    <x v="0"/>
  </r>
  <r>
    <x v="34"/>
    <x v="1"/>
    <n v="115"/>
    <n v="281"/>
    <n v="357265"/>
    <n v="9.23"/>
    <n v="25525"/>
    <n v="-166"/>
    <n v="-1.1848552338530067"/>
    <x v="0"/>
  </r>
  <r>
    <x v="34"/>
    <x v="2"/>
    <n v="1501"/>
    <n v="75"/>
    <n v="262569"/>
    <n v="2.0099999999999998"/>
    <n v="19119"/>
    <n v="1426"/>
    <n v="-9.5903614457831328"/>
    <x v="0"/>
  </r>
  <r>
    <x v="34"/>
    <x v="3"/>
    <n v="1411"/>
    <n v="186"/>
    <n v="461669"/>
    <n v="3.72"/>
    <n v="43999"/>
    <n v="1225"/>
    <n v="-0.14095371669004209"/>
    <x v="0"/>
  </r>
  <r>
    <x v="35"/>
    <x v="0"/>
    <n v="1159"/>
    <n v="411"/>
    <n v="135987"/>
    <n v="8.6999999999999993"/>
    <n v="40323"/>
    <n v="748"/>
    <n v="-0.38938775510204082"/>
    <x v="0"/>
  </r>
  <r>
    <x v="35"/>
    <x v="1"/>
    <n v="1556"/>
    <n v="476"/>
    <n v="351556"/>
    <n v="3.89"/>
    <n v="10825"/>
    <n v="1080"/>
    <n v="0.44385026737967914"/>
    <x v="0"/>
  </r>
  <r>
    <x v="35"/>
    <x v="2"/>
    <n v="927"/>
    <n v="358"/>
    <n v="177554"/>
    <n v="6.95"/>
    <n v="48270"/>
    <n v="569"/>
    <n v="-0.47314814814814815"/>
    <x v="0"/>
  </r>
  <r>
    <x v="35"/>
    <x v="3"/>
    <n v="152"/>
    <n v="355"/>
    <n v="270766"/>
    <n v="9.48"/>
    <n v="18001"/>
    <n v="-203"/>
    <n v="-1.3567662565905096"/>
    <x v="0"/>
  </r>
  <r>
    <x v="36"/>
    <x v="0"/>
    <n v="1294"/>
    <n v="382"/>
    <n v="309914"/>
    <n v="8.0299999999999994"/>
    <n v="23489"/>
    <n v="912"/>
    <n v="-5.4926108374384235"/>
    <x v="0"/>
  </r>
  <r>
    <x v="36"/>
    <x v="1"/>
    <n v="1957"/>
    <n v="234"/>
    <n v="222126"/>
    <n v="4.6100000000000003"/>
    <n v="3314"/>
    <n v="1723"/>
    <n v="0.88925438596491224"/>
    <x v="0"/>
  </r>
  <r>
    <x v="36"/>
    <x v="2"/>
    <n v="1587"/>
    <n v="385"/>
    <n v="126582"/>
    <n v="6.99"/>
    <n v="42832"/>
    <n v="1202"/>
    <n v="-0.30237957051654091"/>
    <x v="0"/>
  </r>
  <r>
    <x v="36"/>
    <x v="3"/>
    <n v="1707"/>
    <n v="263"/>
    <n v="485280"/>
    <n v="9.0299999999999994"/>
    <n v="24494"/>
    <n v="1444"/>
    <n v="0.20133111480865223"/>
    <x v="0"/>
  </r>
  <r>
    <x v="37"/>
    <x v="0"/>
    <n v="1895"/>
    <n v="305"/>
    <n v="104967"/>
    <n v="3.85"/>
    <n v="31853"/>
    <n v="1590"/>
    <n v="0.10110803324099724"/>
    <x v="0"/>
  </r>
  <r>
    <x v="37"/>
    <x v="1"/>
    <n v="1138"/>
    <n v="173"/>
    <n v="453243"/>
    <n v="2.86"/>
    <n v="44097"/>
    <n v="965"/>
    <n v="-0.39308176100628933"/>
    <x v="0"/>
  </r>
  <r>
    <x v="37"/>
    <x v="2"/>
    <n v="362"/>
    <n v="399"/>
    <n v="145608"/>
    <n v="7.3"/>
    <n v="37636"/>
    <n v="-37"/>
    <n v="-1.0383419689119171"/>
    <x v="0"/>
  </r>
  <r>
    <x v="37"/>
    <x v="3"/>
    <n v="1662"/>
    <n v="487"/>
    <n v="105980"/>
    <n v="9.08"/>
    <n v="22996"/>
    <n v="1175"/>
    <n v="-32.756756756756758"/>
    <x v="0"/>
  </r>
  <r>
    <x v="38"/>
    <x v="0"/>
    <n v="1884"/>
    <n v="177"/>
    <n v="230448"/>
    <n v="7.8"/>
    <n v="22713"/>
    <n v="1707"/>
    <n v="0.45276595744680853"/>
    <x v="0"/>
  </r>
  <r>
    <x v="38"/>
    <x v="1"/>
    <n v="1440"/>
    <n v="65"/>
    <n v="126524"/>
    <n v="4.34"/>
    <n v="49772"/>
    <n v="1375"/>
    <n v="-0.19449326303456357"/>
    <x v="0"/>
  </r>
  <r>
    <x v="38"/>
    <x v="2"/>
    <n v="861"/>
    <n v="153"/>
    <n v="317007"/>
    <n v="3.85"/>
    <n v="8718"/>
    <n v="708"/>
    <n v="-0.48509090909090907"/>
    <x v="0"/>
  </r>
  <r>
    <x v="38"/>
    <x v="3"/>
    <n v="1063"/>
    <n v="47"/>
    <n v="464239"/>
    <n v="6.58"/>
    <n v="39031"/>
    <n v="1016"/>
    <n v="0.43502824858757061"/>
    <x v="0"/>
  </r>
  <r>
    <x v="39"/>
    <x v="0"/>
    <n v="345"/>
    <n v="464"/>
    <n v="366881"/>
    <n v="4.55"/>
    <n v="20553"/>
    <n v="-119"/>
    <n v="-1.1171259842519685"/>
    <x v="4"/>
  </r>
  <r>
    <x v="39"/>
    <x v="1"/>
    <n v="1371"/>
    <n v="56"/>
    <n v="257579"/>
    <n v="8.6199999999999992"/>
    <n v="33799"/>
    <n v="1315"/>
    <n v="-12.050420168067227"/>
    <x v="4"/>
  </r>
  <r>
    <x v="39"/>
    <x v="2"/>
    <n v="946"/>
    <n v="47"/>
    <n v="466575"/>
    <n v="8.33"/>
    <n v="10002"/>
    <n v="899"/>
    <n v="-0.31634980988593153"/>
    <x v="4"/>
  </r>
  <r>
    <x v="39"/>
    <x v="3"/>
    <n v="510"/>
    <n v="195"/>
    <n v="224534"/>
    <n v="9.4"/>
    <n v="30987"/>
    <n v="315"/>
    <n v="-0.64961067853170185"/>
    <x v="4"/>
  </r>
  <r>
    <x v="40"/>
    <x v="0"/>
    <n v="1098"/>
    <n v="190"/>
    <n v="340842"/>
    <n v="9.39"/>
    <n v="21539"/>
    <n v="908"/>
    <n v="1.8825396825396825"/>
    <x v="4"/>
  </r>
  <r>
    <x v="40"/>
    <x v="1"/>
    <n v="393"/>
    <n v="181"/>
    <n v="462142"/>
    <n v="7.23"/>
    <n v="6296"/>
    <n v="212"/>
    <n v="-0.76651982378854622"/>
    <x v="4"/>
  </r>
  <r>
    <x v="40"/>
    <x v="2"/>
    <n v="1399"/>
    <n v="49"/>
    <n v="12471"/>
    <n v="5.12"/>
    <n v="14722"/>
    <n v="1350"/>
    <n v="5.367924528301887"/>
    <x v="4"/>
  </r>
  <r>
    <x v="40"/>
    <x v="3"/>
    <n v="1658"/>
    <n v="416"/>
    <n v="98397"/>
    <n v="6.11"/>
    <n v="11383"/>
    <n v="1242"/>
    <n v="-0.08"/>
    <x v="4"/>
  </r>
  <r>
    <x v="41"/>
    <x v="0"/>
    <n v="1358"/>
    <n v="242"/>
    <n v="342129"/>
    <n v="4.9400000000000004"/>
    <n v="29116"/>
    <n v="1116"/>
    <n v="-0.10144927536231885"/>
    <x v="4"/>
  </r>
  <r>
    <x v="41"/>
    <x v="1"/>
    <n v="1102"/>
    <n v="422"/>
    <n v="410330"/>
    <n v="7.74"/>
    <n v="9480"/>
    <n v="680"/>
    <n v="-0.39068100358422941"/>
    <x v="4"/>
  </r>
  <r>
    <x v="41"/>
    <x v="2"/>
    <n v="1077"/>
    <n v="216"/>
    <n v="12447"/>
    <n v="1.8"/>
    <n v="14068"/>
    <n v="861"/>
    <n v="0.26617647058823529"/>
    <x v="4"/>
  </r>
  <r>
    <x v="41"/>
    <x v="3"/>
    <n v="1596"/>
    <n v="211"/>
    <n v="17380"/>
    <n v="8.64"/>
    <n v="35801"/>
    <n v="1385"/>
    <n v="0.60859465737514518"/>
    <x v="4"/>
  </r>
  <r>
    <x v="42"/>
    <x v="0"/>
    <n v="609"/>
    <n v="135"/>
    <n v="373606"/>
    <n v="8.52"/>
    <n v="21453"/>
    <n v="474"/>
    <n v="-0.65776173285198558"/>
    <x v="4"/>
  </r>
  <r>
    <x v="42"/>
    <x v="1"/>
    <n v="490"/>
    <n v="29"/>
    <n v="364810"/>
    <n v="1.53"/>
    <n v="49077"/>
    <n v="461"/>
    <n v="-2.7426160337552744E-2"/>
    <x v="4"/>
  </r>
  <r>
    <x v="42"/>
    <x v="2"/>
    <n v="364"/>
    <n v="72"/>
    <n v="211090"/>
    <n v="5.53"/>
    <n v="21061"/>
    <n v="292"/>
    <n v="-0.36659436008676788"/>
    <x v="4"/>
  </r>
  <r>
    <x v="42"/>
    <x v="3"/>
    <n v="442"/>
    <n v="53"/>
    <n v="441931"/>
    <n v="1.87"/>
    <n v="20059"/>
    <n v="389"/>
    <n v="0.3321917808219178"/>
    <x v="4"/>
  </r>
  <r>
    <x v="43"/>
    <x v="0"/>
    <n v="988"/>
    <n v="474"/>
    <n v="370070"/>
    <n v="9.4600000000000009"/>
    <n v="23461"/>
    <n v="514"/>
    <n v="0.32133676092544988"/>
    <x v="4"/>
  </r>
  <r>
    <x v="43"/>
    <x v="1"/>
    <n v="1033"/>
    <n v="392"/>
    <n v="282780"/>
    <n v="6.27"/>
    <n v="23140"/>
    <n v="641"/>
    <n v="0.24708171206225682"/>
    <x v="4"/>
  </r>
  <r>
    <x v="43"/>
    <x v="2"/>
    <n v="1946"/>
    <n v="270"/>
    <n v="198350"/>
    <n v="7.5"/>
    <n v="11805"/>
    <n v="1676"/>
    <n v="1.6146645865834632"/>
    <x v="4"/>
  </r>
  <r>
    <x v="43"/>
    <x v="3"/>
    <n v="1957"/>
    <n v="490"/>
    <n v="435726"/>
    <n v="4.7300000000000004"/>
    <n v="15969"/>
    <n v="1467"/>
    <n v="-0.1247016706443914"/>
    <x v="4"/>
  </r>
  <r>
    <x v="44"/>
    <x v="0"/>
    <n v="1307"/>
    <n v="278"/>
    <n v="98596"/>
    <n v="2.4900000000000002"/>
    <n v="47603"/>
    <n v="1029"/>
    <n v="-0.29856850715746419"/>
    <x v="0"/>
  </r>
  <r>
    <x v="44"/>
    <x v="1"/>
    <n v="559"/>
    <n v="392"/>
    <n v="78789"/>
    <n v="3.19"/>
    <n v="2436"/>
    <n v="167"/>
    <n v="-0.83770651117589889"/>
    <x v="0"/>
  </r>
  <r>
    <x v="44"/>
    <x v="2"/>
    <n v="1432"/>
    <n v="425"/>
    <n v="29589"/>
    <n v="4.5"/>
    <n v="42964"/>
    <n v="1007"/>
    <n v="5.0299401197604787"/>
    <x v="0"/>
  </r>
  <r>
    <x v="44"/>
    <x v="3"/>
    <n v="623"/>
    <n v="414"/>
    <n v="290354"/>
    <n v="6.49"/>
    <n v="39923"/>
    <n v="209"/>
    <n v="-0.79245283018867929"/>
    <x v="0"/>
  </r>
  <r>
    <x v="45"/>
    <x v="0"/>
    <n v="198"/>
    <n v="373"/>
    <n v="70707"/>
    <n v="4.83"/>
    <n v="25920"/>
    <n v="-175"/>
    <n v="-1.8373205741626795"/>
    <x v="0"/>
  </r>
  <r>
    <x v="45"/>
    <x v="1"/>
    <n v="198"/>
    <n v="358"/>
    <n v="66682"/>
    <n v="6.73"/>
    <n v="2293"/>
    <n v="-160"/>
    <n v="-8.5714285714285715E-2"/>
    <x v="0"/>
  </r>
  <r>
    <x v="45"/>
    <x v="2"/>
    <n v="353"/>
    <n v="300"/>
    <n v="142507"/>
    <n v="5.3"/>
    <n v="11035"/>
    <n v="53"/>
    <n v="-1.33125"/>
    <x v="0"/>
  </r>
  <r>
    <x v="45"/>
    <x v="3"/>
    <n v="520"/>
    <n v="375"/>
    <n v="369525"/>
    <n v="6.54"/>
    <n v="20733"/>
    <n v="145"/>
    <n v="1.7358490566037736"/>
    <x v="0"/>
  </r>
  <r>
    <x v="46"/>
    <x v="0"/>
    <n v="1375"/>
    <n v="330"/>
    <n v="377382"/>
    <n v="2.6"/>
    <n v="7875"/>
    <n v="1045"/>
    <n v="6.2068965517241379"/>
    <x v="0"/>
  </r>
  <r>
    <x v="46"/>
    <x v="1"/>
    <n v="961"/>
    <n v="358"/>
    <n v="62942"/>
    <n v="6.8"/>
    <n v="18693"/>
    <n v="603"/>
    <n v="-0.42296650717703349"/>
    <x v="0"/>
  </r>
  <r>
    <x v="46"/>
    <x v="2"/>
    <n v="1147"/>
    <n v="388"/>
    <n v="333851"/>
    <n v="2.44"/>
    <n v="8471"/>
    <n v="759"/>
    <n v="0.25870646766169153"/>
    <x v="0"/>
  </r>
  <r>
    <x v="46"/>
    <x v="3"/>
    <n v="1707"/>
    <n v="74"/>
    <n v="270958"/>
    <n v="3.09"/>
    <n v="14090"/>
    <n v="1633"/>
    <n v="1.1515151515151516"/>
    <x v="0"/>
  </r>
  <r>
    <x v="47"/>
    <x v="0"/>
    <n v="833"/>
    <n v="380"/>
    <n v="224830"/>
    <n v="3.86"/>
    <n v="3582"/>
    <n v="453"/>
    <n v="-0.72259644825474589"/>
    <x v="0"/>
  </r>
  <r>
    <x v="47"/>
    <x v="1"/>
    <n v="1693"/>
    <n v="154"/>
    <n v="445944"/>
    <n v="5.69"/>
    <n v="14216"/>
    <n v="1539"/>
    <n v="2.3973509933774833"/>
    <x v="0"/>
  </r>
  <r>
    <x v="47"/>
    <x v="2"/>
    <n v="1222"/>
    <n v="274"/>
    <n v="487289"/>
    <n v="3.16"/>
    <n v="32500"/>
    <n v="948"/>
    <n v="-0.38401559454191031"/>
    <x v="0"/>
  </r>
  <r>
    <x v="47"/>
    <x v="3"/>
    <n v="777"/>
    <n v="140"/>
    <n v="11435"/>
    <n v="1.6"/>
    <n v="6832"/>
    <n v="637"/>
    <n v="-0.3280590717299578"/>
    <x v="0"/>
  </r>
  <r>
    <x v="48"/>
    <x v="0"/>
    <n v="405"/>
    <n v="66"/>
    <n v="418696"/>
    <n v="5.59"/>
    <n v="48419"/>
    <n v="339"/>
    <n v="-0.46781789638932497"/>
    <x v="0"/>
  </r>
  <r>
    <x v="48"/>
    <x v="1"/>
    <n v="1957"/>
    <n v="76"/>
    <n v="447902"/>
    <n v="6.09"/>
    <n v="33381"/>
    <n v="1881"/>
    <n v="4.5486725663716818"/>
    <x v="0"/>
  </r>
  <r>
    <x v="48"/>
    <x v="2"/>
    <n v="1581"/>
    <n v="71"/>
    <n v="484364"/>
    <n v="3.55"/>
    <n v="16149"/>
    <n v="1510"/>
    <n v="-0.19723551302498671"/>
    <x v="0"/>
  </r>
  <r>
    <x v="48"/>
    <x v="3"/>
    <n v="1035"/>
    <n v="171"/>
    <n v="148477"/>
    <n v="5.21"/>
    <n v="7541"/>
    <n v="864"/>
    <n v="-0.42781456953642383"/>
    <x v="0"/>
  </r>
  <r>
    <x v="49"/>
    <x v="0"/>
    <n v="837"/>
    <n v="430"/>
    <n v="364820"/>
    <n v="4"/>
    <n v="49400"/>
    <n v="407"/>
    <n v="-0.52893518518518523"/>
    <x v="0"/>
  </r>
  <r>
    <x v="49"/>
    <x v="1"/>
    <n v="1765"/>
    <n v="109"/>
    <n v="468301"/>
    <n v="1.82"/>
    <n v="20042"/>
    <n v="1656"/>
    <n v="3.0687960687960687"/>
    <x v="0"/>
  </r>
  <r>
    <x v="49"/>
    <x v="2"/>
    <n v="337"/>
    <n v="68"/>
    <n v="456298"/>
    <n v="7.57"/>
    <n v="4007"/>
    <n v="269"/>
    <n v="-0.8375603864734299"/>
    <x v="0"/>
  </r>
  <r>
    <x v="49"/>
    <x v="3"/>
    <n v="119"/>
    <n v="456"/>
    <n v="82558"/>
    <n v="6.81"/>
    <n v="12174"/>
    <n v="-337"/>
    <n v="-2.2527881040892193"/>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9">
  <r>
    <s v="P105"/>
    <x v="0"/>
    <d v="2024-06-14T00:00:00"/>
    <x v="0"/>
    <s v="Check out our latest carousel on instagram!"/>
    <n v="498"/>
    <n v="38"/>
    <n v="42"/>
    <n v="4482"/>
    <n v="3647"/>
    <n v="32"/>
    <s v="#FutureOfDriving"/>
    <x v="0"/>
    <n v="0.12896028558679162"/>
    <x v="0"/>
    <x v="0"/>
  </r>
  <r>
    <s v="P123"/>
    <x v="0"/>
    <d v="2024-06-14T00:00:00"/>
    <x v="1"/>
    <s v="Check out our latest story on instagram!"/>
    <n v="4363"/>
    <n v="649"/>
    <n v="140"/>
    <n v="21815"/>
    <n v="21481"/>
    <n v="157"/>
    <s v="#EVRevolution"/>
    <x v="0"/>
    <n v="0.23616777446710979"/>
    <x v="0"/>
    <x v="0"/>
  </r>
  <r>
    <s v="P149"/>
    <x v="1"/>
    <d v="2024-06-16T00:00:00"/>
    <x v="2"/>
    <s v="Check out our latest video on twitter!"/>
    <n v="1702"/>
    <n v="750"/>
    <n v="179"/>
    <n v="34040"/>
    <n v="33174"/>
    <n v="76"/>
    <s v="#EVRevolution"/>
    <x v="0"/>
    <n v="7.7291421856639245E-2"/>
    <x v="0"/>
    <x v="1"/>
  </r>
  <r>
    <s v="P176"/>
    <x v="2"/>
    <d v="2024-06-20T00:00:00"/>
    <x v="2"/>
    <s v="Check out our latest video on facebook!"/>
    <n v="3798"/>
    <n v="31"/>
    <n v="279"/>
    <n v="75960"/>
    <n v="75813"/>
    <n v="266"/>
    <s v="#TeslaCoInnovation"/>
    <x v="0"/>
    <n v="5.4081095313322801E-2"/>
    <x v="0"/>
    <x v="1"/>
  </r>
  <r>
    <s v="P206"/>
    <x v="1"/>
    <d v="2024-06-24T00:00:00"/>
    <x v="3"/>
    <s v="Check out our latest text on twitter!"/>
    <n v="941"/>
    <n v="121"/>
    <n v="458"/>
    <n v="14115"/>
    <n v="13838"/>
    <n v="87"/>
    <s v="#EVRevolution"/>
    <x v="0"/>
    <n v="0.10768685795253277"/>
    <x v="0"/>
    <x v="1"/>
  </r>
  <r>
    <s v="P005"/>
    <x v="3"/>
    <d v="2024-06-26T00:00:00"/>
    <x v="4"/>
    <s v="Check out our latest reel on youtube!"/>
    <n v="3557"/>
    <n v="687"/>
    <n v="424"/>
    <n v="71140"/>
    <n v="70701"/>
    <n v="224"/>
    <s v="#EVRevolution"/>
    <x v="0"/>
    <n v="6.5617093055946027E-2"/>
    <x v="0"/>
    <x v="1"/>
  </r>
  <r>
    <s v="P005"/>
    <x v="3"/>
    <d v="2024-06-26T00:00:00"/>
    <x v="4"/>
    <s v="Check out our latest reel on youtube!"/>
    <n v="3557"/>
    <n v="687"/>
    <n v="424"/>
    <n v="71140"/>
    <n v="70701"/>
    <n v="224"/>
    <s v="#TeslaCoInnovation"/>
    <x v="0"/>
    <n v="6.5617093055946027E-2"/>
    <x v="0"/>
    <x v="1"/>
  </r>
  <r>
    <s v="P228"/>
    <x v="0"/>
    <d v="2024-07-01T00:00:00"/>
    <x v="1"/>
    <s v="Check out our latest story on instagram!"/>
    <n v="4808"/>
    <n v="772"/>
    <n v="320"/>
    <n v="72120"/>
    <n v="71696"/>
    <n v="195"/>
    <s v="#EVRevolution"/>
    <x v="0"/>
    <n v="8.1808097615085965E-2"/>
    <x v="0"/>
    <x v="1"/>
  </r>
  <r>
    <s v="P066"/>
    <x v="1"/>
    <d v="2024-07-26T00:00:00"/>
    <x v="0"/>
    <s v="Check out our latest carousel on twitter!"/>
    <n v="432"/>
    <n v="171"/>
    <n v="280"/>
    <n v="3024"/>
    <n v="2285"/>
    <n v="184"/>
    <s v="#EVRevolution"/>
    <x v="0"/>
    <n v="0.29199735449735448"/>
    <x v="0"/>
    <x v="2"/>
  </r>
  <r>
    <s v="P151"/>
    <x v="0"/>
    <d v="2024-07-26T00:00:00"/>
    <x v="5"/>
    <s v="Check out our latest image on instagram!"/>
    <n v="3559"/>
    <n v="59"/>
    <n v="289"/>
    <n v="35590"/>
    <n v="35105"/>
    <n v="122"/>
    <s v="#EVRevolution"/>
    <x v="0"/>
    <n v="0.10977802753582468"/>
    <x v="0"/>
    <x v="2"/>
  </r>
  <r>
    <s v="P184"/>
    <x v="1"/>
    <d v="2024-07-28T00:00:00"/>
    <x v="5"/>
    <s v="Check out our latest image on twitter!"/>
    <n v="3215"/>
    <n v="960"/>
    <n v="202"/>
    <n v="32150"/>
    <n v="31404"/>
    <n v="251"/>
    <s v="#EVRevolution"/>
    <x v="0"/>
    <n v="0.13614307931570763"/>
    <x v="0"/>
    <x v="2"/>
  </r>
  <r>
    <s v="P032"/>
    <x v="1"/>
    <d v="2024-07-31T00:00:00"/>
    <x v="0"/>
    <s v="Check out our latest carousel on twitter!"/>
    <n v="2278"/>
    <n v="10"/>
    <n v="321"/>
    <n v="13668"/>
    <n v="12676"/>
    <n v="275"/>
    <s v="#EVRevolution"/>
    <x v="0"/>
    <n v="0.19088381621305239"/>
    <x v="0"/>
    <x v="2"/>
  </r>
  <r>
    <s v="P158"/>
    <x v="0"/>
    <d v="2024-08-11T00:00:00"/>
    <x v="1"/>
    <s v="Check out our latest story on instagram!"/>
    <n v="1762"/>
    <n v="405"/>
    <n v="423"/>
    <n v="22906"/>
    <n v="21925"/>
    <n v="25"/>
    <s v="#TeslaCoInnovation"/>
    <x v="0"/>
    <n v="0.11307081114118571"/>
    <x v="0"/>
    <x v="2"/>
  </r>
  <r>
    <s v="P287"/>
    <x v="0"/>
    <d v="2024-08-15T00:00:00"/>
    <x v="4"/>
    <s v="Check out our latest reel on instagram!"/>
    <n v="1164"/>
    <n v="616"/>
    <n v="324"/>
    <n v="6984"/>
    <n v="6636"/>
    <n v="82"/>
    <s v="#EVRevolution"/>
    <x v="0"/>
    <n v="0.30126002290950743"/>
    <x v="0"/>
    <x v="2"/>
  </r>
  <r>
    <s v="P018"/>
    <x v="0"/>
    <d v="2024-08-19T00:00:00"/>
    <x v="4"/>
    <s v="Check out our latest reel on instagram!"/>
    <n v="3000"/>
    <n v="382"/>
    <n v="325"/>
    <n v="36000"/>
    <n v="35819"/>
    <n v="19"/>
    <s v="#FutureOfDriving"/>
    <x v="0"/>
    <n v="0.10297222222222223"/>
    <x v="0"/>
    <x v="2"/>
  </r>
  <r>
    <s v="P033"/>
    <x v="2"/>
    <d v="2024-08-21T00:00:00"/>
    <x v="5"/>
    <s v="Check out our latest image on facebook!"/>
    <n v="1407"/>
    <n v="400"/>
    <n v="351"/>
    <n v="16884"/>
    <n v="15954"/>
    <n v="113"/>
    <s v="#TeslaCoInnovation"/>
    <x v="0"/>
    <n v="0.12781331438047855"/>
    <x v="0"/>
    <x v="2"/>
  </r>
  <r>
    <s v="P300"/>
    <x v="1"/>
    <d v="2024-08-31T00:00:00"/>
    <x v="0"/>
    <s v="Check out our latest carousel on twitter!"/>
    <n v="4494"/>
    <n v="717"/>
    <n v="45"/>
    <n v="62916"/>
    <n v="62688"/>
    <n v="191"/>
    <s v="#TeslaCoInnovation"/>
    <x v="0"/>
    <n v="8.3539958039290485E-2"/>
    <x v="0"/>
    <x v="2"/>
  </r>
  <r>
    <s v="P300"/>
    <x v="1"/>
    <d v="2024-08-31T00:00:00"/>
    <x v="0"/>
    <s v="Check out our latest carousel on twitter!"/>
    <n v="4494"/>
    <n v="717"/>
    <n v="45"/>
    <n v="62916"/>
    <n v="62688"/>
    <n v="191"/>
    <s v="#EVRevolution"/>
    <x v="0"/>
    <n v="8.3539958039290485E-2"/>
    <x v="0"/>
    <x v="2"/>
  </r>
  <r>
    <s v="P300"/>
    <x v="1"/>
    <d v="2024-08-31T00:00:00"/>
    <x v="0"/>
    <s v="Check out our latest carousel on twitter!"/>
    <n v="4494"/>
    <n v="717"/>
    <n v="45"/>
    <n v="62916"/>
    <n v="62688"/>
    <n v="191"/>
    <s v="#BetterWithTesla"/>
    <x v="0"/>
    <n v="8.3539958039290485E-2"/>
    <x v="0"/>
    <x v="2"/>
  </r>
  <r>
    <s v="P061"/>
    <x v="1"/>
    <d v="2024-09-05T00:00:00"/>
    <x v="2"/>
    <s v="Check out our latest video on twitter!"/>
    <n v="4886"/>
    <n v="983"/>
    <n v="409"/>
    <n v="43974"/>
    <n v="43239"/>
    <n v="65"/>
    <s v="#TeslaCoInnovation"/>
    <x v="0"/>
    <n v="0.14276618001546368"/>
    <x v="0"/>
    <x v="2"/>
  </r>
  <r>
    <s v="P020"/>
    <x v="0"/>
    <d v="2024-09-09T00:00:00"/>
    <x v="0"/>
    <s v="Check out our latest carousel on instagram!"/>
    <n v="4054"/>
    <n v="488"/>
    <n v="373"/>
    <n v="77026"/>
    <n v="76881"/>
    <n v="25"/>
    <s v="#TeslaCoInnovation"/>
    <x v="0"/>
    <n v="6.3809622724794221E-2"/>
    <x v="0"/>
    <x v="2"/>
  </r>
  <r>
    <s v="P113"/>
    <x v="1"/>
    <d v="2024-10-02T00:00:00"/>
    <x v="0"/>
    <s v="Check out our latest carousel on twitter!"/>
    <n v="4419"/>
    <n v="236"/>
    <n v="369"/>
    <n v="44190"/>
    <n v="43582"/>
    <n v="10"/>
    <s v="#EVRevolution"/>
    <x v="0"/>
    <n v="0.11369088028965829"/>
    <x v="0"/>
    <x v="2"/>
  </r>
  <r>
    <s v="P194"/>
    <x v="3"/>
    <d v="2024-10-02T00:00:00"/>
    <x v="1"/>
    <s v="Check out our latest story on youtube!"/>
    <n v="4350"/>
    <n v="771"/>
    <n v="7"/>
    <n v="60900"/>
    <n v="60592"/>
    <n v="195"/>
    <s v="#EVRevolution"/>
    <x v="0"/>
    <n v="8.4203612479474554E-2"/>
    <x v="0"/>
    <x v="2"/>
  </r>
  <r>
    <s v="P222"/>
    <x v="2"/>
    <d v="2024-10-08T00:00:00"/>
    <x v="4"/>
    <s v="Check out our latest reel on facebook!"/>
    <n v="1814"/>
    <n v="653"/>
    <n v="363"/>
    <n v="25396"/>
    <n v="25286"/>
    <n v="39"/>
    <s v="#FutureOfDriving"/>
    <x v="0"/>
    <n v="0.11143487163332809"/>
    <x v="0"/>
    <x v="2"/>
  </r>
  <r>
    <s v="P222"/>
    <x v="2"/>
    <d v="2024-10-08T00:00:00"/>
    <x v="4"/>
    <s v="Check out our latest reel on facebook!"/>
    <n v="1814"/>
    <n v="653"/>
    <n v="363"/>
    <n v="25396"/>
    <n v="25286"/>
    <n v="39"/>
    <s v="#SmoothLikeNitroTesla"/>
    <x v="0"/>
    <n v="0.11143487163332809"/>
    <x v="0"/>
    <x v="2"/>
  </r>
  <r>
    <s v="P057"/>
    <x v="1"/>
    <d v="2024-10-21T00:00:00"/>
    <x v="2"/>
    <s v="Check out our latest video on twitter!"/>
    <n v="2825"/>
    <n v="535"/>
    <n v="295"/>
    <n v="45200"/>
    <n v="44739"/>
    <n v="169"/>
    <s v="#TeslaCoInnovation"/>
    <x v="0"/>
    <n v="8.0862831858407078E-2"/>
    <x v="0"/>
    <x v="2"/>
  </r>
  <r>
    <s v="P197"/>
    <x v="1"/>
    <d v="2024-10-22T00:00:00"/>
    <x v="4"/>
    <s v="Check out our latest reel on twitter!"/>
    <n v="4782"/>
    <n v="721"/>
    <n v="82"/>
    <n v="86076"/>
    <n v="85339"/>
    <n v="19"/>
    <s v="#EVRevolution"/>
    <x v="0"/>
    <n v="6.4884520656164318E-2"/>
    <x v="0"/>
    <x v="2"/>
  </r>
  <r>
    <s v="P237"/>
    <x v="0"/>
    <d v="2024-10-22T00:00:00"/>
    <x v="1"/>
    <s v="Check out our latest story on instagram!"/>
    <n v="3770"/>
    <n v="917"/>
    <n v="129"/>
    <n v="71630"/>
    <n v="71322"/>
    <n v="76"/>
    <s v="#FutureOfDriving"/>
    <x v="0"/>
    <n v="6.7234398994834563E-2"/>
    <x v="0"/>
    <x v="2"/>
  </r>
  <r>
    <s v="P015"/>
    <x v="2"/>
    <d v="2024-10-24T00:00:00"/>
    <x v="2"/>
    <s v="Check out our latest video on facebook!"/>
    <n v="3888"/>
    <n v="604"/>
    <n v="128"/>
    <n v="77760"/>
    <n v="77167"/>
    <n v="20"/>
    <s v="#FutureOfDriving"/>
    <x v="0"/>
    <n v="5.941358024691358E-2"/>
    <x v="0"/>
    <x v="2"/>
  </r>
  <r>
    <s v="P261"/>
    <x v="0"/>
    <d v="2024-10-27T00:00:00"/>
    <x v="5"/>
    <s v="Check out our latest image on instagram!"/>
    <n v="4853"/>
    <n v="837"/>
    <n v="340"/>
    <n v="72795"/>
    <n v="72237"/>
    <n v="170"/>
    <s v="#EVRevolution"/>
    <x v="0"/>
    <n v="8.2835359571399134E-2"/>
    <x v="0"/>
    <x v="2"/>
  </r>
  <r>
    <s v="P139"/>
    <x v="3"/>
    <d v="2024-10-29T00:00:00"/>
    <x v="3"/>
    <s v="Check out our latest text on youtube!"/>
    <n v="2746"/>
    <n v="156"/>
    <n v="203"/>
    <n v="32952"/>
    <n v="32147"/>
    <n v="147"/>
    <s v="#EVRevolution"/>
    <x v="0"/>
    <n v="9.422796795338674E-2"/>
    <x v="0"/>
    <x v="2"/>
  </r>
  <r>
    <s v="P045"/>
    <x v="2"/>
    <d v="2024-11-01T00:00:00"/>
    <x v="2"/>
    <s v="Check out our latest video on facebook!"/>
    <n v="3371"/>
    <n v="106"/>
    <n v="327"/>
    <n v="50565"/>
    <n v="49816"/>
    <n v="176"/>
    <s v="#FutureOfDriving"/>
    <x v="0"/>
    <n v="7.5229902106199939E-2"/>
    <x v="0"/>
    <x v="2"/>
  </r>
  <r>
    <s v="P168"/>
    <x v="2"/>
    <d v="2024-11-12T00:00:00"/>
    <x v="3"/>
    <s v="Check out our latest text on facebook!"/>
    <n v="2418"/>
    <n v="754"/>
    <n v="54"/>
    <n v="43524"/>
    <n v="42743"/>
    <n v="182"/>
    <s v="#EVRevolution"/>
    <x v="0"/>
    <n v="7.412002573292896E-2"/>
    <x v="0"/>
    <x v="2"/>
  </r>
  <r>
    <s v="P114"/>
    <x v="1"/>
    <d v="2024-11-14T00:00:00"/>
    <x v="1"/>
    <s v="Check out our latest story on twitter!"/>
    <n v="4000"/>
    <n v="689"/>
    <n v="488"/>
    <n v="40000"/>
    <n v="39569"/>
    <n v="44"/>
    <s v="#FutureOfDriving"/>
    <x v="0"/>
    <n v="0.12942500000000001"/>
    <x v="0"/>
    <x v="2"/>
  </r>
  <r>
    <s v="P013"/>
    <x v="3"/>
    <d v="2024-11-18T00:00:00"/>
    <x v="0"/>
    <s v="Check out our latest carousel on youtube!"/>
    <n v="1171"/>
    <n v="286"/>
    <n v="231"/>
    <n v="22249"/>
    <n v="21282"/>
    <n v="114"/>
    <s v="#EVRevolution"/>
    <x v="0"/>
    <n v="7.5868578363072495E-2"/>
    <x v="0"/>
    <x v="2"/>
  </r>
  <r>
    <s v="P203"/>
    <x v="0"/>
    <d v="2024-11-21T00:00:00"/>
    <x v="0"/>
    <s v="Check out our latest carousel on instagram!"/>
    <n v="3773"/>
    <n v="299"/>
    <n v="38"/>
    <n v="71687"/>
    <n v="71447"/>
    <n v="286"/>
    <s v="#FutureOfDriving"/>
    <x v="0"/>
    <n v="5.7332570758993957E-2"/>
    <x v="0"/>
    <x v="2"/>
  </r>
  <r>
    <s v="P169"/>
    <x v="3"/>
    <d v="2024-12-03T00:00:00"/>
    <x v="2"/>
    <s v="Check out our latest video on youtube!"/>
    <n v="3809"/>
    <n v="273"/>
    <n v="200"/>
    <n v="34281"/>
    <n v="33534"/>
    <n v="83"/>
    <s v="#EVRevolution"/>
    <x v="0"/>
    <n v="0.12490884163239112"/>
    <x v="0"/>
    <x v="2"/>
  </r>
  <r>
    <s v="P180"/>
    <x v="3"/>
    <d v="2024-12-03T00:00:00"/>
    <x v="3"/>
    <s v="Check out our latest text on youtube!"/>
    <n v="3711"/>
    <n v="352"/>
    <n v="290"/>
    <n v="48243"/>
    <n v="47579"/>
    <n v="11"/>
    <s v="#TeslaCoInnovation"/>
    <x v="0"/>
    <n v="9.023070704558174E-2"/>
    <x v="0"/>
    <x v="2"/>
  </r>
  <r>
    <s v="P001"/>
    <x v="1"/>
    <d v="2024-12-23T00:00:00"/>
    <x v="4"/>
    <s v="Check out our latest reel on twitter!"/>
    <n v="1461"/>
    <n v="184"/>
    <n v="344"/>
    <n v="21915"/>
    <n v="21675"/>
    <n v="15"/>
    <s v="#FutureOfDriving"/>
    <x v="0"/>
    <n v="9.0759753593429152E-2"/>
    <x v="0"/>
    <x v="2"/>
  </r>
  <r>
    <s v="P001"/>
    <x v="1"/>
    <d v="2024-12-23T00:00:00"/>
    <x v="4"/>
    <s v="Check out our latest reel on twitter!"/>
    <n v="1461"/>
    <n v="184"/>
    <n v="344"/>
    <n v="21915"/>
    <n v="21675"/>
    <n v="15"/>
    <s v="#AnytimeIsTeslaTime"/>
    <x v="0"/>
    <n v="9.0759753593429152E-2"/>
    <x v="0"/>
    <x v="2"/>
  </r>
  <r>
    <s v="P245"/>
    <x v="2"/>
    <d v="2025-01-12T00:00:00"/>
    <x v="4"/>
    <s v="Check out our latest reel on facebook!"/>
    <n v="4134"/>
    <n v="824"/>
    <n v="99"/>
    <n v="41340"/>
    <n v="41050"/>
    <n v="177"/>
    <s v="#EVRevolution"/>
    <x v="0"/>
    <n v="0.12232704402515723"/>
    <x v="0"/>
    <x v="2"/>
  </r>
  <r>
    <s v="P201"/>
    <x v="1"/>
    <d v="2025-01-15T00:00:00"/>
    <x v="4"/>
    <s v="Check out our latest reel on twitter!"/>
    <n v="802"/>
    <n v="262"/>
    <n v="244"/>
    <n v="14436"/>
    <n v="14280"/>
    <n v="49"/>
    <s v="#EVRevolution"/>
    <x v="0"/>
    <n v="9.0606816292601824E-2"/>
    <x v="0"/>
    <x v="2"/>
  </r>
  <r>
    <s v="P259"/>
    <x v="2"/>
    <d v="2025-02-10T00:00:00"/>
    <x v="3"/>
    <s v="Check out our latest text on facebook!"/>
    <n v="562"/>
    <n v="158"/>
    <n v="149"/>
    <n v="3372"/>
    <n v="2940"/>
    <n v="93"/>
    <s v="#TeslaCoInnovation"/>
    <x v="0"/>
    <n v="0.25771055753262156"/>
    <x v="0"/>
    <x v="2"/>
  </r>
  <r>
    <s v="P166"/>
    <x v="1"/>
    <d v="2025-02-16T00:00:00"/>
    <x v="4"/>
    <s v="Check out our latest reel on twitter!"/>
    <n v="1076"/>
    <n v="313"/>
    <n v="306"/>
    <n v="11836"/>
    <n v="11596"/>
    <n v="104"/>
    <s v="#FutureOfDriving"/>
    <x v="0"/>
    <n v="0.14320716458262928"/>
    <x v="0"/>
    <x v="2"/>
  </r>
  <r>
    <s v="P210"/>
    <x v="3"/>
    <d v="2025-02-19T00:00:00"/>
    <x v="5"/>
    <s v="Check out our latest image on youtube!"/>
    <n v="257"/>
    <n v="966"/>
    <n v="398"/>
    <n v="3341"/>
    <n v="2753"/>
    <n v="287"/>
    <s v="#FutureOfDriving"/>
    <x v="0"/>
    <n v="0.48518407662376534"/>
    <x v="0"/>
    <x v="2"/>
  </r>
  <r>
    <s v="P189"/>
    <x v="2"/>
    <d v="2025-03-24T00:00:00"/>
    <x v="4"/>
    <s v="Check out our latest reel on facebook!"/>
    <n v="3360"/>
    <n v="525"/>
    <n v="500"/>
    <n v="60480"/>
    <n v="59610"/>
    <n v="192"/>
    <s v="#TeslaCoInnovation"/>
    <x v="0"/>
    <n v="7.2503306878306875E-2"/>
    <x v="0"/>
    <x v="2"/>
  </r>
  <r>
    <s v="P124"/>
    <x v="3"/>
    <d v="2025-04-06T00:00:00"/>
    <x v="0"/>
    <s v="Check out our latest carousel on youtube!"/>
    <n v="736"/>
    <n v="771"/>
    <n v="225"/>
    <n v="5152"/>
    <n v="4706"/>
    <n v="19"/>
    <s v="#EVRevolution"/>
    <x v="0"/>
    <n v="0.33618012422360249"/>
    <x v="0"/>
    <x v="2"/>
  </r>
  <r>
    <s v="P277"/>
    <x v="2"/>
    <d v="2025-04-06T00:00:00"/>
    <x v="5"/>
    <s v="Check out our latest image on facebook!"/>
    <n v="4236"/>
    <n v="711"/>
    <n v="298"/>
    <n v="21180"/>
    <n v="20516"/>
    <n v="238"/>
    <s v="#FutureOfDriving"/>
    <x v="0"/>
    <n v="0.24763928234183191"/>
    <x v="0"/>
    <x v="2"/>
  </r>
  <r>
    <s v="P268"/>
    <x v="0"/>
    <d v="2025-04-13T00:00:00"/>
    <x v="4"/>
    <s v="Check out our latest reel on instagram!"/>
    <n v="4579"/>
    <n v="125"/>
    <n v="300"/>
    <n v="59527"/>
    <n v="59400"/>
    <n v="269"/>
    <s v="#EVRevolution"/>
    <x v="0"/>
    <n v="8.4062694239588759E-2"/>
    <x v="0"/>
    <x v="2"/>
  </r>
  <r>
    <s v="P085"/>
    <x v="0"/>
    <d v="2025-04-19T00:00:00"/>
    <x v="5"/>
    <s v="Check out our latest image on instagram!"/>
    <n v="4177"/>
    <n v="569"/>
    <n v="55"/>
    <n v="25062"/>
    <n v="24847"/>
    <n v="230"/>
    <s v="#FutureOfDriving"/>
    <x v="0"/>
    <n v="0.19156491900087783"/>
    <x v="0"/>
    <x v="2"/>
  </r>
  <r>
    <s v="P134"/>
    <x v="1"/>
    <d v="2025-04-24T00:00:00"/>
    <x v="4"/>
    <s v="Check out our latest reel on twitter!"/>
    <n v="3731"/>
    <n v="115"/>
    <n v="135"/>
    <n v="55965"/>
    <n v="55436"/>
    <n v="103"/>
    <s v="#TeslaCoInnovation"/>
    <x v="0"/>
    <n v="7.1133744304476013E-2"/>
    <x v="0"/>
    <x v="2"/>
  </r>
  <r>
    <s v="P231"/>
    <x v="0"/>
    <d v="2025-05-01T00:00:00"/>
    <x v="3"/>
    <s v="Check out our latest text on instagram!"/>
    <n v="1430"/>
    <n v="376"/>
    <n v="33"/>
    <n v="21450"/>
    <n v="20509"/>
    <n v="251"/>
    <s v="#FutureOfDriving"/>
    <x v="0"/>
    <n v="8.5734265734265735E-2"/>
    <x v="0"/>
    <x v="2"/>
  </r>
  <r>
    <s v="P293"/>
    <x v="2"/>
    <d v="2025-05-14T00:00:00"/>
    <x v="3"/>
    <s v="Check out our latest text on facebook!"/>
    <n v="2634"/>
    <n v="726"/>
    <n v="241"/>
    <n v="28974"/>
    <n v="28102"/>
    <n v="277"/>
    <s v="#EVRevolution"/>
    <x v="0"/>
    <n v="0.12428384068475185"/>
    <x v="0"/>
    <x v="2"/>
  </r>
  <r>
    <s v="P202"/>
    <x v="2"/>
    <d v="2024-06-02T00:00:00"/>
    <x v="5"/>
    <s v="Check out our latest image on facebook!"/>
    <n v="1871"/>
    <n v="252"/>
    <n v="335"/>
    <n v="29936"/>
    <n v="29576"/>
    <n v="288"/>
    <s v="#EVRevolution"/>
    <x v="1"/>
    <n v="8.2108498129342594E-2"/>
    <x v="1"/>
    <x v="0"/>
  </r>
  <r>
    <s v="P087"/>
    <x v="1"/>
    <d v="2024-06-06T00:00:00"/>
    <x v="2"/>
    <s v="Check out our latest video on twitter!"/>
    <n v="1436"/>
    <n v="765"/>
    <n v="496"/>
    <n v="12924"/>
    <n v="12701"/>
    <n v="197"/>
    <s v="#FutureOfDriving"/>
    <x v="1"/>
    <n v="0.20868152274837512"/>
    <x v="1"/>
    <x v="0"/>
  </r>
  <r>
    <s v="P227"/>
    <x v="0"/>
    <d v="2024-06-12T00:00:00"/>
    <x v="3"/>
    <s v="Check out our latest text on instagram!"/>
    <n v="246"/>
    <n v="149"/>
    <n v="130"/>
    <n v="4674"/>
    <n v="4390"/>
    <n v="217"/>
    <s v="#FutureOfDriving"/>
    <x v="1"/>
    <n v="0.11232349165596919"/>
    <x v="1"/>
    <x v="0"/>
  </r>
  <r>
    <s v="P294"/>
    <x v="2"/>
    <d v="2024-06-19T00:00:00"/>
    <x v="0"/>
    <s v="Check out our latest carousel on facebook!"/>
    <n v="4731"/>
    <n v="173"/>
    <n v="276"/>
    <n v="28386"/>
    <n v="28185"/>
    <n v="89"/>
    <s v="#EVRevolution"/>
    <x v="1"/>
    <n v="0.18248432325794406"/>
    <x v="1"/>
    <x v="0"/>
  </r>
  <r>
    <s v="P099"/>
    <x v="3"/>
    <d v="2024-07-02T00:00:00"/>
    <x v="0"/>
    <s v="Check out our latest carousel on youtube!"/>
    <n v="4171"/>
    <n v="548"/>
    <n v="86"/>
    <n v="66736"/>
    <n v="66634"/>
    <n v="173"/>
    <s v="#FutureOfDriving"/>
    <x v="1"/>
    <n v="7.2000119875329657E-2"/>
    <x v="1"/>
    <x v="0"/>
  </r>
  <r>
    <s v="P050"/>
    <x v="3"/>
    <d v="2024-07-03T00:00:00"/>
    <x v="1"/>
    <s v="Check out our latest story on youtube!"/>
    <n v="2754"/>
    <n v="130"/>
    <n v="90"/>
    <n v="22032"/>
    <n v="21288"/>
    <n v="112"/>
    <s v="#TeslaCoInnovation"/>
    <x v="1"/>
    <n v="0.13498547567175018"/>
    <x v="1"/>
    <x v="0"/>
  </r>
  <r>
    <s v="P242"/>
    <x v="2"/>
    <d v="2024-07-07T00:00:00"/>
    <x v="4"/>
    <s v="Check out our latest reel on facebook!"/>
    <n v="4767"/>
    <n v="190"/>
    <n v="340"/>
    <n v="28602"/>
    <n v="28044"/>
    <n v="210"/>
    <s v="#EVRevolution"/>
    <x v="1"/>
    <n v="0.18519683938186141"/>
    <x v="1"/>
    <x v="0"/>
  </r>
  <r>
    <s v="P177"/>
    <x v="0"/>
    <d v="2024-07-10T00:00:00"/>
    <x v="0"/>
    <s v="Check out our latest carousel on instagram!"/>
    <n v="3099"/>
    <n v="694"/>
    <n v="171"/>
    <n v="43386"/>
    <n v="42921"/>
    <n v="52"/>
    <s v="#TeslaCoInnovation"/>
    <x v="1"/>
    <n v="9.1365878393951966E-2"/>
    <x v="1"/>
    <x v="0"/>
  </r>
  <r>
    <s v="P230"/>
    <x v="2"/>
    <d v="2024-07-15T00:00:00"/>
    <x v="4"/>
    <s v="Check out our latest reel on facebook!"/>
    <n v="3663"/>
    <n v="17"/>
    <n v="295"/>
    <n v="51282"/>
    <n v="50567"/>
    <n v="84"/>
    <s v="#EVRevolution"/>
    <x v="1"/>
    <n v="7.7512577512577507E-2"/>
    <x v="1"/>
    <x v="0"/>
  </r>
  <r>
    <s v="P012"/>
    <x v="2"/>
    <d v="2024-07-21T00:00:00"/>
    <x v="4"/>
    <s v="Check out our latest reel on facebook!"/>
    <n v="1946"/>
    <n v="686"/>
    <n v="377"/>
    <n v="23352"/>
    <n v="22982"/>
    <n v="213"/>
    <s v="#FutureOfDriving"/>
    <x v="1"/>
    <n v="0.12885405960945528"/>
    <x v="1"/>
    <x v="0"/>
  </r>
  <r>
    <s v="P082"/>
    <x v="0"/>
    <d v="2024-07-24T00:00:00"/>
    <x v="5"/>
    <s v="Check out our latest image on instagram!"/>
    <n v="725"/>
    <n v="88"/>
    <n v="428"/>
    <n v="14500"/>
    <n v="13637"/>
    <n v="200"/>
    <s v="#FutureOfDriving"/>
    <x v="1"/>
    <n v="8.558620689655172E-2"/>
    <x v="1"/>
    <x v="0"/>
  </r>
  <r>
    <s v="P082"/>
    <x v="0"/>
    <d v="2024-07-24T00:00:00"/>
    <x v="5"/>
    <s v="Check out our latest image on instagram!"/>
    <n v="725"/>
    <n v="88"/>
    <n v="428"/>
    <n v="14500"/>
    <n v="13637"/>
    <n v="200"/>
    <s v="#TeslaCoInnovation"/>
    <x v="1"/>
    <n v="8.558620689655172E-2"/>
    <x v="1"/>
    <x v="0"/>
  </r>
  <r>
    <s v="P082"/>
    <x v="0"/>
    <d v="2024-07-24T00:00:00"/>
    <x v="5"/>
    <s v="Check out our latest image on instagram!"/>
    <n v="725"/>
    <n v="88"/>
    <n v="428"/>
    <n v="14500"/>
    <n v="13637"/>
    <n v="200"/>
    <s v="#AnytimeIsTeslaTime"/>
    <x v="1"/>
    <n v="8.558620689655172E-2"/>
    <x v="1"/>
    <x v="0"/>
  </r>
  <r>
    <s v="P063"/>
    <x v="1"/>
    <d v="2024-07-31T00:00:00"/>
    <x v="0"/>
    <s v="Check out our latest carousel on twitter!"/>
    <n v="4507"/>
    <n v="217"/>
    <n v="13"/>
    <n v="90140"/>
    <n v="89591"/>
    <n v="125"/>
    <s v="#FutureOfDriving"/>
    <x v="1"/>
    <n v="5.2551586421122697E-2"/>
    <x v="1"/>
    <x v="0"/>
  </r>
  <r>
    <s v="P275"/>
    <x v="2"/>
    <d v="2024-08-05T00:00:00"/>
    <x v="4"/>
    <s v="Check out our latest reel on facebook!"/>
    <n v="1741"/>
    <n v="831"/>
    <n v="345"/>
    <n v="17410"/>
    <n v="16844"/>
    <n v="58"/>
    <s v="#EVRevolution"/>
    <x v="1"/>
    <n v="0.16754738655944859"/>
    <x v="1"/>
    <x v="0"/>
  </r>
  <r>
    <s v="P109"/>
    <x v="1"/>
    <d v="2024-08-08T00:00:00"/>
    <x v="1"/>
    <s v="Check out our latest story on twitter!"/>
    <n v="3649"/>
    <n v="215"/>
    <n v="413"/>
    <n v="25543"/>
    <n v="24963"/>
    <n v="167"/>
    <s v="#FutureOfDriving"/>
    <x v="1"/>
    <n v="0.16744313510550835"/>
    <x v="1"/>
    <x v="0"/>
  </r>
  <r>
    <s v="P172"/>
    <x v="2"/>
    <d v="2024-08-14T00:00:00"/>
    <x v="0"/>
    <s v="Check out our latest carousel on facebook!"/>
    <n v="3073"/>
    <n v="553"/>
    <n v="174"/>
    <n v="52241"/>
    <n v="51605"/>
    <n v="246"/>
    <s v="#EVRevolution"/>
    <x v="1"/>
    <n v="7.2739802071170159E-2"/>
    <x v="1"/>
    <x v="0"/>
  </r>
  <r>
    <s v="P064"/>
    <x v="2"/>
    <d v="2024-08-17T00:00:00"/>
    <x v="5"/>
    <s v="Check out our latest image on facebook!"/>
    <n v="2878"/>
    <n v="248"/>
    <n v="416"/>
    <n v="43170"/>
    <n v="42667"/>
    <n v="75"/>
    <s v="#FutureOfDriving"/>
    <x v="1"/>
    <n v="8.2047718322909427E-2"/>
    <x v="1"/>
    <x v="0"/>
  </r>
  <r>
    <s v="P186"/>
    <x v="2"/>
    <d v="2024-08-24T00:00:00"/>
    <x v="0"/>
    <s v="Check out our latest carousel on facebook!"/>
    <n v="4292"/>
    <n v="51"/>
    <n v="392"/>
    <n v="55796"/>
    <n v="54826"/>
    <n v="264"/>
    <s v="#EVRevolution"/>
    <x v="1"/>
    <n v="8.4862714173059003E-2"/>
    <x v="1"/>
    <x v="0"/>
  </r>
  <r>
    <s v="P016"/>
    <x v="2"/>
    <d v="2024-08-26T00:00:00"/>
    <x v="3"/>
    <s v="Check out our latest text on facebook!"/>
    <n v="3452"/>
    <n v="377"/>
    <n v="360"/>
    <n v="55232"/>
    <n v="55075"/>
    <n v="87"/>
    <s v="#FutureOfDriving"/>
    <x v="1"/>
    <n v="7.5843713789107758E-2"/>
    <x v="1"/>
    <x v="0"/>
  </r>
  <r>
    <s v="P240"/>
    <x v="1"/>
    <d v="2024-08-26T00:00:00"/>
    <x v="0"/>
    <s v="Check out our latest carousel on twitter!"/>
    <n v="929"/>
    <n v="192"/>
    <n v="322"/>
    <n v="16722"/>
    <n v="15996"/>
    <n v="145"/>
    <s v="#EVRevolution"/>
    <x v="1"/>
    <n v="8.6293505561535699E-2"/>
    <x v="1"/>
    <x v="0"/>
  </r>
  <r>
    <s v="P240"/>
    <x v="1"/>
    <d v="2024-08-26T00:00:00"/>
    <x v="0"/>
    <s v="Check out our latest carousel on twitter!"/>
    <n v="929"/>
    <n v="192"/>
    <n v="322"/>
    <n v="16722"/>
    <n v="15996"/>
    <n v="145"/>
    <s v="#TeslaCoInnovation"/>
    <x v="1"/>
    <n v="8.6293505561535699E-2"/>
    <x v="1"/>
    <x v="0"/>
  </r>
  <r>
    <s v="P240"/>
    <x v="1"/>
    <d v="2024-08-26T00:00:00"/>
    <x v="0"/>
    <s v="Check out our latest carousel on twitter!"/>
    <n v="929"/>
    <n v="192"/>
    <n v="322"/>
    <n v="16722"/>
    <n v="15996"/>
    <n v="145"/>
    <s v="#AnytimeIsTeslaTime"/>
    <x v="1"/>
    <n v="8.6293505561535699E-2"/>
    <x v="1"/>
    <x v="0"/>
  </r>
  <r>
    <s v="P299"/>
    <x v="2"/>
    <d v="2024-08-26T00:00:00"/>
    <x v="5"/>
    <s v="Check out our latest image on facebook!"/>
    <n v="2581"/>
    <n v="517"/>
    <n v="117"/>
    <n v="23229"/>
    <n v="22331"/>
    <n v="70"/>
    <s v="#FutureOfDriving"/>
    <x v="1"/>
    <n v="0.13840458048129492"/>
    <x v="1"/>
    <x v="0"/>
  </r>
  <r>
    <s v="P193"/>
    <x v="1"/>
    <d v="2024-09-11T00:00:00"/>
    <x v="5"/>
    <s v="Check out our latest image on twitter!"/>
    <n v="4858"/>
    <n v="317"/>
    <n v="129"/>
    <n v="53438"/>
    <n v="52687"/>
    <n v="223"/>
    <s v="#EVRevolution"/>
    <x v="1"/>
    <n v="9.9255211647142488E-2"/>
    <x v="1"/>
    <x v="0"/>
  </r>
  <r>
    <s v="P198"/>
    <x v="1"/>
    <d v="2024-09-14T00:00:00"/>
    <x v="5"/>
    <s v="Check out our latest image on twitter!"/>
    <n v="1048"/>
    <n v="374"/>
    <n v="450"/>
    <n v="9432"/>
    <n v="8882"/>
    <n v="158"/>
    <s v="#TeslaCoInnovation"/>
    <x v="1"/>
    <n v="0.19847328244274809"/>
    <x v="1"/>
    <x v="0"/>
  </r>
  <r>
    <s v="P286"/>
    <x v="3"/>
    <d v="2024-09-25T00:00:00"/>
    <x v="2"/>
    <s v="Check out our latest video on youtube!"/>
    <n v="3389"/>
    <n v="344"/>
    <n v="229"/>
    <n v="20334"/>
    <n v="19443"/>
    <n v="228"/>
    <s v="#FutureOfDriving"/>
    <x v="1"/>
    <n v="0.19484607062063539"/>
    <x v="1"/>
    <x v="0"/>
  </r>
  <r>
    <s v="P143"/>
    <x v="3"/>
    <d v="2024-10-02T00:00:00"/>
    <x v="0"/>
    <s v="Check out our latest carousel on youtube!"/>
    <n v="80"/>
    <n v="362"/>
    <n v="80"/>
    <n v="1040"/>
    <n v="349"/>
    <n v="117"/>
    <s v="#TeslaCoInnovation"/>
    <x v="1"/>
    <n v="0.50192307692307692"/>
    <x v="1"/>
    <x v="0"/>
  </r>
  <r>
    <s v="P282"/>
    <x v="0"/>
    <d v="2024-10-03T00:00:00"/>
    <x v="2"/>
    <s v="Check out our latest video on instagram!"/>
    <n v="1488"/>
    <n v="417"/>
    <n v="168"/>
    <n v="19344"/>
    <n v="18395"/>
    <n v="30"/>
    <s v="#FutureOfDriving"/>
    <x v="1"/>
    <n v="0.1071650124069479"/>
    <x v="1"/>
    <x v="0"/>
  </r>
  <r>
    <s v="P112"/>
    <x v="1"/>
    <d v="2024-10-05T00:00:00"/>
    <x v="1"/>
    <s v="Check out our latest story on twitter!"/>
    <n v="1957"/>
    <n v="877"/>
    <n v="238"/>
    <n v="17613"/>
    <n v="16865"/>
    <n v="297"/>
    <s v="#FutureOfDriving"/>
    <x v="1"/>
    <n v="0.17441662408448305"/>
    <x v="1"/>
    <x v="0"/>
  </r>
  <r>
    <s v="P101"/>
    <x v="3"/>
    <d v="2024-10-18T00:00:00"/>
    <x v="2"/>
    <s v="Check out our latest video on youtube!"/>
    <n v="4450"/>
    <n v="983"/>
    <n v="143"/>
    <n v="75650"/>
    <n v="75008"/>
    <n v="12"/>
    <s v="#FutureOfDriving"/>
    <x v="1"/>
    <n v="7.3707865168539333E-2"/>
    <x v="1"/>
    <x v="0"/>
  </r>
  <r>
    <s v="P081"/>
    <x v="0"/>
    <d v="2024-10-19T00:00:00"/>
    <x v="1"/>
    <s v="Check out our latest story on instagram!"/>
    <n v="1816"/>
    <n v="29"/>
    <n v="41"/>
    <n v="19976"/>
    <n v="19262"/>
    <n v="283"/>
    <s v="#TeslaCoInnovation"/>
    <x v="1"/>
    <n v="9.4413295955146179E-2"/>
    <x v="1"/>
    <x v="0"/>
  </r>
  <r>
    <s v="P092"/>
    <x v="1"/>
    <d v="2024-10-21T00:00:00"/>
    <x v="1"/>
    <s v="Check out our latest story on twitter!"/>
    <n v="3801"/>
    <n v="967"/>
    <n v="401"/>
    <n v="38010"/>
    <n v="37625"/>
    <n v="236"/>
    <s v="#FutureOfDriving"/>
    <x v="1"/>
    <n v="0.13599052880820836"/>
    <x v="1"/>
    <x v="0"/>
  </r>
  <r>
    <s v="P120"/>
    <x v="2"/>
    <d v="2024-10-21T00:00:00"/>
    <x v="1"/>
    <s v="Check out our latest story on facebook!"/>
    <n v="780"/>
    <n v="928"/>
    <n v="301"/>
    <n v="8580"/>
    <n v="8081"/>
    <n v="91"/>
    <s v="#EVRevolution"/>
    <x v="1"/>
    <n v="0.23414918414918415"/>
    <x v="1"/>
    <x v="0"/>
  </r>
  <r>
    <s v="P131"/>
    <x v="0"/>
    <d v="2024-10-21T00:00:00"/>
    <x v="4"/>
    <s v="Check out our latest reel on instagram!"/>
    <n v="4840"/>
    <n v="658"/>
    <n v="211"/>
    <n v="43560"/>
    <n v="43225"/>
    <n v="57"/>
    <s v="#FutureOfDriving"/>
    <x v="1"/>
    <n v="0.13106060606060607"/>
    <x v="1"/>
    <x v="0"/>
  </r>
  <r>
    <s v="P298"/>
    <x v="2"/>
    <d v="2024-10-24T00:00:00"/>
    <x v="5"/>
    <s v="Check out our latest image on facebook!"/>
    <n v="4303"/>
    <n v="451"/>
    <n v="286"/>
    <n v="86060"/>
    <n v="85823"/>
    <n v="14"/>
    <s v="#TeslaCoInnovation"/>
    <x v="1"/>
    <n v="5.8563792702765516E-2"/>
    <x v="1"/>
    <x v="0"/>
  </r>
  <r>
    <s v="P244"/>
    <x v="3"/>
    <d v="2024-10-25T00:00:00"/>
    <x v="2"/>
    <s v="Check out our latest video on youtube!"/>
    <n v="4661"/>
    <n v="935"/>
    <n v="433"/>
    <n v="23305"/>
    <n v="22583"/>
    <n v="63"/>
    <s v="#FutureOfDriving"/>
    <x v="1"/>
    <n v="0.25869984981763572"/>
    <x v="1"/>
    <x v="0"/>
  </r>
  <r>
    <s v="P074"/>
    <x v="3"/>
    <d v="2024-10-28T00:00:00"/>
    <x v="4"/>
    <s v="Check out our latest reel on youtube!"/>
    <n v="1855"/>
    <n v="200"/>
    <n v="174"/>
    <n v="16695"/>
    <n v="16330"/>
    <n v="123"/>
    <s v="#TeslaCoInnovation"/>
    <x v="1"/>
    <n v="0.13351302785265048"/>
    <x v="1"/>
    <x v="0"/>
  </r>
  <r>
    <s v="P118"/>
    <x v="2"/>
    <d v="2024-11-04T00:00:00"/>
    <x v="5"/>
    <s v="Check out our latest image on facebook!"/>
    <n v="4551"/>
    <n v="714"/>
    <n v="207"/>
    <n v="68265"/>
    <n v="67754"/>
    <n v="57"/>
    <s v="#FutureOfDriving"/>
    <x v="1"/>
    <n v="8.0158206987475278E-2"/>
    <x v="1"/>
    <x v="0"/>
  </r>
  <r>
    <s v="P094"/>
    <x v="0"/>
    <d v="2024-11-07T00:00:00"/>
    <x v="5"/>
    <s v="Check out our latest image on instagram!"/>
    <n v="2647"/>
    <n v="304"/>
    <n v="170"/>
    <n v="18529"/>
    <n v="17841"/>
    <n v="46"/>
    <s v="#FutureOfDriving"/>
    <x v="1"/>
    <n v="0.16843866371633656"/>
    <x v="1"/>
    <x v="0"/>
  </r>
  <r>
    <s v="P062"/>
    <x v="1"/>
    <d v="2024-11-22T00:00:00"/>
    <x v="0"/>
    <s v="Check out our latest carousel on twitter!"/>
    <n v="53"/>
    <n v="81"/>
    <n v="379"/>
    <n v="954"/>
    <n v="7"/>
    <n v="148"/>
    <s v="#TeslaCoInnovation"/>
    <x v="1"/>
    <n v="0.53773584905660377"/>
    <x v="1"/>
    <x v="0"/>
  </r>
  <r>
    <s v="P266"/>
    <x v="2"/>
    <d v="2024-11-25T00:00:00"/>
    <x v="1"/>
    <s v="Check out our latest story on facebook!"/>
    <n v="4182"/>
    <n v="640"/>
    <n v="240"/>
    <n v="50184"/>
    <n v="49351"/>
    <n v="10"/>
    <s v="#TeslaCoInnovation"/>
    <x v="1"/>
    <n v="0.10086880280567512"/>
    <x v="1"/>
    <x v="0"/>
  </r>
  <r>
    <s v="P191"/>
    <x v="3"/>
    <d v="2024-12-03T00:00:00"/>
    <x v="1"/>
    <s v="Check out our latest story on youtube!"/>
    <n v="4285"/>
    <n v="886"/>
    <n v="376"/>
    <n v="55705"/>
    <n v="55556"/>
    <n v="51"/>
    <s v="#FutureOfDriving"/>
    <x v="1"/>
    <n v="9.9578134817341346E-2"/>
    <x v="1"/>
    <x v="0"/>
  </r>
  <r>
    <s v="P173"/>
    <x v="1"/>
    <d v="2024-12-05T00:00:00"/>
    <x v="2"/>
    <s v="Check out our latest video on twitter!"/>
    <n v="1330"/>
    <n v="925"/>
    <n v="35"/>
    <n v="15960"/>
    <n v="15379"/>
    <n v="229"/>
    <s v="#FutureOfDriving"/>
    <x v="1"/>
    <n v="0.14348370927318296"/>
    <x v="1"/>
    <x v="0"/>
  </r>
  <r>
    <s v="P093"/>
    <x v="0"/>
    <d v="2024-12-11T00:00:00"/>
    <x v="2"/>
    <s v="Check out our latest video on instagram!"/>
    <n v="1431"/>
    <n v="951"/>
    <n v="26"/>
    <n v="8586"/>
    <n v="8396"/>
    <n v="150"/>
    <s v="#EVRevolution"/>
    <x v="1"/>
    <n v="0.28045655718611695"/>
    <x v="1"/>
    <x v="0"/>
  </r>
  <r>
    <s v="P043"/>
    <x v="0"/>
    <d v="2024-12-14T00:00:00"/>
    <x v="0"/>
    <s v="Check out our latest carousel on instagram!"/>
    <n v="2174"/>
    <n v="658"/>
    <n v="15"/>
    <n v="13044"/>
    <n v="12206"/>
    <n v="137"/>
    <s v="#TeslaCoInnovation"/>
    <x v="1"/>
    <n v="0.21826126954921804"/>
    <x v="1"/>
    <x v="0"/>
  </r>
  <r>
    <s v="P056"/>
    <x v="2"/>
    <d v="2024-12-18T00:00:00"/>
    <x v="0"/>
    <s v="Check out our latest carousel on facebook!"/>
    <n v="2946"/>
    <n v="498"/>
    <n v="367"/>
    <n v="29460"/>
    <n v="28527"/>
    <n v="60"/>
    <s v="#FutureOfDriving"/>
    <x v="1"/>
    <n v="0.12936184657162253"/>
    <x v="1"/>
    <x v="0"/>
  </r>
  <r>
    <s v="P196"/>
    <x v="0"/>
    <d v="2024-12-19T00:00:00"/>
    <x v="3"/>
    <s v="Check out our latest text on instagram!"/>
    <n v="1813"/>
    <n v="623"/>
    <n v="72"/>
    <n v="19943"/>
    <n v="18959"/>
    <n v="85"/>
    <s v="#EVRevolution"/>
    <x v="1"/>
    <n v="0.12575841147269717"/>
    <x v="1"/>
    <x v="0"/>
  </r>
  <r>
    <s v="P187"/>
    <x v="1"/>
    <d v="2024-12-22T00:00:00"/>
    <x v="4"/>
    <s v="Check out our latest reel on twitter!"/>
    <n v="1644"/>
    <n v="546"/>
    <n v="150"/>
    <n v="27948"/>
    <n v="27184"/>
    <n v="300"/>
    <s v="#EVRevolution"/>
    <x v="1"/>
    <n v="8.3726921425504502E-2"/>
    <x v="1"/>
    <x v="0"/>
  </r>
  <r>
    <s v="P235"/>
    <x v="2"/>
    <d v="2024-12-22T00:00:00"/>
    <x v="5"/>
    <s v="Check out our latest image on facebook!"/>
    <n v="3196"/>
    <n v="941"/>
    <n v="376"/>
    <n v="35156"/>
    <n v="34444"/>
    <n v="241"/>
    <s v="#TeslaCoInnovation"/>
    <x v="1"/>
    <n v="0.1283706906360223"/>
    <x v="1"/>
    <x v="0"/>
  </r>
  <r>
    <s v="P207"/>
    <x v="1"/>
    <d v="2024-12-29T00:00:00"/>
    <x v="0"/>
    <s v="Check out our latest carousel on twitter!"/>
    <n v="4274"/>
    <n v="340"/>
    <n v="281"/>
    <n v="34192"/>
    <n v="33446"/>
    <n v="129"/>
    <s v="#TeslaCoInnovation"/>
    <x v="1"/>
    <n v="0.14316214319138981"/>
    <x v="1"/>
    <x v="1"/>
  </r>
  <r>
    <s v="P207"/>
    <x v="1"/>
    <d v="2024-12-29T00:00:00"/>
    <x v="0"/>
    <s v="Check out our latest carousel on twitter!"/>
    <n v="4274"/>
    <n v="340"/>
    <n v="281"/>
    <n v="34192"/>
    <n v="33446"/>
    <n v="129"/>
    <s v="#SmoothLikeNitroTesla"/>
    <x v="1"/>
    <n v="0.14316214319138981"/>
    <x v="1"/>
    <x v="1"/>
  </r>
  <r>
    <s v="P153"/>
    <x v="1"/>
    <d v="2025-01-01T00:00:00"/>
    <x v="2"/>
    <s v="Check out our latest video on twitter!"/>
    <n v="754"/>
    <n v="197"/>
    <n v="257"/>
    <n v="6786"/>
    <n v="6221"/>
    <n v="212"/>
    <s v="#TeslaCoInnovation"/>
    <x v="1"/>
    <n v="0.17801355732390214"/>
    <x v="1"/>
    <x v="1"/>
  </r>
  <r>
    <s v="P204"/>
    <x v="0"/>
    <d v="2025-01-01T00:00:00"/>
    <x v="0"/>
    <s v="Check out our latest carousel on instagram!"/>
    <n v="2234"/>
    <n v="653"/>
    <n v="432"/>
    <n v="11170"/>
    <n v="10569"/>
    <n v="198"/>
    <s v="#FutureOfDriving"/>
    <x v="1"/>
    <n v="0.29713518352730528"/>
    <x v="1"/>
    <x v="1"/>
  </r>
  <r>
    <s v="P270"/>
    <x v="3"/>
    <d v="2025-01-15T00:00:00"/>
    <x v="4"/>
    <s v="Check out our latest reel on youtube!"/>
    <n v="3774"/>
    <n v="239"/>
    <n v="39"/>
    <n v="60384"/>
    <n v="59490"/>
    <n v="241"/>
    <s v="#TeslaCoInnovation"/>
    <x v="1"/>
    <n v="6.7103868574456813E-2"/>
    <x v="1"/>
    <x v="2"/>
  </r>
  <r>
    <s v="P024"/>
    <x v="2"/>
    <d v="2025-01-23T00:00:00"/>
    <x v="2"/>
    <s v="Check out our latest video on facebook!"/>
    <n v="3961"/>
    <n v="761"/>
    <n v="131"/>
    <n v="67337"/>
    <n v="66615"/>
    <n v="161"/>
    <s v="#FutureOfDriving"/>
    <x v="1"/>
    <n v="7.2070332803659209E-2"/>
    <x v="1"/>
    <x v="2"/>
  </r>
  <r>
    <s v="P127"/>
    <x v="2"/>
    <d v="2025-01-27T00:00:00"/>
    <x v="4"/>
    <s v="Check out our latest reel on facebook!"/>
    <n v="3452"/>
    <n v="652"/>
    <n v="442"/>
    <n v="65588"/>
    <n v="65049"/>
    <n v="158"/>
    <s v="#FutureOfDriving"/>
    <x v="1"/>
    <n v="6.9311459413307311E-2"/>
    <x v="1"/>
    <x v="2"/>
  </r>
  <r>
    <s v="P060"/>
    <x v="0"/>
    <d v="2025-01-28T00:00:00"/>
    <x v="2"/>
    <s v="Check out our latest video on instagram!"/>
    <n v="904"/>
    <n v="973"/>
    <n v="63"/>
    <n v="11752"/>
    <n v="11580"/>
    <n v="84"/>
    <s v="#EVRevolution"/>
    <x v="1"/>
    <n v="0.1650782845473111"/>
    <x v="1"/>
    <x v="2"/>
  </r>
  <r>
    <s v="P060"/>
    <x v="0"/>
    <d v="2025-01-28T00:00:00"/>
    <x v="2"/>
    <s v="Check out our latest video on instagram!"/>
    <n v="904"/>
    <n v="973"/>
    <n v="63"/>
    <n v="11752"/>
    <n v="11580"/>
    <n v="84"/>
    <s v="#TeslaCoInnovation"/>
    <x v="1"/>
    <n v="0.1650782845473111"/>
    <x v="1"/>
    <x v="2"/>
  </r>
  <r>
    <s v="P060"/>
    <x v="0"/>
    <d v="2025-01-28T00:00:00"/>
    <x v="2"/>
    <s v="Check out our latest video on instagram!"/>
    <n v="904"/>
    <n v="973"/>
    <n v="63"/>
    <n v="11752"/>
    <n v="11580"/>
    <n v="84"/>
    <s v="#AnytimeIsTeslaTime"/>
    <x v="1"/>
    <n v="0.1650782845473111"/>
    <x v="1"/>
    <x v="2"/>
  </r>
  <r>
    <s v="P029"/>
    <x v="0"/>
    <d v="2025-01-31T00:00:00"/>
    <x v="0"/>
    <s v="Check out our latest carousel on instagram!"/>
    <n v="2566"/>
    <n v="118"/>
    <n v="37"/>
    <n v="12830"/>
    <n v="12264"/>
    <n v="221"/>
    <s v="#FutureOfDriving"/>
    <x v="1"/>
    <n v="0.21208106001558846"/>
    <x v="1"/>
    <x v="2"/>
  </r>
  <r>
    <s v="P260"/>
    <x v="0"/>
    <d v="2025-02-12T00:00:00"/>
    <x v="1"/>
    <s v="Check out our latest story on instagram!"/>
    <n v="4332"/>
    <n v="771"/>
    <n v="219"/>
    <n v="60648"/>
    <n v="60397"/>
    <n v="10"/>
    <s v="#TeslaCoInnovation"/>
    <x v="1"/>
    <n v="8.7752275425405618E-2"/>
    <x v="1"/>
    <x v="2"/>
  </r>
  <r>
    <s v="P260"/>
    <x v="0"/>
    <d v="2025-02-12T00:00:00"/>
    <x v="1"/>
    <s v="Check out our latest story on instagram!"/>
    <n v="4332"/>
    <n v="771"/>
    <n v="219"/>
    <n v="60648"/>
    <n v="60397"/>
    <n v="10"/>
    <s v="#EVRevolution"/>
    <x v="1"/>
    <n v="8.7752275425405618E-2"/>
    <x v="1"/>
    <x v="2"/>
  </r>
  <r>
    <s v="P260"/>
    <x v="0"/>
    <d v="2025-02-12T00:00:00"/>
    <x v="1"/>
    <s v="Check out our latest story on instagram!"/>
    <n v="4332"/>
    <n v="771"/>
    <n v="219"/>
    <n v="60648"/>
    <n v="60397"/>
    <n v="10"/>
    <s v="#BetterWithTesla"/>
    <x v="1"/>
    <n v="8.7752275425405618E-2"/>
    <x v="1"/>
    <x v="2"/>
  </r>
  <r>
    <s v="P069"/>
    <x v="1"/>
    <d v="2025-03-08T00:00:00"/>
    <x v="3"/>
    <s v="Check out our latest text on twitter!"/>
    <n v="1292"/>
    <n v="626"/>
    <n v="496"/>
    <n v="25840"/>
    <n v="24916"/>
    <n v="149"/>
    <s v="#FutureOfDriving"/>
    <x v="1"/>
    <n v="9.3421052631578946E-2"/>
    <x v="1"/>
    <x v="2"/>
  </r>
  <r>
    <s v="P181"/>
    <x v="3"/>
    <d v="2025-03-21T00:00:00"/>
    <x v="5"/>
    <s v="Check out our latest image on youtube!"/>
    <n v="606"/>
    <n v="789"/>
    <n v="470"/>
    <n v="7878"/>
    <n v="7389"/>
    <n v="239"/>
    <s v="#EVRevolution"/>
    <x v="1"/>
    <n v="0.23673521198273673"/>
    <x v="1"/>
    <x v="2"/>
  </r>
  <r>
    <s v="P104"/>
    <x v="3"/>
    <d v="2025-03-23T00:00:00"/>
    <x v="1"/>
    <s v="Check out our latest story on youtube!"/>
    <n v="3655"/>
    <n v="568"/>
    <n v="286"/>
    <n v="32895"/>
    <n v="32015"/>
    <n v="199"/>
    <s v="#TeslaCoInnovation"/>
    <x v="1"/>
    <n v="0.13707250341997265"/>
    <x v="1"/>
    <x v="2"/>
  </r>
  <r>
    <s v="P034"/>
    <x v="2"/>
    <d v="2025-03-26T00:00:00"/>
    <x v="3"/>
    <s v="Check out our latest text on facebook!"/>
    <n v="1652"/>
    <n v="89"/>
    <n v="357"/>
    <n v="29736"/>
    <n v="28771"/>
    <n v="215"/>
    <s v="#TeslaCoInnovation"/>
    <x v="1"/>
    <n v="7.055421038471886E-2"/>
    <x v="1"/>
    <x v="2"/>
  </r>
  <r>
    <s v="P272"/>
    <x v="0"/>
    <d v="2025-03-27T00:00:00"/>
    <x v="3"/>
    <s v="Check out our latest text on instagram!"/>
    <n v="4941"/>
    <n v="414"/>
    <n v="266"/>
    <n v="39528"/>
    <n v="39154"/>
    <n v="217"/>
    <s v="#TeslaCoInnovation"/>
    <x v="1"/>
    <n v="0.14220299534507186"/>
    <x v="1"/>
    <x v="2"/>
  </r>
  <r>
    <s v="P067"/>
    <x v="2"/>
    <d v="2025-03-29T00:00:00"/>
    <x v="0"/>
    <s v="Check out our latest carousel on facebook!"/>
    <n v="4712"/>
    <n v="568"/>
    <n v="127"/>
    <n v="84816"/>
    <n v="84691"/>
    <n v="100"/>
    <s v="#EVRevolution"/>
    <x v="1"/>
    <n v="6.3749764195434822E-2"/>
    <x v="1"/>
    <x v="2"/>
  </r>
  <r>
    <s v="P138"/>
    <x v="1"/>
    <d v="2025-03-29T00:00:00"/>
    <x v="5"/>
    <s v="Check out our latest image on twitter!"/>
    <n v="305"/>
    <n v="187"/>
    <n v="243"/>
    <n v="4575"/>
    <n v="3704"/>
    <n v="234"/>
    <s v="#FutureOfDriving"/>
    <x v="1"/>
    <n v="0.16065573770491803"/>
    <x v="1"/>
    <x v="2"/>
  </r>
  <r>
    <s v="P288"/>
    <x v="3"/>
    <d v="2025-04-17T00:00:00"/>
    <x v="0"/>
    <s v="Check out our latest carousel on youtube!"/>
    <n v="4780"/>
    <n v="691"/>
    <n v="380"/>
    <n v="86040"/>
    <n v="85743"/>
    <n v="262"/>
    <s v="#FutureOfDriving"/>
    <x v="1"/>
    <n v="6.800325430032543E-2"/>
    <x v="1"/>
    <x v="2"/>
  </r>
  <r>
    <s v="P170"/>
    <x v="1"/>
    <d v="2025-04-28T00:00:00"/>
    <x v="3"/>
    <s v="Check out our latest text on twitter!"/>
    <n v="3577"/>
    <n v="596"/>
    <n v="493"/>
    <n v="67963"/>
    <n v="67839"/>
    <n v="53"/>
    <s v="#TeslaCoInnovation"/>
    <x v="1"/>
    <n v="6.8655003457763777E-2"/>
    <x v="1"/>
    <x v="2"/>
  </r>
  <r>
    <s v="P252"/>
    <x v="2"/>
    <d v="2025-04-28T00:00:00"/>
    <x v="0"/>
    <s v="Check out our latest carousel on facebook!"/>
    <n v="2089"/>
    <n v="476"/>
    <n v="69"/>
    <n v="16712"/>
    <n v="16309"/>
    <n v="64"/>
    <s v="#FutureOfDriving"/>
    <x v="1"/>
    <n v="0.15761129727142173"/>
    <x v="1"/>
    <x v="2"/>
  </r>
  <r>
    <s v="P003"/>
    <x v="3"/>
    <d v="2025-05-12T00:00:00"/>
    <x v="4"/>
    <s v="Check out our latest reel on youtube!"/>
    <n v="2795"/>
    <n v="105"/>
    <n v="49"/>
    <n v="53105"/>
    <n v="52307"/>
    <n v="204"/>
    <s v="#TeslaCoInnovation"/>
    <x v="1"/>
    <n v="5.5531494209584788E-2"/>
    <x v="1"/>
    <x v="2"/>
  </r>
  <r>
    <s v="P224"/>
    <x v="2"/>
    <d v="2025-05-13T00:00:00"/>
    <x v="5"/>
    <s v="Check out our latest image on facebook!"/>
    <n v="602"/>
    <n v="594"/>
    <n v="156"/>
    <n v="4214"/>
    <n v="3363"/>
    <n v="164"/>
    <s v="#TeslaCoInnovation"/>
    <x v="1"/>
    <n v="0.32083531086853345"/>
    <x v="1"/>
    <x v="2"/>
  </r>
  <r>
    <s v="P188"/>
    <x v="3"/>
    <d v="2024-06-06T00:00:00"/>
    <x v="4"/>
    <s v="Check out our latest reel on youtube!"/>
    <n v="2728"/>
    <n v="533"/>
    <n v="215"/>
    <n v="40920"/>
    <n v="40816"/>
    <n v="137"/>
    <s v="#FutureOfDriving"/>
    <x v="2"/>
    <n v="8.4946236559139784E-2"/>
    <x v="2"/>
    <x v="0"/>
  </r>
  <r>
    <s v="P276"/>
    <x v="1"/>
    <d v="2024-06-07T00:00:00"/>
    <x v="0"/>
    <s v="Check out our latest carousel on twitter!"/>
    <n v="1556"/>
    <n v="195"/>
    <n v="131"/>
    <n v="9336"/>
    <n v="8875"/>
    <n v="137"/>
    <s v="#TeslaCoInnovation"/>
    <x v="2"/>
    <n v="0.2015852613538989"/>
    <x v="2"/>
    <x v="0"/>
  </r>
  <r>
    <s v="P103"/>
    <x v="2"/>
    <d v="2024-06-11T00:00:00"/>
    <x v="5"/>
    <s v="Check out our latest image on facebook!"/>
    <n v="3689"/>
    <n v="48"/>
    <n v="306"/>
    <n v="40579"/>
    <n v="39588"/>
    <n v="212"/>
    <s v="#EVRevolution"/>
    <x v="2"/>
    <n v="9.9632815002833983E-2"/>
    <x v="2"/>
    <x v="0"/>
  </r>
  <r>
    <s v="P051"/>
    <x v="2"/>
    <d v="2024-06-13T00:00:00"/>
    <x v="0"/>
    <s v="Check out our latest carousel on facebook!"/>
    <n v="2200"/>
    <n v="504"/>
    <n v="239"/>
    <n v="37400"/>
    <n v="36938"/>
    <n v="225"/>
    <s v="#FutureOfDriving"/>
    <x v="2"/>
    <n v="7.8689839572192513E-2"/>
    <x v="2"/>
    <x v="0"/>
  </r>
  <r>
    <s v="P007"/>
    <x v="1"/>
    <d v="2024-06-24T00:00:00"/>
    <x v="0"/>
    <s v="Check out our latest carousel on twitter!"/>
    <n v="3860"/>
    <n v="201"/>
    <n v="279"/>
    <n v="61760"/>
    <n v="61660"/>
    <n v="235"/>
    <s v="#TeslaCoInnovation"/>
    <x v="2"/>
    <n v="7.0272020725388601E-2"/>
    <x v="2"/>
    <x v="0"/>
  </r>
  <r>
    <s v="P208"/>
    <x v="3"/>
    <d v="2024-06-24T00:00:00"/>
    <x v="2"/>
    <s v="Check out our latest video on youtube!"/>
    <n v="2949"/>
    <n v="476"/>
    <n v="403"/>
    <n v="44235"/>
    <n v="43705"/>
    <n v="135"/>
    <s v="#TeslaCoInnovation"/>
    <x v="2"/>
    <n v="8.6537809426924378E-2"/>
    <x v="2"/>
    <x v="0"/>
  </r>
  <r>
    <s v="P140"/>
    <x v="2"/>
    <d v="2024-07-15T00:00:00"/>
    <x v="5"/>
    <s v="Check out our latest image on facebook!"/>
    <n v="2291"/>
    <n v="78"/>
    <n v="485"/>
    <n v="18328"/>
    <n v="18101"/>
    <n v="10"/>
    <s v="#EVRevolution"/>
    <x v="2"/>
    <n v="0.15571802706241816"/>
    <x v="2"/>
    <x v="0"/>
  </r>
  <r>
    <s v="P140"/>
    <x v="2"/>
    <d v="2024-07-15T00:00:00"/>
    <x v="5"/>
    <s v="Check out our latest image on facebook!"/>
    <n v="2291"/>
    <n v="78"/>
    <n v="485"/>
    <n v="18328"/>
    <n v="18101"/>
    <n v="10"/>
    <s v="#SmoothLikeNitroTesla"/>
    <x v="2"/>
    <n v="0.15571802706241816"/>
    <x v="2"/>
    <x v="0"/>
  </r>
  <r>
    <s v="P249"/>
    <x v="1"/>
    <d v="2024-07-18T00:00:00"/>
    <x v="5"/>
    <s v="Check out our latest image on twitter!"/>
    <n v="827"/>
    <n v="77"/>
    <n v="402"/>
    <n v="14886"/>
    <n v="14129"/>
    <n v="254"/>
    <s v="#EVRevolution"/>
    <x v="2"/>
    <n v="8.7733440816874911E-2"/>
    <x v="2"/>
    <x v="0"/>
  </r>
  <r>
    <s v="P157"/>
    <x v="3"/>
    <d v="2024-07-23T00:00:00"/>
    <x v="1"/>
    <s v="Check out our latest story on youtube!"/>
    <n v="4775"/>
    <n v="173"/>
    <n v="206"/>
    <n v="47750"/>
    <n v="47544"/>
    <n v="187"/>
    <s v="#FutureOfDriving"/>
    <x v="2"/>
    <n v="0.10793717277486911"/>
    <x v="2"/>
    <x v="0"/>
  </r>
  <r>
    <s v="P110"/>
    <x v="0"/>
    <d v="2024-07-29T00:00:00"/>
    <x v="4"/>
    <s v="Check out our latest reel on instagram!"/>
    <n v="3523"/>
    <n v="753"/>
    <n v="482"/>
    <n v="38753"/>
    <n v="38579"/>
    <n v="270"/>
    <s v="#EVRevolution"/>
    <x v="2"/>
    <n v="0.12277759141227776"/>
    <x v="2"/>
    <x v="0"/>
  </r>
  <r>
    <s v="P216"/>
    <x v="3"/>
    <d v="2024-07-29T00:00:00"/>
    <x v="1"/>
    <s v="Check out our latest story on youtube!"/>
    <n v="1509"/>
    <n v="88"/>
    <n v="163"/>
    <n v="30180"/>
    <n v="29689"/>
    <n v="119"/>
    <s v="#EVRevolution"/>
    <x v="2"/>
    <n v="5.8316766070245198E-2"/>
    <x v="2"/>
    <x v="0"/>
  </r>
  <r>
    <s v="P258"/>
    <x v="0"/>
    <d v="2024-08-05T00:00:00"/>
    <x v="1"/>
    <s v="Check out our latest story on instagram!"/>
    <n v="3601"/>
    <n v="695"/>
    <n v="75"/>
    <n v="21606"/>
    <n v="21454"/>
    <n v="172"/>
    <s v="#EVRevolution"/>
    <x v="2"/>
    <n v="0.2023049153013052"/>
    <x v="2"/>
    <x v="0"/>
  </r>
  <r>
    <s v="P097"/>
    <x v="0"/>
    <d v="2024-08-13T00:00:00"/>
    <x v="5"/>
    <s v="Check out our latest image on instagram!"/>
    <n v="4739"/>
    <n v="527"/>
    <n v="135"/>
    <n v="61607"/>
    <n v="61333"/>
    <n v="36"/>
    <s v="#TeslaCoInnovation"/>
    <x v="2"/>
    <n v="8.7668609086629767E-2"/>
    <x v="2"/>
    <x v="0"/>
  </r>
  <r>
    <s v="P097"/>
    <x v="0"/>
    <d v="2024-08-13T00:00:00"/>
    <x v="5"/>
    <s v="Check out our latest image on instagram!"/>
    <n v="4739"/>
    <n v="527"/>
    <n v="135"/>
    <n v="61607"/>
    <n v="61333"/>
    <n v="36"/>
    <s v="#AnytimeIsTeslaTime"/>
    <x v="2"/>
    <n v="8.7668609086629767E-2"/>
    <x v="2"/>
    <x v="0"/>
  </r>
  <r>
    <s v="P236"/>
    <x v="2"/>
    <d v="2024-08-19T00:00:00"/>
    <x v="3"/>
    <s v="Check out our latest text on facebook!"/>
    <n v="1257"/>
    <n v="19"/>
    <n v="351"/>
    <n v="12570"/>
    <n v="11660"/>
    <n v="194"/>
    <s v="#FutureOfDriving"/>
    <x v="2"/>
    <n v="0.12943516308671441"/>
    <x v="2"/>
    <x v="0"/>
  </r>
  <r>
    <s v="P236"/>
    <x v="2"/>
    <d v="2024-08-19T00:00:00"/>
    <x v="3"/>
    <s v="Check out our latest text on facebook!"/>
    <n v="1257"/>
    <n v="19"/>
    <n v="351"/>
    <n v="12570"/>
    <n v="11660"/>
    <n v="194"/>
    <s v="#AnytimeIsTeslaTime"/>
    <x v="2"/>
    <n v="0.12943516308671441"/>
    <x v="2"/>
    <x v="0"/>
  </r>
  <r>
    <s v="P236"/>
    <x v="2"/>
    <d v="2024-08-19T00:00:00"/>
    <x v="3"/>
    <s v="Check out our latest text on facebook!"/>
    <n v="1257"/>
    <n v="19"/>
    <n v="351"/>
    <n v="12570"/>
    <n v="11660"/>
    <n v="194"/>
    <s v="#EVRevolution"/>
    <x v="2"/>
    <n v="0.12943516308671441"/>
    <x v="2"/>
    <x v="0"/>
  </r>
  <r>
    <s v="P263"/>
    <x v="0"/>
    <d v="2024-08-20T00:00:00"/>
    <x v="4"/>
    <s v="Check out our latest reel on instagram!"/>
    <n v="2603"/>
    <n v="690"/>
    <n v="205"/>
    <n v="13015"/>
    <n v="12130"/>
    <n v="20"/>
    <s v="#FutureOfDriving"/>
    <x v="2"/>
    <n v="0.26876680752977333"/>
    <x v="2"/>
    <x v="0"/>
  </r>
  <r>
    <s v="P009"/>
    <x v="2"/>
    <d v="2024-08-30T00:00:00"/>
    <x v="3"/>
    <s v="Check out our latest text on facebook!"/>
    <n v="3784"/>
    <n v="808"/>
    <n v="404"/>
    <n v="56760"/>
    <n v="56343"/>
    <n v="131"/>
    <s v="#TeslaCoInnovation"/>
    <x v="2"/>
    <n v="8.8019732205778717E-2"/>
    <x v="2"/>
    <x v="0"/>
  </r>
  <r>
    <s v="P071"/>
    <x v="3"/>
    <d v="2024-09-02T00:00:00"/>
    <x v="0"/>
    <s v="Check out our latest carousel on youtube!"/>
    <n v="2551"/>
    <n v="915"/>
    <n v="205"/>
    <n v="30612"/>
    <n v="30360"/>
    <n v="227"/>
    <s v="#TeslaCoInnovation"/>
    <x v="2"/>
    <n v="0.1199202926956749"/>
    <x v="2"/>
    <x v="0"/>
  </r>
  <r>
    <s v="P279"/>
    <x v="3"/>
    <d v="2024-09-02T00:00:00"/>
    <x v="5"/>
    <s v="Check out our latest image on youtube!"/>
    <n v="4905"/>
    <n v="845"/>
    <n v="129"/>
    <n v="98100"/>
    <n v="97772"/>
    <n v="279"/>
    <s v="#TeslaCoInnovation"/>
    <x v="2"/>
    <n v="5.9928644240570844E-2"/>
    <x v="2"/>
    <x v="0"/>
  </r>
  <r>
    <s v="P102"/>
    <x v="1"/>
    <d v="2024-09-18T00:00:00"/>
    <x v="4"/>
    <s v="Check out our latest reel on twitter!"/>
    <n v="1000"/>
    <n v="978"/>
    <n v="162"/>
    <n v="6000"/>
    <n v="5221"/>
    <n v="223"/>
    <s v="#EVRevolution"/>
    <x v="2"/>
    <n v="0.35666666666666669"/>
    <x v="2"/>
    <x v="0"/>
  </r>
  <r>
    <s v="P256"/>
    <x v="3"/>
    <d v="2024-09-18T00:00:00"/>
    <x v="0"/>
    <s v="Check out our latest carousel on youtube!"/>
    <n v="2143"/>
    <n v="12"/>
    <n v="204"/>
    <n v="40717"/>
    <n v="40125"/>
    <n v="248"/>
    <s v="#EVRevolution"/>
    <x v="2"/>
    <n v="5.7936488444630008E-2"/>
    <x v="2"/>
    <x v="0"/>
  </r>
  <r>
    <s v="P122"/>
    <x v="0"/>
    <d v="2024-10-02T00:00:00"/>
    <x v="3"/>
    <s v="Check out our latest text on instagram!"/>
    <n v="3432"/>
    <n v="869"/>
    <n v="123"/>
    <n v="54912"/>
    <n v="53916"/>
    <n v="264"/>
    <s v="#EVRevolution"/>
    <x v="2"/>
    <n v="8.0565268065268064E-2"/>
    <x v="2"/>
    <x v="1"/>
  </r>
  <r>
    <s v="P079"/>
    <x v="0"/>
    <d v="2024-10-09T00:00:00"/>
    <x v="0"/>
    <s v="Check out our latest carousel on instagram!"/>
    <n v="3068"/>
    <n v="137"/>
    <n v="329"/>
    <n v="39884"/>
    <n v="39404"/>
    <n v="266"/>
    <s v="#EVRevolution"/>
    <x v="2"/>
    <n v="8.860696018453515E-2"/>
    <x v="2"/>
    <x v="1"/>
  </r>
  <r>
    <s v="P246"/>
    <x v="2"/>
    <d v="2024-10-11T00:00:00"/>
    <x v="5"/>
    <s v="Check out our latest image on facebook!"/>
    <n v="400"/>
    <n v="680"/>
    <n v="434"/>
    <n v="6400"/>
    <n v="5472"/>
    <n v="160"/>
    <s v="#FutureOfDriving"/>
    <x v="2"/>
    <n v="0.23656250000000001"/>
    <x v="2"/>
    <x v="1"/>
  </r>
  <r>
    <s v="P271"/>
    <x v="0"/>
    <d v="2024-10-17T00:00:00"/>
    <x v="2"/>
    <s v="Check out our latest video on instagram!"/>
    <n v="3575"/>
    <n v="749"/>
    <n v="111"/>
    <n v="21450"/>
    <n v="20785"/>
    <n v="195"/>
    <s v="#EVRevolution"/>
    <x v="2"/>
    <n v="0.20675990675990677"/>
    <x v="2"/>
    <x v="1"/>
  </r>
  <r>
    <s v="P147"/>
    <x v="0"/>
    <d v="2024-10-21T00:00:00"/>
    <x v="4"/>
    <s v="Check out our latest reel on instagram!"/>
    <n v="3256"/>
    <n v="459"/>
    <n v="266"/>
    <n v="26048"/>
    <n v="25529"/>
    <n v="143"/>
    <s v="#TeslaCoInnovation"/>
    <x v="2"/>
    <n v="0.15283323095823095"/>
    <x v="2"/>
    <x v="1"/>
  </r>
  <r>
    <s v="P156"/>
    <x v="2"/>
    <d v="2024-10-22T00:00:00"/>
    <x v="0"/>
    <s v="Check out our latest carousel on facebook!"/>
    <n v="3352"/>
    <n v="941"/>
    <n v="482"/>
    <n v="43576"/>
    <n v="43338"/>
    <n v="240"/>
    <s v="#FutureOfDriving"/>
    <x v="2"/>
    <n v="0.1095786671562328"/>
    <x v="2"/>
    <x v="1"/>
  </r>
  <r>
    <s v="P006"/>
    <x v="2"/>
    <d v="2024-10-31T00:00:00"/>
    <x v="0"/>
    <s v="Check out our latest carousel on facebook!"/>
    <n v="2945"/>
    <n v="930"/>
    <n v="355"/>
    <n v="23560"/>
    <n v="23275"/>
    <n v="256"/>
    <s v="#TeslaCoInnovation"/>
    <x v="2"/>
    <n v="0.17954159592529711"/>
    <x v="2"/>
    <x v="1"/>
  </r>
  <r>
    <s v="P269"/>
    <x v="0"/>
    <d v="2024-11-05T00:00:00"/>
    <x v="2"/>
    <s v="Check out our latest video on instagram!"/>
    <n v="4561"/>
    <n v="51"/>
    <n v="441"/>
    <n v="22805"/>
    <n v="21890"/>
    <n v="45"/>
    <s v="#TeslaCoInnovation"/>
    <x v="2"/>
    <n v="0.22157421618066214"/>
    <x v="2"/>
    <x v="2"/>
  </r>
  <r>
    <s v="P023"/>
    <x v="2"/>
    <d v="2024-11-06T00:00:00"/>
    <x v="2"/>
    <s v="Check out our latest video on facebook!"/>
    <n v="1606"/>
    <n v="547"/>
    <n v="316"/>
    <n v="32120"/>
    <n v="31736"/>
    <n v="225"/>
    <s v="#TeslaCoInnovation"/>
    <x v="2"/>
    <n v="7.6867995018679955E-2"/>
    <x v="2"/>
    <x v="2"/>
  </r>
  <r>
    <s v="P023"/>
    <x v="2"/>
    <d v="2024-11-06T00:00:00"/>
    <x v="2"/>
    <s v="Check out our latest video on facebook!"/>
    <n v="1606"/>
    <n v="547"/>
    <n v="316"/>
    <n v="32120"/>
    <n v="31736"/>
    <n v="225"/>
    <s v="#AnytimeIsTeslaTime"/>
    <x v="2"/>
    <n v="7.6867995018679955E-2"/>
    <x v="2"/>
    <x v="2"/>
  </r>
  <r>
    <s v="P111"/>
    <x v="3"/>
    <d v="2024-11-23T00:00:00"/>
    <x v="5"/>
    <s v="Check out our latest image on youtube!"/>
    <n v="2719"/>
    <n v="17"/>
    <n v="285"/>
    <n v="40785"/>
    <n v="40281"/>
    <n v="40"/>
    <s v="#TeslaCoInnovation"/>
    <x v="2"/>
    <n v="7.4071349760941527E-2"/>
    <x v="2"/>
    <x v="2"/>
  </r>
  <r>
    <s v="P159"/>
    <x v="2"/>
    <d v="2024-11-25T00:00:00"/>
    <x v="1"/>
    <s v="Check out our latest story on facebook!"/>
    <n v="2120"/>
    <n v="158"/>
    <n v="488"/>
    <n v="12720"/>
    <n v="12085"/>
    <n v="17"/>
    <s v="#FutureOfDriving"/>
    <x v="2"/>
    <n v="0.21745283018867925"/>
    <x v="2"/>
    <x v="2"/>
  </r>
  <r>
    <s v="P035"/>
    <x v="0"/>
    <d v="2024-11-30T00:00:00"/>
    <x v="2"/>
    <s v="Check out our latest video on instagram!"/>
    <n v="3775"/>
    <n v="16"/>
    <n v="239"/>
    <n v="33975"/>
    <n v="33310"/>
    <n v="271"/>
    <s v="#FutureOfDriving"/>
    <x v="2"/>
    <n v="0.11861662987490802"/>
    <x v="2"/>
    <x v="2"/>
  </r>
  <r>
    <s v="P199"/>
    <x v="3"/>
    <d v="2024-11-30T00:00:00"/>
    <x v="0"/>
    <s v="Check out our latest carousel on youtube!"/>
    <n v="2509"/>
    <n v="324"/>
    <n v="171"/>
    <n v="35126"/>
    <n v="34685"/>
    <n v="277"/>
    <s v="#TeslaCoInnovation"/>
    <x v="2"/>
    <n v="8.5520696919660646E-2"/>
    <x v="2"/>
    <x v="2"/>
  </r>
  <r>
    <s v="P165"/>
    <x v="1"/>
    <d v="2024-12-11T00:00:00"/>
    <x v="3"/>
    <s v="Check out our latest text on twitter!"/>
    <n v="3239"/>
    <n v="43"/>
    <n v="211"/>
    <n v="22673"/>
    <n v="22171"/>
    <n v="230"/>
    <s v="#TeslaCoInnovation"/>
    <x v="2"/>
    <n v="0.15405989502933004"/>
    <x v="2"/>
    <x v="2"/>
  </r>
  <r>
    <s v="P031"/>
    <x v="0"/>
    <d v="2024-12-16T00:00:00"/>
    <x v="3"/>
    <s v="Check out our latest text on instagram!"/>
    <n v="438"/>
    <n v="153"/>
    <n v="275"/>
    <n v="3066"/>
    <n v="2701"/>
    <n v="282"/>
    <s v="#TeslaCoInnovation"/>
    <x v="2"/>
    <n v="0.28245270711024134"/>
    <x v="2"/>
    <x v="2"/>
  </r>
  <r>
    <s v="P183"/>
    <x v="0"/>
    <d v="2024-12-17T00:00:00"/>
    <x v="1"/>
    <s v="Check out our latest story on instagram!"/>
    <n v="360"/>
    <n v="590"/>
    <n v="393"/>
    <n v="4680"/>
    <n v="4322"/>
    <n v="208"/>
    <s v="#FutureOfDriving"/>
    <x v="2"/>
    <n v="0.28696581196581195"/>
    <x v="2"/>
    <x v="2"/>
  </r>
  <r>
    <s v="P155"/>
    <x v="3"/>
    <d v="2024-12-21T00:00:00"/>
    <x v="5"/>
    <s v="Check out our latest image on youtube!"/>
    <n v="2283"/>
    <n v="210"/>
    <n v="130"/>
    <n v="22830"/>
    <n v="22617"/>
    <n v="143"/>
    <s v="#FutureOfDriving"/>
    <x v="2"/>
    <n v="0.11489268506351293"/>
    <x v="2"/>
    <x v="2"/>
  </r>
  <r>
    <s v="P214"/>
    <x v="0"/>
    <d v="2024-12-23T00:00:00"/>
    <x v="5"/>
    <s v="Check out our latest image on instagram!"/>
    <n v="521"/>
    <n v="746"/>
    <n v="315"/>
    <n v="4168"/>
    <n v="3399"/>
    <n v="282"/>
    <s v="#FutureOfDriving"/>
    <x v="2"/>
    <n v="0.37955854126679461"/>
    <x v="2"/>
    <x v="2"/>
  </r>
  <r>
    <s v="P171"/>
    <x v="3"/>
    <d v="2024-12-31T00:00:00"/>
    <x v="2"/>
    <s v="Check out our latest video on youtube!"/>
    <n v="1018"/>
    <n v="447"/>
    <n v="332"/>
    <n v="18324"/>
    <n v="18164"/>
    <n v="38"/>
    <s v="#FutureOfDriving"/>
    <x v="2"/>
    <n v="9.8068107400130972E-2"/>
    <x v="2"/>
    <x v="2"/>
  </r>
  <r>
    <s v="P037"/>
    <x v="2"/>
    <d v="2025-01-06T00:00:00"/>
    <x v="0"/>
    <s v="Check out our latest carousel on facebook!"/>
    <n v="3024"/>
    <n v="925"/>
    <n v="350"/>
    <n v="24192"/>
    <n v="23518"/>
    <n v="36"/>
    <s v="#EVRevolution"/>
    <x v="2"/>
    <n v="0.17770337301587302"/>
    <x v="2"/>
    <x v="2"/>
  </r>
  <r>
    <s v="P254"/>
    <x v="1"/>
    <d v="2025-01-14T00:00:00"/>
    <x v="5"/>
    <s v="Check out our latest image on twitter!"/>
    <n v="2692"/>
    <n v="115"/>
    <n v="64"/>
    <n v="21536"/>
    <n v="21120"/>
    <n v="224"/>
    <s v="#FutureOfDriving"/>
    <x v="2"/>
    <n v="0.13331166419019316"/>
    <x v="2"/>
    <x v="2"/>
  </r>
  <r>
    <s v="P264"/>
    <x v="1"/>
    <d v="2025-01-30T00:00:00"/>
    <x v="5"/>
    <s v="Check out our latest image on twitter!"/>
    <n v="59"/>
    <n v="163"/>
    <n v="93"/>
    <n v="590"/>
    <n v="475"/>
    <n v="293"/>
    <s v="#TeslaCoInnovation"/>
    <x v="2"/>
    <n v="0.53389830508474578"/>
    <x v="2"/>
    <x v="2"/>
  </r>
  <r>
    <s v="P072"/>
    <x v="3"/>
    <d v="2025-03-03T00:00:00"/>
    <x v="4"/>
    <s v="Check out our latest reel on youtube!"/>
    <n v="296"/>
    <n v="60"/>
    <n v="141"/>
    <n v="5624"/>
    <n v="5239"/>
    <n v="88"/>
    <s v="#EVRevolution"/>
    <x v="2"/>
    <n v="8.837126600284495E-2"/>
    <x v="2"/>
    <x v="2"/>
  </r>
  <r>
    <s v="P212"/>
    <x v="3"/>
    <d v="2025-03-03T00:00:00"/>
    <x v="2"/>
    <s v="Check out our latest video on youtube!"/>
    <n v="3874"/>
    <n v="884"/>
    <n v="19"/>
    <n v="38740"/>
    <n v="38552"/>
    <n v="219"/>
    <s v="#TeslaCoInnovation"/>
    <x v="2"/>
    <n v="0.123309241094476"/>
    <x v="2"/>
    <x v="2"/>
  </r>
  <r>
    <s v="P132"/>
    <x v="0"/>
    <d v="2025-03-04T00:00:00"/>
    <x v="1"/>
    <s v="Check out our latest story on instagram!"/>
    <n v="1947"/>
    <n v="842"/>
    <n v="101"/>
    <n v="21417"/>
    <n v="20967"/>
    <n v="186"/>
    <s v="#FutureOfDriving"/>
    <x v="2"/>
    <n v="0.13493953401503478"/>
    <x v="2"/>
    <x v="2"/>
  </r>
  <r>
    <s v="P010"/>
    <x v="2"/>
    <d v="2025-03-11T00:00:00"/>
    <x v="5"/>
    <s v="Check out our latest image on facebook!"/>
    <n v="4241"/>
    <n v="902"/>
    <n v="47"/>
    <n v="72097"/>
    <n v="71598"/>
    <n v="167"/>
    <s v="#TeslaCoInnovation"/>
    <x v="2"/>
    <n v="7.198635172059864E-2"/>
    <x v="2"/>
    <x v="2"/>
  </r>
  <r>
    <s v="P054"/>
    <x v="3"/>
    <d v="2025-03-13T00:00:00"/>
    <x v="0"/>
    <s v="Check out our latest carousel on youtube!"/>
    <n v="1686"/>
    <n v="904"/>
    <n v="472"/>
    <n v="18546"/>
    <n v="18171"/>
    <n v="52"/>
    <s v="#FutureOfDriving"/>
    <x v="2"/>
    <n v="0.16510298716704411"/>
    <x v="2"/>
    <x v="2"/>
  </r>
  <r>
    <s v="P281"/>
    <x v="3"/>
    <d v="2025-03-22T00:00:00"/>
    <x v="5"/>
    <s v="Check out our latest image on youtube!"/>
    <n v="3166"/>
    <n v="90"/>
    <n v="341"/>
    <n v="56988"/>
    <n v="56125"/>
    <n v="135"/>
    <s v="#EVRevolution"/>
    <x v="2"/>
    <n v="6.3118551273952411E-2"/>
    <x v="2"/>
    <x v="2"/>
  </r>
  <r>
    <s v="P108"/>
    <x v="1"/>
    <d v="2025-03-25T00:00:00"/>
    <x v="2"/>
    <s v="Check out our latest video on twitter!"/>
    <n v="4050"/>
    <n v="871"/>
    <n v="347"/>
    <n v="52650"/>
    <n v="51755"/>
    <n v="209"/>
    <s v="#TeslaCoInnovation"/>
    <x v="2"/>
    <n v="0.10005698005698006"/>
    <x v="2"/>
    <x v="2"/>
  </r>
  <r>
    <s v="P002"/>
    <x v="1"/>
    <d v="2025-04-03T00:00:00"/>
    <x v="3"/>
    <s v="Check out our latest text on twitter!"/>
    <n v="4054"/>
    <n v="389"/>
    <n v="493"/>
    <n v="64864"/>
    <n v="64383"/>
    <n v="117"/>
    <s v="#TeslaCoInnovation"/>
    <x v="2"/>
    <n v="7.6097681302417369E-2"/>
    <x v="2"/>
    <x v="2"/>
  </r>
  <r>
    <s v="P002"/>
    <x v="1"/>
    <d v="2025-04-03T00:00:00"/>
    <x v="3"/>
    <s v="Check out our latest text on twitter!"/>
    <n v="4054"/>
    <n v="389"/>
    <n v="493"/>
    <n v="64864"/>
    <n v="64383"/>
    <n v="117"/>
    <s v="#BetterWithTesla"/>
    <x v="2"/>
    <n v="7.6097681302417369E-2"/>
    <x v="2"/>
    <x v="2"/>
  </r>
  <r>
    <s v="P026"/>
    <x v="3"/>
    <d v="2025-04-05T00:00:00"/>
    <x v="4"/>
    <s v="Check out our latest reel on youtube!"/>
    <n v="3009"/>
    <n v="413"/>
    <n v="358"/>
    <n v="42126"/>
    <n v="41309"/>
    <n v="211"/>
    <s v="#FutureOfDriving"/>
    <x v="2"/>
    <n v="8.9730807577268201E-2"/>
    <x v="2"/>
    <x v="2"/>
  </r>
  <r>
    <s v="P257"/>
    <x v="2"/>
    <d v="2025-04-06T00:00:00"/>
    <x v="5"/>
    <s v="Check out our latest image on facebook!"/>
    <n v="3090"/>
    <n v="697"/>
    <n v="164"/>
    <n v="49440"/>
    <n v="48524"/>
    <n v="25"/>
    <s v="#EVRevolution"/>
    <x v="2"/>
    <n v="7.9915048543689318E-2"/>
    <x v="2"/>
    <x v="2"/>
  </r>
  <r>
    <s v="P257"/>
    <x v="2"/>
    <d v="2025-04-06T00:00:00"/>
    <x v="5"/>
    <s v="Check out our latest image on facebook!"/>
    <n v="3090"/>
    <n v="697"/>
    <n v="164"/>
    <n v="49440"/>
    <n v="48524"/>
    <n v="25"/>
    <s v="#EVRevolution"/>
    <x v="2"/>
    <n v="7.9915048543689318E-2"/>
    <x v="2"/>
    <x v="2"/>
  </r>
  <r>
    <s v="P257"/>
    <x v="2"/>
    <d v="2025-04-06T00:00:00"/>
    <x v="5"/>
    <s v="Check out our latest image on facebook!"/>
    <n v="3090"/>
    <n v="697"/>
    <n v="164"/>
    <n v="49440"/>
    <n v="48524"/>
    <n v="25"/>
    <s v="#BetterWithTesla"/>
    <x v="2"/>
    <n v="7.9915048543689318E-2"/>
    <x v="2"/>
    <x v="2"/>
  </r>
  <r>
    <s v="P200"/>
    <x v="2"/>
    <d v="2025-04-07T00:00:00"/>
    <x v="4"/>
    <s v="Check out our latest reel on facebook!"/>
    <n v="3718"/>
    <n v="385"/>
    <n v="310"/>
    <n v="70642"/>
    <n v="69749"/>
    <n v="233"/>
    <s v="#TeslaCoInnovation"/>
    <x v="2"/>
    <n v="6.246991874522239E-2"/>
    <x v="2"/>
    <x v="2"/>
  </r>
  <r>
    <s v="P163"/>
    <x v="0"/>
    <d v="2025-04-08T00:00:00"/>
    <x v="5"/>
    <s v="Check out our latest image on instagram!"/>
    <n v="4501"/>
    <n v="375"/>
    <n v="323"/>
    <n v="22505"/>
    <n v="21836"/>
    <n v="132"/>
    <s v="#TeslaCoInnovation"/>
    <x v="2"/>
    <n v="0.23101532992668297"/>
    <x v="2"/>
    <x v="2"/>
  </r>
  <r>
    <s v="P036"/>
    <x v="0"/>
    <d v="2025-04-19T00:00:00"/>
    <x v="1"/>
    <s v="Check out our latest story on instagram!"/>
    <n v="4518"/>
    <n v="285"/>
    <n v="383"/>
    <n v="67770"/>
    <n v="67621"/>
    <n v="31"/>
    <s v="#EVRevolution"/>
    <x v="2"/>
    <n v="7.6523535487678915E-2"/>
    <x v="2"/>
    <x v="2"/>
  </r>
  <r>
    <s v="P215"/>
    <x v="2"/>
    <d v="2025-05-06T00:00:00"/>
    <x v="5"/>
    <s v="Check out our latest image on facebook!"/>
    <n v="4872"/>
    <n v="925"/>
    <n v="176"/>
    <n v="82824"/>
    <n v="82543"/>
    <n v="89"/>
    <s v="#EVRevolution"/>
    <x v="2"/>
    <n v="7.2116777745580993E-2"/>
    <x v="2"/>
    <x v="2"/>
  </r>
  <r>
    <s v="P295"/>
    <x v="1"/>
    <d v="2025-05-06T00:00:00"/>
    <x v="5"/>
    <s v="Check out our latest image on twitter!"/>
    <n v="1952"/>
    <n v="344"/>
    <n v="287"/>
    <n v="15616"/>
    <n v="15403"/>
    <n v="235"/>
    <s v="#FutureOfDriving"/>
    <x v="2"/>
    <n v="0.16540727459016394"/>
    <x v="2"/>
    <x v="2"/>
  </r>
  <r>
    <s v="P295"/>
    <x v="1"/>
    <d v="2025-05-06T00:00:00"/>
    <x v="5"/>
    <s v="Check out our latest image on twitter!"/>
    <n v="1952"/>
    <n v="344"/>
    <n v="287"/>
    <n v="15616"/>
    <n v="15403"/>
    <n v="235"/>
    <s v="#TeslaCoInnovation"/>
    <x v="2"/>
    <n v="0.16540727459016394"/>
    <x v="2"/>
    <x v="2"/>
  </r>
  <r>
    <s v="P295"/>
    <x v="1"/>
    <d v="2025-05-06T00:00:00"/>
    <x v="5"/>
    <s v="Check out our latest image on twitter!"/>
    <n v="1952"/>
    <n v="344"/>
    <n v="287"/>
    <n v="15616"/>
    <n v="15403"/>
    <n v="235"/>
    <s v="#AnytimeIsTeslaTime"/>
    <x v="2"/>
    <n v="0.16540727459016394"/>
    <x v="2"/>
    <x v="2"/>
  </r>
  <r>
    <s v="P283"/>
    <x v="1"/>
    <d v="2025-05-09T00:00:00"/>
    <x v="4"/>
    <s v="Check out our latest reel on twitter!"/>
    <n v="3367"/>
    <n v="302"/>
    <n v="57"/>
    <n v="63973"/>
    <n v="63789"/>
    <n v="157"/>
    <s v="#FutureOfDriving"/>
    <x v="2"/>
    <n v="5.8243321401216137E-2"/>
    <x v="2"/>
    <x v="2"/>
  </r>
  <r>
    <s v="P090"/>
    <x v="0"/>
    <d v="2024-06-03T00:00:00"/>
    <x v="5"/>
    <s v="Check out our latest image on instagram!"/>
    <n v="3861"/>
    <n v="960"/>
    <n v="101"/>
    <n v="69498"/>
    <n v="68817"/>
    <n v="297"/>
    <s v="#TeslaCoInnovation"/>
    <x v="3"/>
    <n v="7.0822181933293038E-2"/>
    <x v="3"/>
    <x v="0"/>
  </r>
  <r>
    <s v="P049"/>
    <x v="1"/>
    <d v="2024-06-10T00:00:00"/>
    <x v="1"/>
    <s v="Check out our latest story on twitter!"/>
    <n v="2164"/>
    <n v="549"/>
    <n v="274"/>
    <n v="28132"/>
    <n v="27361"/>
    <n v="177"/>
    <s v="#TeslaCoInnovation"/>
    <x v="3"/>
    <n v="0.10617801791554102"/>
    <x v="3"/>
    <x v="0"/>
  </r>
  <r>
    <s v="P098"/>
    <x v="1"/>
    <d v="2024-06-10T00:00:00"/>
    <x v="1"/>
    <s v="Check out our latest story on twitter!"/>
    <n v="1575"/>
    <n v="771"/>
    <n v="486"/>
    <n v="25200"/>
    <n v="24826"/>
    <n v="17"/>
    <s v="#FutureOfDriving"/>
    <x v="3"/>
    <n v="0.11238095238095239"/>
    <x v="3"/>
    <x v="0"/>
  </r>
  <r>
    <s v="P218"/>
    <x v="2"/>
    <d v="2024-06-11T00:00:00"/>
    <x v="0"/>
    <s v="Check out our latest carousel on facebook!"/>
    <n v="1869"/>
    <n v="453"/>
    <n v="490"/>
    <n v="14952"/>
    <n v="14309"/>
    <n v="275"/>
    <s v="#TeslaCoInnovation"/>
    <x v="3"/>
    <n v="0.18806848582129482"/>
    <x v="3"/>
    <x v="0"/>
  </r>
  <r>
    <s v="P055"/>
    <x v="2"/>
    <d v="2024-06-17T00:00:00"/>
    <x v="5"/>
    <s v="Check out our latest image on facebook!"/>
    <n v="1226"/>
    <n v="119"/>
    <n v="7"/>
    <n v="14712"/>
    <n v="14049"/>
    <n v="123"/>
    <s v="#EVRevolution"/>
    <x v="3"/>
    <n v="9.1897770527460579E-2"/>
    <x v="3"/>
    <x v="0"/>
  </r>
  <r>
    <s v="P078"/>
    <x v="1"/>
    <d v="2024-06-17T00:00:00"/>
    <x v="5"/>
    <s v="Check out our latest image on twitter!"/>
    <n v="954"/>
    <n v="324"/>
    <n v="288"/>
    <n v="19080"/>
    <n v="18859"/>
    <n v="21"/>
    <s v="#FutureOfDriving"/>
    <x v="3"/>
    <n v="8.2075471698113203E-2"/>
    <x v="3"/>
    <x v="0"/>
  </r>
  <r>
    <s v="P019"/>
    <x v="0"/>
    <d v="2024-06-23T00:00:00"/>
    <x v="2"/>
    <s v="Check out our latest video on instagram!"/>
    <n v="1071"/>
    <n v="519"/>
    <n v="22"/>
    <n v="16065"/>
    <n v="15865"/>
    <n v="103"/>
    <s v="#TeslaCoInnovation"/>
    <x v="3"/>
    <n v="0.10034235916588857"/>
    <x v="3"/>
    <x v="0"/>
  </r>
  <r>
    <s v="P088"/>
    <x v="2"/>
    <d v="2024-07-07T00:00:00"/>
    <x v="1"/>
    <s v="Check out our latest story on facebook!"/>
    <n v="302"/>
    <n v="47"/>
    <n v="430"/>
    <n v="5738"/>
    <n v="4890"/>
    <n v="25"/>
    <s v="#TeslaCoInnovation"/>
    <x v="3"/>
    <n v="0.13576158940397351"/>
    <x v="3"/>
    <x v="0"/>
  </r>
  <r>
    <s v="P136"/>
    <x v="0"/>
    <d v="2024-07-11T00:00:00"/>
    <x v="3"/>
    <s v="Check out our latest text on instagram!"/>
    <n v="3134"/>
    <n v="888"/>
    <n v="444"/>
    <n v="21938"/>
    <n v="21337"/>
    <n v="130"/>
    <s v="#EVRevolution"/>
    <x v="3"/>
    <n v="0.20357370772176134"/>
    <x v="3"/>
    <x v="0"/>
  </r>
  <r>
    <s v="P008"/>
    <x v="3"/>
    <d v="2024-07-13T00:00:00"/>
    <x v="5"/>
    <s v="Check out our latest image on youtube!"/>
    <n v="3929"/>
    <n v="262"/>
    <n v="278"/>
    <n v="43219"/>
    <n v="42841"/>
    <n v="39"/>
    <s v="#EVRevolution"/>
    <x v="3"/>
    <n v="0.10340359564080613"/>
    <x v="3"/>
    <x v="0"/>
  </r>
  <r>
    <s v="P238"/>
    <x v="1"/>
    <d v="2024-07-16T00:00:00"/>
    <x v="3"/>
    <s v="Check out our latest text on twitter!"/>
    <n v="4725"/>
    <n v="400"/>
    <n v="362"/>
    <n v="75600"/>
    <n v="74927"/>
    <n v="43"/>
    <s v="#FutureOfDriving"/>
    <x v="3"/>
    <n v="7.2579365079365077E-2"/>
    <x v="3"/>
    <x v="0"/>
  </r>
  <r>
    <s v="P211"/>
    <x v="1"/>
    <d v="2024-07-18T00:00:00"/>
    <x v="0"/>
    <s v="Check out our latest carousel on twitter!"/>
    <n v="2120"/>
    <n v="38"/>
    <n v="212"/>
    <n v="12720"/>
    <n v="12564"/>
    <n v="21"/>
    <s v="#FutureOfDriving"/>
    <x v="3"/>
    <n v="0.18632075471698112"/>
    <x v="3"/>
    <x v="0"/>
  </r>
  <r>
    <s v="P182"/>
    <x v="2"/>
    <d v="2024-07-31T00:00:00"/>
    <x v="5"/>
    <s v="Check out our latest image on facebook!"/>
    <n v="4689"/>
    <n v="134"/>
    <n v="403"/>
    <n v="51579"/>
    <n v="50924"/>
    <n v="173"/>
    <s v="#TeslaCoInnovation"/>
    <x v="3"/>
    <n v="0.10132030477519921"/>
    <x v="3"/>
    <x v="0"/>
  </r>
  <r>
    <s v="P075"/>
    <x v="0"/>
    <d v="2024-08-01T00:00:00"/>
    <x v="4"/>
    <s v="Check out our latest reel on instagram!"/>
    <n v="1674"/>
    <n v="929"/>
    <n v="37"/>
    <n v="21762"/>
    <n v="20998"/>
    <n v="255"/>
    <s v="#TeslaCoInnovation"/>
    <x v="3"/>
    <n v="0.12131237937689551"/>
    <x v="3"/>
    <x v="0"/>
  </r>
  <r>
    <s v="P004"/>
    <x v="0"/>
    <d v="2024-08-12T00:00:00"/>
    <x v="1"/>
    <s v="Check out our latest story on instagram!"/>
    <n v="2404"/>
    <n v="363"/>
    <n v="138"/>
    <n v="19232"/>
    <n v="18636"/>
    <n v="128"/>
    <s v="#EVRevolution"/>
    <x v="3"/>
    <n v="0.15105033277870217"/>
    <x v="3"/>
    <x v="0"/>
  </r>
  <r>
    <s v="P145"/>
    <x v="0"/>
    <d v="2024-08-12T00:00:00"/>
    <x v="0"/>
    <s v="Check out our latest carousel on instagram!"/>
    <n v="1878"/>
    <n v="62"/>
    <n v="179"/>
    <n v="37560"/>
    <n v="36874"/>
    <n v="142"/>
    <s v="#TeslaCoInnovation"/>
    <x v="3"/>
    <n v="5.6416400425985093E-2"/>
    <x v="3"/>
    <x v="0"/>
  </r>
  <r>
    <s v="P195"/>
    <x v="0"/>
    <d v="2024-08-15T00:00:00"/>
    <x v="0"/>
    <s v="Check out our latest carousel on instagram!"/>
    <n v="914"/>
    <n v="464"/>
    <n v="246"/>
    <n v="11882"/>
    <n v="11500"/>
    <n v="282"/>
    <s v="#FutureOfDriving"/>
    <x v="3"/>
    <n v="0.13667732704931829"/>
    <x v="3"/>
    <x v="0"/>
  </r>
  <r>
    <s v="P195"/>
    <x v="0"/>
    <d v="2024-08-15T00:00:00"/>
    <x v="0"/>
    <s v="Check out our latest carousel on instagram!"/>
    <n v="914"/>
    <n v="464"/>
    <n v="246"/>
    <n v="11882"/>
    <n v="11500"/>
    <n v="282"/>
    <s v="#TeslaCoInnovation"/>
    <x v="3"/>
    <n v="0.13667732704931829"/>
    <x v="3"/>
    <x v="0"/>
  </r>
  <r>
    <s v="P195"/>
    <x v="0"/>
    <d v="2024-08-15T00:00:00"/>
    <x v="0"/>
    <s v="Check out our latest carousel on instagram!"/>
    <n v="914"/>
    <n v="464"/>
    <n v="246"/>
    <n v="11882"/>
    <n v="11500"/>
    <n v="282"/>
    <s v="#AnytimeIsTeslaTime"/>
    <x v="3"/>
    <n v="0.13667732704931829"/>
    <x v="3"/>
    <x v="0"/>
  </r>
  <r>
    <s v="P150"/>
    <x v="3"/>
    <d v="2024-08-22T00:00:00"/>
    <x v="0"/>
    <s v="Check out our latest carousel on youtube!"/>
    <n v="4295"/>
    <n v="853"/>
    <n v="325"/>
    <n v="85900"/>
    <n v="85788"/>
    <n v="290"/>
    <s v="#TeslaCoInnovation"/>
    <x v="3"/>
    <n v="6.3713620488940623E-2"/>
    <x v="3"/>
    <x v="0"/>
  </r>
  <r>
    <s v="P125"/>
    <x v="1"/>
    <d v="2024-09-08T00:00:00"/>
    <x v="0"/>
    <s v="Check out our latest carousel on twitter!"/>
    <n v="3811"/>
    <n v="866"/>
    <n v="216"/>
    <n v="34299"/>
    <n v="34088"/>
    <n v="233"/>
    <s v="#TeslaCoInnovation"/>
    <x v="3"/>
    <n v="0.14265722032712325"/>
    <x v="3"/>
    <x v="0"/>
  </r>
  <r>
    <s v="P027"/>
    <x v="3"/>
    <d v="2024-09-17T00:00:00"/>
    <x v="3"/>
    <s v="Check out our latest text on youtube!"/>
    <n v="2076"/>
    <n v="195"/>
    <n v="104"/>
    <n v="33216"/>
    <n v="32244"/>
    <n v="51"/>
    <s v="#FutureOfDriving"/>
    <x v="3"/>
    <n v="7.1501685934489398E-2"/>
    <x v="3"/>
    <x v="0"/>
  </r>
  <r>
    <s v="P284"/>
    <x v="1"/>
    <d v="2024-09-17T00:00:00"/>
    <x v="3"/>
    <s v="Check out our latest text on twitter!"/>
    <n v="571"/>
    <n v="190"/>
    <n v="352"/>
    <n v="9707"/>
    <n v="9418"/>
    <n v="231"/>
    <s v="#TeslaCoInnovation"/>
    <x v="3"/>
    <n v="0.11465952405480581"/>
    <x v="3"/>
    <x v="0"/>
  </r>
  <r>
    <s v="P130"/>
    <x v="3"/>
    <d v="2024-09-29T00:00:00"/>
    <x v="4"/>
    <s v="Check out our latest reel on youtube!"/>
    <n v="2936"/>
    <n v="439"/>
    <n v="44"/>
    <n v="38168"/>
    <n v="37571"/>
    <n v="22"/>
    <s v="#EVRevolution"/>
    <x v="3"/>
    <n v="8.9577656675749323E-2"/>
    <x v="3"/>
    <x v="0"/>
  </r>
  <r>
    <s v="P154"/>
    <x v="0"/>
    <d v="2024-10-09T00:00:00"/>
    <x v="0"/>
    <s v="Check out our latest carousel on instagram!"/>
    <n v="985"/>
    <n v="932"/>
    <n v="287"/>
    <n v="6895"/>
    <n v="6757"/>
    <n v="64"/>
    <s v="#FutureOfDriving"/>
    <x v="3"/>
    <n v="0.31965192168237855"/>
    <x v="3"/>
    <x v="0"/>
  </r>
  <r>
    <s v="P273"/>
    <x v="3"/>
    <d v="2024-10-12T00:00:00"/>
    <x v="1"/>
    <s v="Check out our latest story on youtube!"/>
    <n v="3641"/>
    <n v="226"/>
    <n v="46"/>
    <n v="40051"/>
    <n v="39319"/>
    <n v="296"/>
    <s v="#EVRevolution"/>
    <x v="3"/>
    <n v="9.7700431949264685E-2"/>
    <x v="3"/>
    <x v="0"/>
  </r>
  <r>
    <s v="P073"/>
    <x v="2"/>
    <d v="2024-10-18T00:00:00"/>
    <x v="1"/>
    <s v="Check out our latest story on facebook!"/>
    <n v="4126"/>
    <n v="426"/>
    <n v="486"/>
    <n v="78394"/>
    <n v="77798"/>
    <n v="88"/>
    <s v="#FutureOfDriving"/>
    <x v="3"/>
    <n v="6.4265122330790625E-2"/>
    <x v="3"/>
    <x v="0"/>
  </r>
  <r>
    <s v="P280"/>
    <x v="3"/>
    <d v="2024-10-21T00:00:00"/>
    <x v="2"/>
    <s v="Check out our latest video on youtube!"/>
    <n v="4275"/>
    <n v="680"/>
    <n v="385"/>
    <n v="64125"/>
    <n v="63650"/>
    <n v="104"/>
    <s v="#EVRevolution"/>
    <x v="3"/>
    <n v="8.3274853801169585E-2"/>
    <x v="3"/>
    <x v="0"/>
  </r>
  <r>
    <s v="P280"/>
    <x v="3"/>
    <d v="2024-10-21T00:00:00"/>
    <x v="2"/>
    <s v="Check out our latest video on youtube!"/>
    <n v="4275"/>
    <n v="680"/>
    <n v="385"/>
    <n v="64125"/>
    <n v="63650"/>
    <n v="104"/>
    <s v="#TeslaCoInnovation"/>
    <x v="3"/>
    <n v="8.3274853801169585E-2"/>
    <x v="3"/>
    <x v="0"/>
  </r>
  <r>
    <s v="P280"/>
    <x v="3"/>
    <d v="2024-10-21T00:00:00"/>
    <x v="2"/>
    <s v="Check out our latest video on youtube!"/>
    <n v="4275"/>
    <n v="680"/>
    <n v="385"/>
    <n v="64125"/>
    <n v="63650"/>
    <n v="104"/>
    <s v="#AnytimeIsTeslaTime"/>
    <x v="3"/>
    <n v="8.3274853801169585E-2"/>
    <x v="3"/>
    <x v="0"/>
  </r>
  <r>
    <s v="P144"/>
    <x v="3"/>
    <d v="2024-10-28T00:00:00"/>
    <x v="1"/>
    <s v="Check out our latest story on youtube!"/>
    <n v="4929"/>
    <n v="749"/>
    <n v="452"/>
    <n v="93651"/>
    <n v="92810"/>
    <n v="66"/>
    <s v="#EVRevolution"/>
    <x v="3"/>
    <n v="6.5455787978772245E-2"/>
    <x v="3"/>
    <x v="0"/>
  </r>
  <r>
    <s v="P117"/>
    <x v="1"/>
    <d v="2024-11-04T00:00:00"/>
    <x v="5"/>
    <s v="Check out our latest image on twitter!"/>
    <n v="1606"/>
    <n v="451"/>
    <n v="405"/>
    <n v="20878"/>
    <n v="20190"/>
    <n v="219"/>
    <s v="#EVRevolution"/>
    <x v="3"/>
    <n v="0.11792317271769326"/>
    <x v="3"/>
    <x v="0"/>
  </r>
  <r>
    <s v="P291"/>
    <x v="2"/>
    <d v="2024-11-06T00:00:00"/>
    <x v="2"/>
    <s v="Check out our latest video on facebook!"/>
    <n v="4663"/>
    <n v="145"/>
    <n v="225"/>
    <n v="69945"/>
    <n v="69596"/>
    <n v="35"/>
    <s v="#EVRevolution"/>
    <x v="3"/>
    <n v="7.1956537279290869E-2"/>
    <x v="3"/>
    <x v="0"/>
  </r>
  <r>
    <s v="P076"/>
    <x v="1"/>
    <d v="2024-11-07T00:00:00"/>
    <x v="1"/>
    <s v="Check out our latest story on twitter!"/>
    <n v="1121"/>
    <n v="135"/>
    <n v="18"/>
    <n v="15694"/>
    <n v="14957"/>
    <n v="99"/>
    <s v="#TeslaCoInnovation"/>
    <x v="3"/>
    <n v="8.1177520071364848E-2"/>
    <x v="3"/>
    <x v="0"/>
  </r>
  <r>
    <s v="P178"/>
    <x v="0"/>
    <d v="2024-11-07T00:00:00"/>
    <x v="2"/>
    <s v="Check out our latest video on instagram!"/>
    <n v="129"/>
    <n v="643"/>
    <n v="136"/>
    <n v="1290"/>
    <n v="839"/>
    <n v="238"/>
    <s v="#TeslaCoInnovation"/>
    <x v="3"/>
    <n v="0.70387596899224802"/>
    <x v="3"/>
    <x v="0"/>
  </r>
  <r>
    <s v="P095"/>
    <x v="0"/>
    <d v="2024-11-08T00:00:00"/>
    <x v="3"/>
    <s v="Check out our latest text on instagram!"/>
    <n v="3182"/>
    <n v="559"/>
    <n v="160"/>
    <n v="57276"/>
    <n v="56890"/>
    <n v="163"/>
    <s v="#FutureOfDriving"/>
    <x v="3"/>
    <n v="6.8108806480899509E-2"/>
    <x v="3"/>
    <x v="0"/>
  </r>
  <r>
    <s v="P278"/>
    <x v="1"/>
    <d v="2024-11-26T00:00:00"/>
    <x v="3"/>
    <s v="Check out our latest text on twitter!"/>
    <n v="4516"/>
    <n v="836"/>
    <n v="169"/>
    <n v="49676"/>
    <n v="49257"/>
    <n v="282"/>
    <s v="#EVRevolution"/>
    <x v="3"/>
    <n v="0.11114018842096787"/>
    <x v="3"/>
    <x v="0"/>
  </r>
  <r>
    <s v="P135"/>
    <x v="2"/>
    <d v="2024-11-28T00:00:00"/>
    <x v="3"/>
    <s v="Check out our latest text on facebook!"/>
    <n v="4213"/>
    <n v="253"/>
    <n v="434"/>
    <n v="75834"/>
    <n v="75437"/>
    <n v="272"/>
    <s v="#FutureOfDriving"/>
    <x v="3"/>
    <n v="6.461481657304112E-2"/>
    <x v="3"/>
    <x v="0"/>
  </r>
  <r>
    <s v="P084"/>
    <x v="2"/>
    <d v="2024-12-09T00:00:00"/>
    <x v="5"/>
    <s v="Check out our latest image on facebook!"/>
    <n v="1841"/>
    <n v="851"/>
    <n v="342"/>
    <n v="34979"/>
    <n v="34154"/>
    <n v="255"/>
    <s v="#FutureOfDriving"/>
    <x v="3"/>
    <n v="8.6737756939878216E-2"/>
    <x v="3"/>
    <x v="0"/>
  </r>
  <r>
    <s v="P290"/>
    <x v="0"/>
    <d v="2024-12-20T00:00:00"/>
    <x v="0"/>
    <s v="Check out our latest carousel on instagram!"/>
    <n v="2107"/>
    <n v="550"/>
    <n v="349"/>
    <n v="35819"/>
    <n v="35340"/>
    <n v="191"/>
    <s v="#EVRevolution"/>
    <x v="3"/>
    <n v="8.3921940869371006E-2"/>
    <x v="3"/>
    <x v="0"/>
  </r>
  <r>
    <s v="P297"/>
    <x v="1"/>
    <d v="2024-12-24T00:00:00"/>
    <x v="3"/>
    <s v="Check out our latest text on twitter!"/>
    <n v="2166"/>
    <n v="354"/>
    <n v="117"/>
    <n v="10830"/>
    <n v="10245"/>
    <n v="24"/>
    <s v="#EVRevolution"/>
    <x v="3"/>
    <n v="0.24349030470914126"/>
    <x v="3"/>
    <x v="0"/>
  </r>
  <r>
    <s v="P274"/>
    <x v="1"/>
    <d v="2025-01-01T00:00:00"/>
    <x v="0"/>
    <s v="Check out our latest carousel on twitter!"/>
    <n v="3535"/>
    <n v="494"/>
    <n v="152"/>
    <n v="53025"/>
    <n v="52791"/>
    <n v="44"/>
    <s v="#TeslaCoInnovation"/>
    <x v="3"/>
    <n v="7.8849599245638849E-2"/>
    <x v="3"/>
    <x v="0"/>
  </r>
  <r>
    <s v="P052"/>
    <x v="2"/>
    <d v="2025-01-03T00:00:00"/>
    <x v="5"/>
    <s v="Check out our latest image on facebook!"/>
    <n v="947"/>
    <n v="338"/>
    <n v="350"/>
    <n v="10417"/>
    <n v="9730"/>
    <n v="34"/>
    <s v="#TeslaCoInnovation"/>
    <x v="3"/>
    <n v="0.1569549774407219"/>
    <x v="3"/>
    <x v="0"/>
  </r>
  <r>
    <s v="P021"/>
    <x v="0"/>
    <d v="2025-01-04T00:00:00"/>
    <x v="4"/>
    <s v="Check out our latest reel on instagram!"/>
    <n v="4838"/>
    <n v="640"/>
    <n v="128"/>
    <n v="72570"/>
    <n v="72396"/>
    <n v="83"/>
    <s v="#FutureOfDriving"/>
    <x v="3"/>
    <n v="7.7249552156538517E-2"/>
    <x v="3"/>
    <x v="0"/>
  </r>
  <r>
    <s v="P175"/>
    <x v="0"/>
    <d v="2025-01-17T00:00:00"/>
    <x v="4"/>
    <s v="Check out our latest reel on instagram!"/>
    <n v="142"/>
    <n v="784"/>
    <n v="183"/>
    <n v="1704"/>
    <n v="995"/>
    <n v="154"/>
    <s v="#FutureOfDriving"/>
    <x v="3"/>
    <n v="0.6508215962441315"/>
    <x v="3"/>
    <x v="0"/>
  </r>
  <r>
    <s v="P241"/>
    <x v="2"/>
    <d v="2025-01-18T00:00:00"/>
    <x v="1"/>
    <s v="Check out our latest story on facebook!"/>
    <n v="4321"/>
    <n v="874"/>
    <n v="172"/>
    <n v="30247"/>
    <n v="29254"/>
    <n v="122"/>
    <s v="#TeslaCoInnovation"/>
    <x v="3"/>
    <n v="0.17743908486792079"/>
    <x v="3"/>
    <x v="0"/>
  </r>
  <r>
    <s v="P086"/>
    <x v="3"/>
    <d v="2025-01-27T00:00:00"/>
    <x v="3"/>
    <s v="Check out our latest text on youtube!"/>
    <n v="3428"/>
    <n v="305"/>
    <n v="85"/>
    <n v="58276"/>
    <n v="58052"/>
    <n v="242"/>
    <s v="#EVRevolution"/>
    <x v="3"/>
    <n v="6.5515821264328367E-2"/>
    <x v="3"/>
    <x v="0"/>
  </r>
  <r>
    <s v="P086"/>
    <x v="3"/>
    <d v="2025-01-27T00:00:00"/>
    <x v="3"/>
    <s v="Check out our latest text on youtube!"/>
    <n v="3428"/>
    <n v="305"/>
    <n v="85"/>
    <n v="58276"/>
    <n v="58052"/>
    <n v="242"/>
    <s v="#BetterWithTesla"/>
    <x v="3"/>
    <n v="6.5515821264328367E-2"/>
    <x v="3"/>
    <x v="0"/>
  </r>
  <r>
    <s v="P219"/>
    <x v="1"/>
    <d v="2025-01-28T00:00:00"/>
    <x v="4"/>
    <s v="Check out our latest reel on twitter!"/>
    <n v="1188"/>
    <n v="470"/>
    <n v="174"/>
    <n v="7128"/>
    <n v="6145"/>
    <n v="270"/>
    <s v="#TeslaCoInnovation"/>
    <x v="3"/>
    <n v="0.25701459034792368"/>
    <x v="3"/>
    <x v="0"/>
  </r>
  <r>
    <s v="P011"/>
    <x v="0"/>
    <d v="2025-02-02T00:00:00"/>
    <x v="1"/>
    <s v="Check out our latest story on instagram!"/>
    <n v="1792"/>
    <n v="614"/>
    <n v="497"/>
    <n v="25088"/>
    <n v="24675"/>
    <n v="65"/>
    <s v="#FutureOfDriving"/>
    <x v="3"/>
    <n v="0.11571269132653061"/>
    <x v="3"/>
    <x v="0"/>
  </r>
  <r>
    <s v="P106"/>
    <x v="0"/>
    <d v="2025-02-04T00:00:00"/>
    <x v="5"/>
    <s v="Check out our latest image on instagram!"/>
    <n v="4619"/>
    <n v="821"/>
    <n v="499"/>
    <n v="69285"/>
    <n v="69141"/>
    <n v="298"/>
    <s v="#TeslaCoInnovation"/>
    <x v="3"/>
    <n v="8.5718409468138843E-2"/>
    <x v="3"/>
    <x v="0"/>
  </r>
  <r>
    <s v="P133"/>
    <x v="2"/>
    <d v="2025-02-06T00:00:00"/>
    <x v="5"/>
    <s v="Check out our latest image on facebook!"/>
    <n v="2072"/>
    <n v="532"/>
    <n v="71"/>
    <n v="37296"/>
    <n v="36467"/>
    <n v="25"/>
    <s v="#TeslaCoInnovation"/>
    <x v="3"/>
    <n v="7.172350922350923E-2"/>
    <x v="3"/>
    <x v="0"/>
  </r>
  <r>
    <s v="P296"/>
    <x v="1"/>
    <d v="2025-02-11T00:00:00"/>
    <x v="2"/>
    <s v="Check out our latest video on twitter!"/>
    <n v="3440"/>
    <n v="13"/>
    <n v="20"/>
    <n v="58480"/>
    <n v="58146"/>
    <n v="210"/>
    <s v="#TeslaCoInnovation"/>
    <x v="3"/>
    <n v="5.9387824897400819E-2"/>
    <x v="3"/>
    <x v="0"/>
  </r>
  <r>
    <s v="P296"/>
    <x v="1"/>
    <d v="2025-02-11T00:00:00"/>
    <x v="2"/>
    <s v="Check out our latest video on twitter!"/>
    <n v="3440"/>
    <n v="13"/>
    <n v="20"/>
    <n v="58480"/>
    <n v="58146"/>
    <n v="210"/>
    <s v="#SmoothLikeNitroTesla"/>
    <x v="3"/>
    <n v="5.9387824897400819E-2"/>
    <x v="3"/>
    <x v="0"/>
  </r>
  <r>
    <s v="P038"/>
    <x v="3"/>
    <d v="2025-02-17T00:00:00"/>
    <x v="4"/>
    <s v="Check out our latest reel on youtube!"/>
    <n v="3138"/>
    <n v="123"/>
    <n v="291"/>
    <n v="28242"/>
    <n v="27550"/>
    <n v="87"/>
    <s v="#TeslaCoInnovation"/>
    <x v="3"/>
    <n v="0.12577012959422137"/>
    <x v="3"/>
    <x v="0"/>
  </r>
  <r>
    <s v="P161"/>
    <x v="1"/>
    <d v="2025-02-19T00:00:00"/>
    <x v="3"/>
    <s v="Check out our latest text on twitter!"/>
    <n v="4671"/>
    <n v="876"/>
    <n v="366"/>
    <n v="51381"/>
    <n v="50565"/>
    <n v="245"/>
    <s v="#TeslaCoInnovation"/>
    <x v="3"/>
    <n v="0.11508145034156594"/>
    <x v="3"/>
    <x v="0"/>
  </r>
  <r>
    <s v="P265"/>
    <x v="1"/>
    <d v="2025-02-20T00:00:00"/>
    <x v="0"/>
    <s v="Check out our latest carousel on twitter!"/>
    <n v="1877"/>
    <n v="745"/>
    <n v="225"/>
    <n v="11262"/>
    <n v="10967"/>
    <n v="41"/>
    <s v="#EVRevolution"/>
    <x v="3"/>
    <n v="0.25279701651571657"/>
    <x v="3"/>
    <x v="0"/>
  </r>
  <r>
    <s v="P022"/>
    <x v="2"/>
    <d v="2025-02-27T00:00:00"/>
    <x v="3"/>
    <s v="Check out our latest text on facebook!"/>
    <n v="1570"/>
    <n v="187"/>
    <n v="260"/>
    <n v="25120"/>
    <n v="24613"/>
    <n v="133"/>
    <s v="#TeslaCoInnovation"/>
    <x v="3"/>
    <n v="8.0294585987261149E-2"/>
    <x v="3"/>
    <x v="0"/>
  </r>
  <r>
    <s v="P164"/>
    <x v="3"/>
    <d v="2025-02-27T00:00:00"/>
    <x v="3"/>
    <s v="Check out our latest text on youtube!"/>
    <n v="4934"/>
    <n v="971"/>
    <n v="156"/>
    <n v="39472"/>
    <n v="39025"/>
    <n v="169"/>
    <s v="#TeslaCoInnovation"/>
    <x v="3"/>
    <n v="0.15355188488042157"/>
    <x v="3"/>
    <x v="0"/>
  </r>
  <r>
    <s v="P164"/>
    <x v="3"/>
    <d v="2025-02-27T00:00:00"/>
    <x v="3"/>
    <s v="Check out our latest text on youtube!"/>
    <n v="4934"/>
    <n v="971"/>
    <n v="156"/>
    <n v="39472"/>
    <n v="39025"/>
    <n v="169"/>
    <s v="#AnytimeIsTeslaTime"/>
    <x v="3"/>
    <n v="0.15355188488042157"/>
    <x v="3"/>
    <x v="0"/>
  </r>
  <r>
    <s v="P028"/>
    <x v="0"/>
    <d v="2025-03-04T00:00:00"/>
    <x v="2"/>
    <s v="Check out our latest video on instagram!"/>
    <n v="432"/>
    <n v="624"/>
    <n v="123"/>
    <n v="6912"/>
    <n v="6259"/>
    <n v="79"/>
    <s v="#FutureOfDriving"/>
    <x v="3"/>
    <n v="0.17057291666666666"/>
    <x v="3"/>
    <x v="1"/>
  </r>
  <r>
    <s v="P243"/>
    <x v="1"/>
    <d v="2025-03-06T00:00:00"/>
    <x v="5"/>
    <s v="Check out our latest image on twitter!"/>
    <n v="3592"/>
    <n v="911"/>
    <n v="375"/>
    <n v="50288"/>
    <n v="49490"/>
    <n v="32"/>
    <s v="#FutureOfDriving"/>
    <x v="3"/>
    <n v="9.7001272669424113E-2"/>
    <x v="3"/>
    <x v="1"/>
  </r>
  <r>
    <s v="P040"/>
    <x v="1"/>
    <d v="2025-03-07T00:00:00"/>
    <x v="5"/>
    <s v="Check out our latest image on twitter!"/>
    <n v="4750"/>
    <n v="151"/>
    <n v="415"/>
    <n v="38000"/>
    <n v="37792"/>
    <n v="299"/>
    <s v="#EVRevolution"/>
    <x v="3"/>
    <n v="0.13989473684210527"/>
    <x v="3"/>
    <x v="1"/>
  </r>
  <r>
    <s v="P041"/>
    <x v="0"/>
    <d v="2025-03-08T00:00:00"/>
    <x v="4"/>
    <s v="Check out our latest reel on instagram!"/>
    <n v="456"/>
    <n v="629"/>
    <n v="428"/>
    <n v="8208"/>
    <n v="7377"/>
    <n v="205"/>
    <s v="#FutureOfDriving"/>
    <x v="3"/>
    <n v="0.18433235867446393"/>
    <x v="3"/>
    <x v="1"/>
  </r>
  <r>
    <s v="P233"/>
    <x v="2"/>
    <d v="2025-03-08T00:00:00"/>
    <x v="5"/>
    <s v="Check out our latest image on facebook!"/>
    <n v="2382"/>
    <n v="265"/>
    <n v="134"/>
    <n v="38112"/>
    <n v="37437"/>
    <n v="249"/>
    <s v="#FutureOfDriving"/>
    <x v="3"/>
    <n v="7.2969143576826198E-2"/>
    <x v="3"/>
    <x v="1"/>
  </r>
  <r>
    <s v="P209"/>
    <x v="1"/>
    <d v="2025-03-19T00:00:00"/>
    <x v="2"/>
    <s v="Check out our latest video on twitter!"/>
    <n v="3160"/>
    <n v="204"/>
    <n v="297"/>
    <n v="44240"/>
    <n v="43666"/>
    <n v="49"/>
    <s v="#FutureOfDriving"/>
    <x v="3"/>
    <n v="8.2753164556962022E-2"/>
    <x v="3"/>
    <x v="1"/>
  </r>
  <r>
    <s v="P209"/>
    <x v="1"/>
    <d v="2025-03-19T00:00:00"/>
    <x v="2"/>
    <s v="Check out our latest video on twitter!"/>
    <n v="3160"/>
    <n v="204"/>
    <n v="297"/>
    <n v="44240"/>
    <n v="43666"/>
    <n v="49"/>
    <s v="#AnytimeIsTeslaTime"/>
    <x v="3"/>
    <n v="8.2753164556962022E-2"/>
    <x v="3"/>
    <x v="1"/>
  </r>
  <r>
    <s v="P091"/>
    <x v="2"/>
    <d v="2025-03-24T00:00:00"/>
    <x v="5"/>
    <s v="Check out our latest image on facebook!"/>
    <n v="1263"/>
    <n v="397"/>
    <n v="357"/>
    <n v="25260"/>
    <n v="24615"/>
    <n v="137"/>
    <s v="#EVRevolution"/>
    <x v="3"/>
    <n v="7.984956452889945E-2"/>
    <x v="3"/>
    <x v="1"/>
  </r>
  <r>
    <s v="P142"/>
    <x v="3"/>
    <d v="2025-03-25T00:00:00"/>
    <x v="1"/>
    <s v="Check out our latest story on youtube!"/>
    <n v="2070"/>
    <n v="275"/>
    <n v="386"/>
    <n v="39330"/>
    <n v="38627"/>
    <n v="114"/>
    <s v="#FutureOfDriving"/>
    <x v="3"/>
    <n v="6.9438087973557078E-2"/>
    <x v="3"/>
    <x v="1"/>
  </r>
  <r>
    <s v="P255"/>
    <x v="2"/>
    <d v="2025-04-03T00:00:00"/>
    <x v="1"/>
    <s v="Check out our latest story on facebook!"/>
    <n v="3767"/>
    <n v="514"/>
    <n v="238"/>
    <n v="37670"/>
    <n v="36807"/>
    <n v="226"/>
    <s v="#FutureOfDriving"/>
    <x v="3"/>
    <n v="0.11996283514733209"/>
    <x v="3"/>
    <x v="2"/>
  </r>
  <r>
    <s v="P058"/>
    <x v="0"/>
    <d v="2025-04-15T00:00:00"/>
    <x v="4"/>
    <s v="Check out our latest reel on instagram!"/>
    <n v="103"/>
    <n v="770"/>
    <n v="19"/>
    <n v="1030"/>
    <n v="410"/>
    <n v="262"/>
    <s v="#TeslaCoInnovation"/>
    <x v="3"/>
    <n v="0.86601941747572819"/>
    <x v="3"/>
    <x v="2"/>
  </r>
  <r>
    <s v="P148"/>
    <x v="0"/>
    <d v="2025-04-15T00:00:00"/>
    <x v="2"/>
    <s v="Check out our latest video on instagram!"/>
    <n v="4133"/>
    <n v="466"/>
    <n v="327"/>
    <n v="24798"/>
    <n v="24620"/>
    <n v="176"/>
    <s v="#EVRevolution"/>
    <x v="3"/>
    <n v="0.19864505202032423"/>
    <x v="3"/>
    <x v="2"/>
  </r>
  <r>
    <s v="P152"/>
    <x v="2"/>
    <d v="2025-04-22T00:00:00"/>
    <x v="5"/>
    <s v="Check out our latest image on facebook!"/>
    <n v="4804"/>
    <n v="550"/>
    <n v="270"/>
    <n v="28824"/>
    <n v="28370"/>
    <n v="47"/>
    <s v="#EVRevolution"/>
    <x v="3"/>
    <n v="0.19511518179295032"/>
    <x v="3"/>
    <x v="2"/>
  </r>
  <r>
    <s v="P205"/>
    <x v="1"/>
    <d v="2025-04-24T00:00:00"/>
    <x v="2"/>
    <s v="Check out our latest video on twitter!"/>
    <n v="3820"/>
    <n v="697"/>
    <n v="268"/>
    <n v="45840"/>
    <n v="45631"/>
    <n v="171"/>
    <s v="#TeslaCoInnovation"/>
    <x v="3"/>
    <n v="0.1043848167539267"/>
    <x v="3"/>
    <x v="2"/>
  </r>
  <r>
    <s v="P205"/>
    <x v="1"/>
    <d v="2025-04-24T00:00:00"/>
    <x v="2"/>
    <s v="Check out our latest video on twitter!"/>
    <n v="3820"/>
    <n v="697"/>
    <n v="268"/>
    <n v="45840"/>
    <n v="45631"/>
    <n v="171"/>
    <s v="#SmoothLikeNitroTesla"/>
    <x v="3"/>
    <n v="0.1043848167539267"/>
    <x v="3"/>
    <x v="2"/>
  </r>
  <r>
    <s v="P232"/>
    <x v="1"/>
    <d v="2025-04-29T00:00:00"/>
    <x v="1"/>
    <s v="Check out our latest story on twitter!"/>
    <n v="249"/>
    <n v="592"/>
    <n v="230"/>
    <n v="1494"/>
    <n v="1044"/>
    <n v="201"/>
    <s v="#EVRevolution"/>
    <x v="3"/>
    <n v="0.7168674698795181"/>
    <x v="3"/>
    <x v="2"/>
  </r>
  <r>
    <s v="P213"/>
    <x v="2"/>
    <d v="2025-05-01T00:00:00"/>
    <x v="0"/>
    <s v="Check out our latest carousel on facebook!"/>
    <n v="2696"/>
    <n v="628"/>
    <n v="443"/>
    <n v="45832"/>
    <n v="45632"/>
    <n v="248"/>
    <s v="#EVRevolution"/>
    <x v="3"/>
    <n v="8.21914819340199E-2"/>
    <x v="3"/>
    <x v="2"/>
  </r>
  <r>
    <s v="P046"/>
    <x v="1"/>
    <d v="2025-05-02T00:00:00"/>
    <x v="2"/>
    <s v="Check out our latest video on twitter!"/>
    <n v="1108"/>
    <n v="177"/>
    <n v="212"/>
    <n v="8864"/>
    <n v="8710"/>
    <n v="97"/>
    <s v="#TeslaCoInnovation"/>
    <x v="3"/>
    <n v="0.16888537906137185"/>
    <x v="3"/>
    <x v="2"/>
  </r>
  <r>
    <s v="P017"/>
    <x v="2"/>
    <d v="2025-05-05T00:00:00"/>
    <x v="3"/>
    <s v="Check out our latest text on facebook!"/>
    <n v="4441"/>
    <n v="511"/>
    <n v="70"/>
    <n v="53292"/>
    <n v="53082"/>
    <n v="159"/>
    <s v="#EVRevolution"/>
    <x v="3"/>
    <n v="9.4235532537716729E-2"/>
    <x v="3"/>
    <x v="2"/>
  </r>
  <r>
    <s v="P115"/>
    <x v="1"/>
    <d v="2025-05-11T00:00:00"/>
    <x v="5"/>
    <s v="Check out our latest image on twitter!"/>
    <n v="2493"/>
    <n v="97"/>
    <n v="44"/>
    <n v="42381"/>
    <n v="41991"/>
    <n v="242"/>
    <s v="#TeslaCoInnovation"/>
    <x v="3"/>
    <n v="6.2150491965739366E-2"/>
    <x v="3"/>
    <x v="2"/>
  </r>
  <r>
    <s v="P115"/>
    <x v="1"/>
    <d v="2025-05-11T00:00:00"/>
    <x v="5"/>
    <s v="Check out our latest image on twitter!"/>
    <n v="2493"/>
    <n v="97"/>
    <n v="44"/>
    <n v="42381"/>
    <n v="41991"/>
    <n v="242"/>
    <s v="#AnytimeIsTeslaTime"/>
    <x v="3"/>
    <n v="6.2150491965739366E-2"/>
    <x v="3"/>
    <x v="2"/>
  </r>
  <r>
    <s v="P234"/>
    <x v="2"/>
    <d v="2024-06-01T00:00:00"/>
    <x v="3"/>
    <s v="Check out our latest text on facebook!"/>
    <n v="1272"/>
    <n v="465"/>
    <n v="99"/>
    <n v="24168"/>
    <n v="23719"/>
    <n v="42"/>
    <s v="#TeslaCoInnovation"/>
    <x v="4"/>
    <n v="7.5968222442899705E-2"/>
    <x v="4"/>
    <x v="2"/>
  </r>
  <r>
    <s v="P220"/>
    <x v="0"/>
    <d v="2024-06-02T00:00:00"/>
    <x v="1"/>
    <s v="Check out our latest story on instagram!"/>
    <n v="84"/>
    <n v="897"/>
    <n v="85"/>
    <n v="588"/>
    <n v="8"/>
    <n v="12"/>
    <s v="#EVRevolution"/>
    <x v="4"/>
    <n v="1.8129251700680271"/>
    <x v="4"/>
    <x v="2"/>
  </r>
  <r>
    <s v="P146"/>
    <x v="3"/>
    <d v="2024-06-05T00:00:00"/>
    <x v="4"/>
    <s v="Check out our latest reel on youtube!"/>
    <n v="3065"/>
    <n v="772"/>
    <n v="142"/>
    <n v="18390"/>
    <n v="17875"/>
    <n v="200"/>
    <s v="#EVRevolution"/>
    <x v="4"/>
    <n v="0.21636759108210984"/>
    <x v="4"/>
    <x v="2"/>
  </r>
  <r>
    <s v="P146"/>
    <x v="3"/>
    <d v="2024-06-05T00:00:00"/>
    <x v="4"/>
    <s v="Check out our latest reel on youtube!"/>
    <n v="3065"/>
    <n v="772"/>
    <n v="142"/>
    <n v="18390"/>
    <n v="17875"/>
    <n v="200"/>
    <s v="#AnytimeIsTeslaTime"/>
    <x v="4"/>
    <n v="0.21636759108210984"/>
    <x v="4"/>
    <x v="2"/>
  </r>
  <r>
    <s v="P080"/>
    <x v="0"/>
    <d v="2024-06-13T00:00:00"/>
    <x v="1"/>
    <s v="Check out our latest story on instagram!"/>
    <n v="2103"/>
    <n v="892"/>
    <n v="103"/>
    <n v="39957"/>
    <n v="39466"/>
    <n v="28"/>
    <s v="#FutureOfDriving"/>
    <x v="4"/>
    <n v="7.7533348349475686E-2"/>
    <x v="4"/>
    <x v="2"/>
  </r>
  <r>
    <s v="P225"/>
    <x v="1"/>
    <d v="2024-06-20T00:00:00"/>
    <x v="0"/>
    <s v="Check out our latest carousel on twitter!"/>
    <n v="4672"/>
    <n v="325"/>
    <n v="32"/>
    <n v="88768"/>
    <n v="87833"/>
    <n v="118"/>
    <s v="#EVRevolution"/>
    <x v="4"/>
    <n v="5.6653298485940883E-2"/>
    <x v="4"/>
    <x v="2"/>
  </r>
  <r>
    <s v="P107"/>
    <x v="3"/>
    <d v="2024-06-21T00:00:00"/>
    <x v="5"/>
    <s v="Check out our latest image on youtube!"/>
    <n v="4832"/>
    <n v="893"/>
    <n v="10"/>
    <n v="91808"/>
    <n v="91296"/>
    <n v="182"/>
    <s v="#TeslaCoInnovation"/>
    <x v="4"/>
    <n v="6.2467323109097243E-2"/>
    <x v="4"/>
    <x v="2"/>
  </r>
  <r>
    <s v="P059"/>
    <x v="0"/>
    <d v="2024-06-22T00:00:00"/>
    <x v="3"/>
    <s v="Check out our latest text on instagram!"/>
    <n v="2180"/>
    <n v="263"/>
    <n v="387"/>
    <n v="30520"/>
    <n v="30059"/>
    <n v="174"/>
    <s v="#EVRevolution"/>
    <x v="4"/>
    <n v="9.2726081258191345E-2"/>
    <x v="4"/>
    <x v="2"/>
  </r>
  <r>
    <s v="P174"/>
    <x v="2"/>
    <d v="2024-06-22T00:00:00"/>
    <x v="3"/>
    <s v="Check out our latest text on facebook!"/>
    <n v="3828"/>
    <n v="148"/>
    <n v="253"/>
    <n v="30624"/>
    <n v="30229"/>
    <n v="235"/>
    <s v="#EVRevolution"/>
    <x v="4"/>
    <n v="0.13809430512016718"/>
    <x v="4"/>
    <x v="2"/>
  </r>
  <r>
    <s v="P250"/>
    <x v="2"/>
    <d v="2024-06-22T00:00:00"/>
    <x v="4"/>
    <s v="Check out our latest reel on facebook!"/>
    <n v="3813"/>
    <n v="935"/>
    <n v="274"/>
    <n v="68634"/>
    <n v="68488"/>
    <n v="251"/>
    <s v="#FutureOfDriving"/>
    <x v="4"/>
    <n v="7.3170731707317069E-2"/>
    <x v="4"/>
    <x v="2"/>
  </r>
  <r>
    <s v="P229"/>
    <x v="0"/>
    <d v="2024-07-03T00:00:00"/>
    <x v="0"/>
    <s v="Check out our latest carousel on instagram!"/>
    <n v="4799"/>
    <n v="694"/>
    <n v="289"/>
    <n v="43191"/>
    <n v="42228"/>
    <n v="118"/>
    <s v="#TeslaCoInnovation"/>
    <x v="4"/>
    <n v="0.13387048227640017"/>
    <x v="4"/>
    <x v="2"/>
  </r>
  <r>
    <s v="P179"/>
    <x v="2"/>
    <d v="2024-07-15T00:00:00"/>
    <x v="0"/>
    <s v="Check out our latest carousel on facebook!"/>
    <n v="3796"/>
    <n v="667"/>
    <n v="395"/>
    <n v="64532"/>
    <n v="63550"/>
    <n v="292"/>
    <s v="#TeslaCoInnovation"/>
    <x v="4"/>
    <n v="7.5280481001673588E-2"/>
    <x v="4"/>
    <x v="2"/>
  </r>
  <r>
    <s v="P285"/>
    <x v="3"/>
    <d v="2024-07-18T00:00:00"/>
    <x v="3"/>
    <s v="Check out our latest text on youtube!"/>
    <n v="4021"/>
    <n v="794"/>
    <n v="77"/>
    <n v="36189"/>
    <n v="35505"/>
    <n v="174"/>
    <s v="#EVRevolution"/>
    <x v="4"/>
    <n v="0.13517919809886983"/>
    <x v="4"/>
    <x v="2"/>
  </r>
  <r>
    <s v="P129"/>
    <x v="1"/>
    <d v="2024-07-21T00:00:00"/>
    <x v="3"/>
    <s v="Check out our latest text on twitter!"/>
    <n v="2147"/>
    <n v="430"/>
    <n v="393"/>
    <n v="17176"/>
    <n v="16483"/>
    <n v="170"/>
    <s v="#TeslaCoInnovation"/>
    <x v="4"/>
    <n v="0.17291569632044715"/>
    <x v="4"/>
    <x v="2"/>
  </r>
  <r>
    <s v="P121"/>
    <x v="0"/>
    <d v="2024-07-29T00:00:00"/>
    <x v="1"/>
    <s v="Check out our latest story on instagram!"/>
    <n v="498"/>
    <n v="701"/>
    <n v="412"/>
    <n v="4980"/>
    <n v="4185"/>
    <n v="185"/>
    <s v="#FutureOfDriving"/>
    <x v="4"/>
    <n v="0.32349397590361445"/>
    <x v="4"/>
    <x v="2"/>
  </r>
  <r>
    <s v="P137"/>
    <x v="2"/>
    <d v="2024-07-31T00:00:00"/>
    <x v="2"/>
    <s v="Check out our latest video on facebook!"/>
    <n v="3008"/>
    <n v="94"/>
    <n v="37"/>
    <n v="15040"/>
    <n v="14639"/>
    <n v="277"/>
    <s v="#FutureOfDriving"/>
    <x v="4"/>
    <n v="0.20871010638297871"/>
    <x v="4"/>
    <x v="2"/>
  </r>
  <r>
    <s v="P253"/>
    <x v="1"/>
    <d v="2024-08-03T00:00:00"/>
    <x v="4"/>
    <s v="Check out our latest reel on twitter!"/>
    <n v="3791"/>
    <n v="593"/>
    <n v="228"/>
    <n v="53074"/>
    <n v="52613"/>
    <n v="205"/>
    <s v="#EVRevolution"/>
    <x v="4"/>
    <n v="8.6897539284772202E-2"/>
    <x v="4"/>
    <x v="2"/>
  </r>
  <r>
    <s v="P226"/>
    <x v="0"/>
    <d v="2024-08-07T00:00:00"/>
    <x v="0"/>
    <s v="Check out our latest carousel on instagram!"/>
    <n v="1741"/>
    <n v="164"/>
    <n v="318"/>
    <n v="8705"/>
    <n v="8272"/>
    <n v="121"/>
    <s v="#TeslaCoInnovation"/>
    <x v="4"/>
    <n v="0.25537047673750718"/>
    <x v="4"/>
    <x v="2"/>
  </r>
  <r>
    <s v="P160"/>
    <x v="1"/>
    <d v="2024-08-24T00:00:00"/>
    <x v="2"/>
    <s v="Check out our latest video on twitter!"/>
    <n v="1082"/>
    <n v="209"/>
    <n v="484"/>
    <n v="19476"/>
    <n v="18654"/>
    <n v="20"/>
    <s v="#TeslaCoInnovation"/>
    <x v="4"/>
    <n v="9.1137810638734856E-2"/>
    <x v="4"/>
    <x v="2"/>
  </r>
  <r>
    <s v="P247"/>
    <x v="2"/>
    <d v="2024-08-27T00:00:00"/>
    <x v="4"/>
    <s v="Check out our latest reel on facebook!"/>
    <n v="3960"/>
    <n v="266"/>
    <n v="8"/>
    <n v="35640"/>
    <n v="34850"/>
    <n v="208"/>
    <s v="#FutureOfDriving"/>
    <x v="4"/>
    <n v="0.11879910213243547"/>
    <x v="4"/>
    <x v="2"/>
  </r>
  <r>
    <s v="P247"/>
    <x v="2"/>
    <d v="2024-08-27T00:00:00"/>
    <x v="4"/>
    <s v="Check out our latest reel on facebook!"/>
    <n v="3960"/>
    <n v="266"/>
    <n v="8"/>
    <n v="35640"/>
    <n v="34850"/>
    <n v="208"/>
    <s v="#EVRevolution"/>
    <x v="4"/>
    <n v="0.11879910213243547"/>
    <x v="4"/>
    <x v="2"/>
  </r>
  <r>
    <s v="P247"/>
    <x v="2"/>
    <d v="2024-08-27T00:00:00"/>
    <x v="4"/>
    <s v="Check out our latest reel on facebook!"/>
    <n v="3960"/>
    <n v="266"/>
    <n v="8"/>
    <n v="35640"/>
    <n v="34850"/>
    <n v="208"/>
    <s v="#BetterWithTesla"/>
    <x v="4"/>
    <n v="0.11879910213243547"/>
    <x v="4"/>
    <x v="2"/>
  </r>
  <r>
    <s v="P141"/>
    <x v="1"/>
    <d v="2024-08-31T00:00:00"/>
    <x v="5"/>
    <s v="Check out our latest image on twitter!"/>
    <n v="3170"/>
    <n v="857"/>
    <n v="379"/>
    <n v="19020"/>
    <n v="18559"/>
    <n v="240"/>
    <s v="#FutureOfDriving"/>
    <x v="4"/>
    <n v="0.2316508937960042"/>
    <x v="4"/>
    <x v="2"/>
  </r>
  <r>
    <s v="P096"/>
    <x v="1"/>
    <d v="2024-09-10T00:00:00"/>
    <x v="5"/>
    <s v="Check out our latest image on twitter!"/>
    <n v="1238"/>
    <n v="366"/>
    <n v="444"/>
    <n v="19808"/>
    <n v="19334"/>
    <n v="123"/>
    <s v="#FutureOfDriving"/>
    <x v="4"/>
    <n v="0.10339256865912763"/>
    <x v="4"/>
    <x v="2"/>
  </r>
  <r>
    <s v="P190"/>
    <x v="3"/>
    <d v="2024-10-04T00:00:00"/>
    <x v="3"/>
    <s v="Check out our latest text on youtube!"/>
    <n v="1963"/>
    <n v="213"/>
    <n v="19"/>
    <n v="39260"/>
    <n v="38771"/>
    <n v="145"/>
    <s v="#FutureOfDriving"/>
    <x v="4"/>
    <n v="5.5909322465613857E-2"/>
    <x v="4"/>
    <x v="2"/>
  </r>
  <r>
    <s v="P267"/>
    <x v="1"/>
    <d v="2024-10-04T00:00:00"/>
    <x v="4"/>
    <s v="Check out our latest reel on twitter!"/>
    <n v="4187"/>
    <n v="66"/>
    <n v="31"/>
    <n v="66992"/>
    <n v="66614"/>
    <n v="62"/>
    <s v="#FutureOfDriving"/>
    <x v="4"/>
    <n v="6.3947934081681396E-2"/>
    <x v="4"/>
    <x v="2"/>
  </r>
  <r>
    <s v="P083"/>
    <x v="3"/>
    <d v="2024-10-15T00:00:00"/>
    <x v="2"/>
    <s v="Check out our latest video on youtube!"/>
    <n v="1094"/>
    <n v="472"/>
    <n v="21"/>
    <n v="9846"/>
    <n v="9609"/>
    <n v="112"/>
    <s v="#EVRevolution"/>
    <x v="4"/>
    <n v="0.16118220597196831"/>
    <x v="4"/>
    <x v="2"/>
  </r>
  <r>
    <s v="P223"/>
    <x v="1"/>
    <d v="2024-11-12T00:00:00"/>
    <x v="5"/>
    <s v="Check out our latest image on twitter!"/>
    <n v="3338"/>
    <n v="277"/>
    <n v="118"/>
    <n v="60084"/>
    <n v="59842"/>
    <n v="252"/>
    <s v="#TeslaCoInnovation"/>
    <x v="4"/>
    <n v="6.2129685107516146E-2"/>
    <x v="4"/>
    <x v="2"/>
  </r>
  <r>
    <s v="P292"/>
    <x v="2"/>
    <d v="2024-11-17T00:00:00"/>
    <x v="3"/>
    <s v="Check out our latest text on facebook!"/>
    <n v="880"/>
    <n v="297"/>
    <n v="345"/>
    <n v="12320"/>
    <n v="11978"/>
    <n v="238"/>
    <s v="#TeslaCoInnovation"/>
    <x v="4"/>
    <n v="0.12353896103896105"/>
    <x v="4"/>
    <x v="2"/>
  </r>
  <r>
    <s v="P292"/>
    <x v="2"/>
    <d v="2024-11-17T00:00:00"/>
    <x v="3"/>
    <s v="Check out our latest text on facebook!"/>
    <n v="880"/>
    <n v="297"/>
    <n v="345"/>
    <n v="12320"/>
    <n v="11978"/>
    <n v="238"/>
    <s v="#AnytimeIsTeslaTime"/>
    <x v="4"/>
    <n v="0.12353896103896105"/>
    <x v="4"/>
    <x v="2"/>
  </r>
  <r>
    <s v="P039"/>
    <x v="2"/>
    <d v="2024-11-25T00:00:00"/>
    <x v="5"/>
    <s v="Check out our latest image on facebook!"/>
    <n v="3564"/>
    <n v="629"/>
    <n v="177"/>
    <n v="60588"/>
    <n v="59627"/>
    <n v="92"/>
    <s v="#TeslaCoInnovation"/>
    <x v="4"/>
    <n v="7.2126493695121141E-2"/>
    <x v="4"/>
    <x v="2"/>
  </r>
  <r>
    <s v="P167"/>
    <x v="0"/>
    <d v="2024-11-28T00:00:00"/>
    <x v="3"/>
    <s v="Check out our latest text on instagram!"/>
    <n v="4771"/>
    <n v="818"/>
    <n v="56"/>
    <n v="57252"/>
    <n v="56378"/>
    <n v="150"/>
    <s v="#FutureOfDriving"/>
    <x v="4"/>
    <n v="9.859917557465242E-2"/>
    <x v="4"/>
    <x v="2"/>
  </r>
  <r>
    <s v="P289"/>
    <x v="2"/>
    <d v="2024-11-28T00:00:00"/>
    <x v="0"/>
    <s v="Check out our latest carousel on facebook!"/>
    <n v="2751"/>
    <n v="33"/>
    <n v="430"/>
    <n v="44016"/>
    <n v="43415"/>
    <n v="129"/>
    <s v="#FutureOfDriving"/>
    <x v="4"/>
    <n v="7.3018902217375503E-2"/>
    <x v="4"/>
    <x v="2"/>
  </r>
  <r>
    <s v="P192"/>
    <x v="0"/>
    <d v="2024-11-29T00:00:00"/>
    <x v="2"/>
    <s v="Check out our latest video on instagram!"/>
    <n v="1176"/>
    <n v="464"/>
    <n v="394"/>
    <n v="14112"/>
    <n v="13588"/>
    <n v="272"/>
    <s v="#EVRevolution"/>
    <x v="4"/>
    <n v="0.1441326530612245"/>
    <x v="4"/>
    <x v="2"/>
  </r>
  <r>
    <s v="P217"/>
    <x v="2"/>
    <d v="2024-12-03T00:00:00"/>
    <x v="5"/>
    <s v="Check out our latest image on facebook!"/>
    <n v="4606"/>
    <n v="931"/>
    <n v="230"/>
    <n v="92120"/>
    <n v="91440"/>
    <n v="56"/>
    <s v="#TeslaCoInnovation"/>
    <x v="4"/>
    <n v="6.2603126356925748E-2"/>
    <x v="4"/>
    <x v="2"/>
  </r>
  <r>
    <s v="P068"/>
    <x v="0"/>
    <d v="2024-12-08T00:00:00"/>
    <x v="1"/>
    <s v="Check out our latest story on instagram!"/>
    <n v="2610"/>
    <n v="126"/>
    <n v="288"/>
    <n v="15660"/>
    <n v="15145"/>
    <n v="73"/>
    <s v="#EVRevolution"/>
    <x v="4"/>
    <n v="0.19310344827586207"/>
    <x v="4"/>
    <x v="2"/>
  </r>
  <r>
    <s v="P089"/>
    <x v="1"/>
    <d v="2025-01-10T00:00:00"/>
    <x v="5"/>
    <s v="Check out our latest image on twitter!"/>
    <n v="2214"/>
    <n v="249"/>
    <n v="152"/>
    <n v="15498"/>
    <n v="14800"/>
    <n v="180"/>
    <s v="#EVRevolution"/>
    <x v="4"/>
    <n v="0.16873144921925409"/>
    <x v="4"/>
    <x v="2"/>
  </r>
  <r>
    <s v="P128"/>
    <x v="1"/>
    <d v="2025-01-10T00:00:00"/>
    <x v="5"/>
    <s v="Check out our latest image on twitter!"/>
    <n v="3092"/>
    <n v="106"/>
    <n v="291"/>
    <n v="27828"/>
    <n v="27217"/>
    <n v="102"/>
    <s v="#FutureOfDriving"/>
    <x v="4"/>
    <n v="0.12537731780940059"/>
    <x v="4"/>
    <x v="2"/>
  </r>
  <r>
    <s v="P185"/>
    <x v="0"/>
    <d v="2025-01-11T00:00:00"/>
    <x v="0"/>
    <s v="Check out our latest carousel on instagram!"/>
    <n v="4523"/>
    <n v="61"/>
    <n v="157"/>
    <n v="49753"/>
    <n v="49329"/>
    <n v="71"/>
    <s v="#EVRevolution"/>
    <x v="4"/>
    <n v="9.5290736237010829E-2"/>
    <x v="4"/>
    <x v="2"/>
  </r>
  <r>
    <s v="P262"/>
    <x v="3"/>
    <d v="2025-01-18T00:00:00"/>
    <x v="5"/>
    <s v="Check out our latest image on youtube!"/>
    <n v="1206"/>
    <n v="238"/>
    <n v="36"/>
    <n v="9648"/>
    <n v="9417"/>
    <n v="237"/>
    <s v="#TeslaCoInnovation"/>
    <x v="4"/>
    <n v="0.15339966832504145"/>
    <x v="4"/>
    <x v="2"/>
  </r>
  <r>
    <s v="P248"/>
    <x v="2"/>
    <d v="2025-02-02T00:00:00"/>
    <x v="1"/>
    <s v="Check out our latest story on facebook!"/>
    <n v="886"/>
    <n v="126"/>
    <n v="153"/>
    <n v="4430"/>
    <n v="4037"/>
    <n v="212"/>
    <s v="#EVRevolution"/>
    <x v="4"/>
    <n v="0.26297968397291194"/>
    <x v="4"/>
    <x v="2"/>
  </r>
  <r>
    <s v="P119"/>
    <x v="0"/>
    <d v="2025-02-07T00:00:00"/>
    <x v="4"/>
    <s v="Check out our latest reel on instagram!"/>
    <n v="1970"/>
    <n v="675"/>
    <n v="478"/>
    <n v="9850"/>
    <n v="8924"/>
    <n v="117"/>
    <s v="#FutureOfDriving"/>
    <x v="4"/>
    <n v="0.31705583756345179"/>
    <x v="4"/>
    <x v="2"/>
  </r>
  <r>
    <s v="P100"/>
    <x v="3"/>
    <d v="2025-02-10T00:00:00"/>
    <x v="2"/>
    <s v="Check out our latest video on youtube!"/>
    <n v="1766"/>
    <n v="92"/>
    <n v="424"/>
    <n v="24724"/>
    <n v="24333"/>
    <n v="52"/>
    <s v="#EVRevolution"/>
    <x v="4"/>
    <n v="9.2298980747451867E-2"/>
    <x v="4"/>
    <x v="2"/>
  </r>
  <r>
    <s v="P014"/>
    <x v="2"/>
    <d v="2025-02-16T00:00:00"/>
    <x v="1"/>
    <s v="Check out our latest story on facebook!"/>
    <n v="4242"/>
    <n v="555"/>
    <n v="131"/>
    <n v="33936"/>
    <n v="33802"/>
    <n v="265"/>
    <s v="#FutureOfDriving"/>
    <x v="4"/>
    <n v="0.14521452145214522"/>
    <x v="4"/>
    <x v="2"/>
  </r>
  <r>
    <s v="P047"/>
    <x v="1"/>
    <d v="2025-02-24T00:00:00"/>
    <x v="0"/>
    <s v="Check out our latest carousel on twitter!"/>
    <n v="2704"/>
    <n v="752"/>
    <n v="153"/>
    <n v="21632"/>
    <n v="20792"/>
    <n v="127"/>
    <s v="#FutureOfDriving"/>
    <x v="4"/>
    <n v="0.16683616863905326"/>
    <x v="4"/>
    <x v="2"/>
  </r>
  <r>
    <s v="P053"/>
    <x v="3"/>
    <d v="2025-02-24T00:00:00"/>
    <x v="0"/>
    <s v="Check out our latest carousel on youtube!"/>
    <n v="804"/>
    <n v="639"/>
    <n v="43"/>
    <n v="4020"/>
    <n v="3144"/>
    <n v="11"/>
    <s v="#EVRevolution"/>
    <x v="4"/>
    <n v="0.36965174129353234"/>
    <x v="4"/>
    <x v="2"/>
  </r>
  <r>
    <s v="P053"/>
    <x v="3"/>
    <d v="2025-02-24T00:00:00"/>
    <x v="0"/>
    <s v="Check out our latest carousel on youtube!"/>
    <n v="804"/>
    <n v="639"/>
    <n v="43"/>
    <n v="4020"/>
    <n v="3144"/>
    <n v="11"/>
    <s v="#BetterWithTesla"/>
    <x v="4"/>
    <n v="0.36965174129353234"/>
    <x v="4"/>
    <x v="2"/>
  </r>
  <r>
    <s v="P239"/>
    <x v="3"/>
    <d v="2025-02-24T00:00:00"/>
    <x v="3"/>
    <s v="Check out our latest text on youtube!"/>
    <n v="4188"/>
    <n v="942"/>
    <n v="118"/>
    <n v="20940"/>
    <n v="20471"/>
    <n v="102"/>
    <s v="#FutureOfDriving"/>
    <x v="4"/>
    <n v="0.25062082139446035"/>
    <x v="4"/>
    <x v="2"/>
  </r>
  <r>
    <s v="P030"/>
    <x v="0"/>
    <d v="2025-02-25T00:00:00"/>
    <x v="2"/>
    <s v="Check out our latest video on instagram!"/>
    <n v="3095"/>
    <n v="39"/>
    <n v="78"/>
    <n v="55710"/>
    <n v="54808"/>
    <n v="93"/>
    <s v="#EVRevolution"/>
    <x v="4"/>
    <n v="5.7655717106444085E-2"/>
    <x v="4"/>
    <x v="2"/>
  </r>
  <r>
    <s v="P044"/>
    <x v="1"/>
    <d v="2025-03-02T00:00:00"/>
    <x v="5"/>
    <s v="Check out our latest image on twitter!"/>
    <n v="2358"/>
    <n v="784"/>
    <n v="344"/>
    <n v="35370"/>
    <n v="34475"/>
    <n v="216"/>
    <s v="#TeslaCoInnovation"/>
    <x v="4"/>
    <n v="9.8558100084817649E-2"/>
    <x v="4"/>
    <x v="2"/>
  </r>
  <r>
    <s v="P077"/>
    <x v="2"/>
    <d v="2025-03-04T00:00:00"/>
    <x v="1"/>
    <s v="Check out our latest story on facebook!"/>
    <n v="1249"/>
    <n v="116"/>
    <n v="420"/>
    <n v="8743"/>
    <n v="8538"/>
    <n v="63"/>
    <s v="#TeslaCoInnovation"/>
    <x v="4"/>
    <n v="0.20416333066453163"/>
    <x v="4"/>
    <x v="2"/>
  </r>
  <r>
    <s v="P042"/>
    <x v="3"/>
    <d v="2025-03-05T00:00:00"/>
    <x v="4"/>
    <s v="Check out our latest reel on youtube!"/>
    <n v="1543"/>
    <n v="820"/>
    <n v="333"/>
    <n v="12344"/>
    <n v="11496"/>
    <n v="241"/>
    <s v="#EVRevolution"/>
    <x v="4"/>
    <n v="0.21840570317563188"/>
    <x v="4"/>
    <x v="2"/>
  </r>
  <r>
    <s v="P048"/>
    <x v="1"/>
    <d v="2025-03-11T00:00:00"/>
    <x v="1"/>
    <s v="Check out our latest story on twitter!"/>
    <n v="1950"/>
    <n v="295"/>
    <n v="478"/>
    <n v="37050"/>
    <n v="36272"/>
    <n v="119"/>
    <s v="#TeslaCoInnovation"/>
    <x v="4"/>
    <n v="7.349527665317139E-2"/>
    <x v="4"/>
    <x v="2"/>
  </r>
  <r>
    <s v="P116"/>
    <x v="3"/>
    <d v="2025-03-18T00:00:00"/>
    <x v="4"/>
    <s v="Check out our latest reel on youtube!"/>
    <n v="3704"/>
    <n v="186"/>
    <n v="458"/>
    <n v="25928"/>
    <n v="25081"/>
    <n v="131"/>
    <s v="#TeslaCoInnovation"/>
    <x v="4"/>
    <n v="0.16769515581610614"/>
    <x v="4"/>
    <x v="2"/>
  </r>
  <r>
    <s v="P221"/>
    <x v="2"/>
    <d v="2025-03-23T00:00:00"/>
    <x v="2"/>
    <s v="Check out our latest video on facebook!"/>
    <n v="4453"/>
    <n v="111"/>
    <n v="420"/>
    <n v="31171"/>
    <n v="30565"/>
    <n v="23"/>
    <s v="#TeslaCoInnovation"/>
    <x v="4"/>
    <n v="0.15989220750056141"/>
    <x v="4"/>
    <x v="2"/>
  </r>
  <r>
    <s v="P251"/>
    <x v="0"/>
    <d v="2025-03-27T00:00:00"/>
    <x v="0"/>
    <s v="Check out our latest carousel on instagram!"/>
    <n v="1377"/>
    <n v="796"/>
    <n v="387"/>
    <n v="22032"/>
    <n v="21869"/>
    <n v="189"/>
    <s v="#FutureOfDriving"/>
    <x v="4"/>
    <n v="0.11619462599854757"/>
    <x v="4"/>
    <x v="2"/>
  </r>
  <r>
    <s v="P065"/>
    <x v="0"/>
    <d v="2025-03-28T00:00:00"/>
    <x v="1"/>
    <s v="Check out our latest story on instagram!"/>
    <n v="1881"/>
    <n v="501"/>
    <n v="99"/>
    <n v="20691"/>
    <n v="19987"/>
    <n v="289"/>
    <s v="#EVRevolution"/>
    <x v="4"/>
    <n v="0.11990720603160794"/>
    <x v="4"/>
    <x v="2"/>
  </r>
  <r>
    <s v="P126"/>
    <x v="0"/>
    <d v="2025-03-28T00:00:00"/>
    <x v="0"/>
    <s v="Check out our latest carousel on instagram!"/>
    <n v="4158"/>
    <n v="167"/>
    <n v="241"/>
    <n v="45738"/>
    <n v="45183"/>
    <n v="142"/>
    <s v="#FutureOfDriving"/>
    <x v="4"/>
    <n v="9.9829463465827106E-2"/>
    <x v="4"/>
    <x v="2"/>
  </r>
  <r>
    <s v="P162"/>
    <x v="2"/>
    <d v="2025-04-01T00:00:00"/>
    <x v="1"/>
    <s v="Check out our latest story on facebook!"/>
    <n v="3430"/>
    <n v="566"/>
    <n v="164"/>
    <n v="48020"/>
    <n v="47305"/>
    <n v="120"/>
    <s v="#FutureOfDriving"/>
    <x v="4"/>
    <n v="8.6630570595585168E-2"/>
    <x v="4"/>
    <x v="2"/>
  </r>
  <r>
    <s v="P070"/>
    <x v="2"/>
    <d v="2025-04-02T00:00:00"/>
    <x v="2"/>
    <s v="Check out our latest video on facebook!"/>
    <n v="199"/>
    <n v="772"/>
    <n v="400"/>
    <n v="3582"/>
    <n v="2988"/>
    <n v="43"/>
    <s v="#TeslaCoInnovation"/>
    <x v="4"/>
    <n v="0.38274706867671693"/>
    <x v="4"/>
    <x v="2"/>
  </r>
  <r>
    <s v="P025"/>
    <x v="1"/>
    <d v="2025-04-10T00:00:00"/>
    <x v="0"/>
    <s v="Check out our latest carousel on twitter!"/>
    <n v="3128"/>
    <n v="211"/>
    <n v="197"/>
    <n v="59432"/>
    <n v="59182"/>
    <n v="238"/>
    <s v="#EVRevolution"/>
    <x v="4"/>
    <n v="5.9496567505720827E-2"/>
    <x v="4"/>
    <x v="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9">
  <r>
    <s v="P001"/>
    <x v="0"/>
    <d v="2024-12-23T00:00:00"/>
    <x v="0"/>
    <s v="Check out our latest reel on twitter!"/>
    <n v="1461"/>
    <n v="184"/>
    <n v="344"/>
    <n v="21915"/>
    <n v="21675"/>
    <n v="15"/>
    <x v="0"/>
    <s v="CybertruckLaunch"/>
    <n v="9.0759753593429152E-2"/>
  </r>
  <r>
    <s v="P001"/>
    <x v="0"/>
    <d v="2024-12-23T00:00:00"/>
    <x v="0"/>
    <s v="Check out our latest reel on twitter!"/>
    <n v="1461"/>
    <n v="184"/>
    <n v="344"/>
    <n v="21915"/>
    <n v="21675"/>
    <n v="15"/>
    <x v="1"/>
    <s v="CybertruckLaunch"/>
    <n v="9.0759753593429152E-2"/>
  </r>
  <r>
    <s v="P002"/>
    <x v="0"/>
    <d v="2025-04-03T00:00:00"/>
    <x v="1"/>
    <s v="Check out our latest text on twitter!"/>
    <n v="4054"/>
    <n v="389"/>
    <n v="493"/>
    <n v="64864"/>
    <n v="64383"/>
    <n v="117"/>
    <x v="2"/>
    <s v="ModelYCampaign"/>
    <n v="7.6097681302417369E-2"/>
  </r>
  <r>
    <s v="P002"/>
    <x v="0"/>
    <d v="2025-04-03T00:00:00"/>
    <x v="1"/>
    <s v="Check out our latest text on twitter!"/>
    <n v="4054"/>
    <n v="389"/>
    <n v="493"/>
    <n v="64864"/>
    <n v="64383"/>
    <n v="117"/>
    <x v="3"/>
    <s v="ModelYCampaign"/>
    <n v="7.6097681302417369E-2"/>
  </r>
  <r>
    <s v="P003"/>
    <x v="1"/>
    <d v="2025-05-12T00:00:00"/>
    <x v="0"/>
    <s v="Check out our latest reel on youtube!"/>
    <n v="2795"/>
    <n v="105"/>
    <n v="49"/>
    <n v="53105"/>
    <n v="52307"/>
    <n v="204"/>
    <x v="2"/>
    <s v="FSDUpdate"/>
    <n v="5.5531494209584788E-2"/>
  </r>
  <r>
    <s v="P004"/>
    <x v="2"/>
    <d v="2024-08-12T00:00:00"/>
    <x v="2"/>
    <s v="Check out our latest story on instagram!"/>
    <n v="2404"/>
    <n v="363"/>
    <n v="138"/>
    <n v="19232"/>
    <n v="18636"/>
    <n v="128"/>
    <x v="4"/>
    <s v="SustainabilityDrive"/>
    <n v="0.15105033277870217"/>
  </r>
  <r>
    <s v="P005"/>
    <x v="1"/>
    <d v="2024-06-26T00:00:00"/>
    <x v="0"/>
    <s v="Check out our latest reel on youtube!"/>
    <n v="3557"/>
    <n v="687"/>
    <n v="424"/>
    <n v="71140"/>
    <n v="70701"/>
    <n v="224"/>
    <x v="4"/>
    <s v="CybertruckLaunch"/>
    <n v="6.5617093055946027E-2"/>
  </r>
  <r>
    <s v="P005"/>
    <x v="1"/>
    <d v="2024-06-26T00:00:00"/>
    <x v="0"/>
    <s v="Check out our latest reel on youtube!"/>
    <n v="3557"/>
    <n v="687"/>
    <n v="424"/>
    <n v="71140"/>
    <n v="70701"/>
    <n v="224"/>
    <x v="2"/>
    <s v="CybertruckLaunch"/>
    <n v="6.5617093055946027E-2"/>
  </r>
  <r>
    <s v="P006"/>
    <x v="3"/>
    <d v="2024-10-31T00:00:00"/>
    <x v="3"/>
    <s v="Check out our latest carousel on facebook!"/>
    <n v="2945"/>
    <n v="930"/>
    <n v="355"/>
    <n v="23560"/>
    <n v="23275"/>
    <n v="256"/>
    <x v="2"/>
    <s v="ModelYCampaign"/>
    <n v="0.17954159592529711"/>
  </r>
  <r>
    <s v="P007"/>
    <x v="0"/>
    <d v="2024-06-24T00:00:00"/>
    <x v="3"/>
    <s v="Check out our latest carousel on twitter!"/>
    <n v="3860"/>
    <n v="201"/>
    <n v="279"/>
    <n v="61760"/>
    <n v="61660"/>
    <n v="235"/>
    <x v="2"/>
    <s v="ModelYCampaign"/>
    <n v="7.0272020725388601E-2"/>
  </r>
  <r>
    <s v="P008"/>
    <x v="1"/>
    <d v="2024-07-13T00:00:00"/>
    <x v="4"/>
    <s v="Check out our latest image on youtube!"/>
    <n v="3929"/>
    <n v="262"/>
    <n v="278"/>
    <n v="43219"/>
    <n v="42841"/>
    <n v="39"/>
    <x v="4"/>
    <s v="SustainabilityDrive"/>
    <n v="0.10340359564080613"/>
  </r>
  <r>
    <s v="P009"/>
    <x v="3"/>
    <d v="2024-08-30T00:00:00"/>
    <x v="1"/>
    <s v="Check out our latest text on facebook!"/>
    <n v="3784"/>
    <n v="808"/>
    <n v="404"/>
    <n v="56760"/>
    <n v="56343"/>
    <n v="131"/>
    <x v="2"/>
    <s v="ModelYCampaign"/>
    <n v="8.8019732205778717E-2"/>
  </r>
  <r>
    <s v="P010"/>
    <x v="3"/>
    <d v="2025-03-11T00:00:00"/>
    <x v="4"/>
    <s v="Check out our latest image on facebook!"/>
    <n v="4241"/>
    <n v="902"/>
    <n v="47"/>
    <n v="72097"/>
    <n v="71598"/>
    <n v="167"/>
    <x v="2"/>
    <s v="ModelYCampaign"/>
    <n v="7.198635172059864E-2"/>
  </r>
  <r>
    <s v="P011"/>
    <x v="2"/>
    <d v="2025-02-02T00:00:00"/>
    <x v="2"/>
    <s v="Check out our latest story on instagram!"/>
    <n v="1792"/>
    <n v="614"/>
    <n v="497"/>
    <n v="25088"/>
    <n v="24675"/>
    <n v="65"/>
    <x v="0"/>
    <s v="SustainabilityDrive"/>
    <n v="0.11571269132653061"/>
  </r>
  <r>
    <s v="P012"/>
    <x v="3"/>
    <d v="2024-07-21T00:00:00"/>
    <x v="0"/>
    <s v="Check out our latest reel on facebook!"/>
    <n v="1946"/>
    <n v="686"/>
    <n v="377"/>
    <n v="23352"/>
    <n v="22982"/>
    <n v="213"/>
    <x v="0"/>
    <s v="FSDUpdate"/>
    <n v="0.12885405960945528"/>
  </r>
  <r>
    <s v="P013"/>
    <x v="1"/>
    <d v="2024-11-18T00:00:00"/>
    <x v="3"/>
    <s v="Check out our latest carousel on youtube!"/>
    <n v="1171"/>
    <n v="286"/>
    <n v="231"/>
    <n v="22249"/>
    <n v="21282"/>
    <n v="114"/>
    <x v="4"/>
    <s v="CybertruckLaunch"/>
    <n v="7.5868578363072495E-2"/>
  </r>
  <r>
    <s v="P014"/>
    <x v="3"/>
    <d v="2025-02-16T00:00:00"/>
    <x v="2"/>
    <s v="Check out our latest story on facebook!"/>
    <n v="4242"/>
    <n v="555"/>
    <n v="131"/>
    <n v="33936"/>
    <n v="33802"/>
    <n v="265"/>
    <x v="0"/>
    <m/>
    <n v="0.14521452145214522"/>
  </r>
  <r>
    <s v="P015"/>
    <x v="3"/>
    <d v="2024-10-24T00:00:00"/>
    <x v="5"/>
    <s v="Check out our latest video on facebook!"/>
    <n v="3888"/>
    <n v="604"/>
    <n v="128"/>
    <n v="77760"/>
    <n v="77167"/>
    <n v="20"/>
    <x v="0"/>
    <s v="CybertruckLaunch"/>
    <n v="5.941358024691358E-2"/>
  </r>
  <r>
    <s v="P016"/>
    <x v="3"/>
    <d v="2024-08-26T00:00:00"/>
    <x v="1"/>
    <s v="Check out our latest text on facebook!"/>
    <n v="3452"/>
    <n v="377"/>
    <n v="360"/>
    <n v="55232"/>
    <n v="55075"/>
    <n v="87"/>
    <x v="0"/>
    <s v="FSDUpdate"/>
    <n v="7.5843713789107758E-2"/>
  </r>
  <r>
    <s v="P017"/>
    <x v="3"/>
    <d v="2025-05-05T00:00:00"/>
    <x v="1"/>
    <s v="Check out our latest text on facebook!"/>
    <n v="4441"/>
    <n v="511"/>
    <n v="70"/>
    <n v="53292"/>
    <n v="53082"/>
    <n v="159"/>
    <x v="4"/>
    <s v="SustainabilityDrive"/>
    <n v="9.4235532537716729E-2"/>
  </r>
  <r>
    <s v="P018"/>
    <x v="2"/>
    <d v="2024-08-19T00:00:00"/>
    <x v="0"/>
    <s v="Check out our latest reel on instagram!"/>
    <n v="3000"/>
    <n v="382"/>
    <n v="325"/>
    <n v="36000"/>
    <n v="35819"/>
    <n v="19"/>
    <x v="0"/>
    <s v="CybertruckLaunch"/>
    <n v="0.10297222222222223"/>
  </r>
  <r>
    <s v="P019"/>
    <x v="2"/>
    <d v="2024-06-23T00:00:00"/>
    <x v="5"/>
    <s v="Check out our latest video on instagram!"/>
    <n v="1071"/>
    <n v="519"/>
    <n v="22"/>
    <n v="16065"/>
    <n v="15865"/>
    <n v="103"/>
    <x v="2"/>
    <s v="SustainabilityDrive"/>
    <n v="0.10034235916588857"/>
  </r>
  <r>
    <s v="P020"/>
    <x v="2"/>
    <d v="2024-09-09T00:00:00"/>
    <x v="3"/>
    <s v="Check out our latest carousel on instagram!"/>
    <n v="4054"/>
    <n v="488"/>
    <n v="373"/>
    <n v="77026"/>
    <n v="76881"/>
    <n v="25"/>
    <x v="2"/>
    <s v="CybertruckLaunch"/>
    <n v="6.3809622724794221E-2"/>
  </r>
  <r>
    <s v="P021"/>
    <x v="2"/>
    <d v="2025-01-04T00:00:00"/>
    <x v="0"/>
    <s v="Check out our latest reel on instagram!"/>
    <n v="4838"/>
    <n v="640"/>
    <n v="128"/>
    <n v="72570"/>
    <n v="72396"/>
    <n v="83"/>
    <x v="0"/>
    <s v="SustainabilityDrive"/>
    <n v="7.7249552156538517E-2"/>
  </r>
  <r>
    <s v="P022"/>
    <x v="3"/>
    <d v="2025-02-27T00:00:00"/>
    <x v="1"/>
    <s v="Check out our latest text on facebook!"/>
    <n v="1570"/>
    <n v="187"/>
    <n v="260"/>
    <n v="25120"/>
    <n v="24613"/>
    <n v="133"/>
    <x v="2"/>
    <s v="SustainabilityDrive"/>
    <n v="8.0294585987261149E-2"/>
  </r>
  <r>
    <s v="P023"/>
    <x v="3"/>
    <d v="2024-11-06T00:00:00"/>
    <x v="5"/>
    <s v="Check out our latest video on facebook!"/>
    <n v="1606"/>
    <n v="547"/>
    <n v="316"/>
    <n v="32120"/>
    <n v="31736"/>
    <n v="225"/>
    <x v="2"/>
    <s v="ModelYCampaign"/>
    <n v="7.6867995018679955E-2"/>
  </r>
  <r>
    <s v="P023"/>
    <x v="3"/>
    <d v="2024-11-06T00:00:00"/>
    <x v="5"/>
    <s v="Check out our latest video on facebook!"/>
    <n v="1606"/>
    <n v="547"/>
    <n v="316"/>
    <n v="32120"/>
    <n v="31736"/>
    <n v="225"/>
    <x v="1"/>
    <s v="ModelYCampaign"/>
    <n v="7.6867995018679955E-2"/>
  </r>
  <r>
    <s v="P024"/>
    <x v="3"/>
    <d v="2025-01-23T00:00:00"/>
    <x v="5"/>
    <s v="Check out our latest video on facebook!"/>
    <n v="3961"/>
    <n v="761"/>
    <n v="131"/>
    <n v="67337"/>
    <n v="66615"/>
    <n v="161"/>
    <x v="0"/>
    <s v="FSDUpdate"/>
    <n v="7.2070332803659209E-2"/>
  </r>
  <r>
    <s v="P025"/>
    <x v="0"/>
    <d v="2025-04-10T00:00:00"/>
    <x v="3"/>
    <s v="Check out our latest carousel on twitter!"/>
    <n v="3128"/>
    <n v="211"/>
    <n v="197"/>
    <n v="59432"/>
    <n v="59182"/>
    <n v="238"/>
    <x v="4"/>
    <m/>
    <n v="5.9496567505720827E-2"/>
  </r>
  <r>
    <s v="P026"/>
    <x v="1"/>
    <d v="2025-04-05T00:00:00"/>
    <x v="0"/>
    <s v="Check out our latest reel on youtube!"/>
    <n v="3009"/>
    <n v="413"/>
    <n v="358"/>
    <n v="42126"/>
    <n v="41309"/>
    <n v="211"/>
    <x v="0"/>
    <s v="ModelYCampaign"/>
    <n v="8.9730807577268201E-2"/>
  </r>
  <r>
    <s v="P027"/>
    <x v="1"/>
    <d v="2024-09-17T00:00:00"/>
    <x v="1"/>
    <s v="Check out our latest text on youtube!"/>
    <n v="2076"/>
    <n v="195"/>
    <n v="104"/>
    <n v="33216"/>
    <n v="32244"/>
    <n v="51"/>
    <x v="0"/>
    <s v="SustainabilityDrive"/>
    <n v="7.1501685934489398E-2"/>
  </r>
  <r>
    <s v="P028"/>
    <x v="2"/>
    <d v="2025-03-04T00:00:00"/>
    <x v="5"/>
    <s v="Check out our latest video on instagram!"/>
    <n v="432"/>
    <n v="624"/>
    <n v="123"/>
    <n v="6912"/>
    <n v="6259"/>
    <n v="79"/>
    <x v="0"/>
    <s v="SustainabilityDrive"/>
    <n v="0.17057291666666666"/>
  </r>
  <r>
    <s v="P029"/>
    <x v="2"/>
    <d v="2025-01-31T00:00:00"/>
    <x v="3"/>
    <s v="Check out our latest carousel on instagram!"/>
    <n v="2566"/>
    <n v="118"/>
    <n v="37"/>
    <n v="12830"/>
    <n v="12264"/>
    <n v="221"/>
    <x v="0"/>
    <s v="FSDUpdate"/>
    <n v="0.21208106001558846"/>
  </r>
  <r>
    <s v="P030"/>
    <x v="2"/>
    <d v="2025-02-25T00:00:00"/>
    <x v="5"/>
    <s v="Check out our latest video on instagram!"/>
    <n v="3095"/>
    <n v="39"/>
    <n v="78"/>
    <n v="55710"/>
    <n v="54808"/>
    <n v="93"/>
    <x v="4"/>
    <m/>
    <n v="5.7655717106444085E-2"/>
  </r>
  <r>
    <s v="P031"/>
    <x v="2"/>
    <d v="2024-12-16T00:00:00"/>
    <x v="1"/>
    <s v="Check out our latest text on instagram!"/>
    <n v="438"/>
    <n v="153"/>
    <n v="275"/>
    <n v="3066"/>
    <n v="2701"/>
    <n v="282"/>
    <x v="2"/>
    <s v="ModelYCampaign"/>
    <n v="0.28245270711024134"/>
  </r>
  <r>
    <s v="P032"/>
    <x v="0"/>
    <d v="2024-07-31T00:00:00"/>
    <x v="3"/>
    <s v="Check out our latest carousel on twitter!"/>
    <n v="2278"/>
    <n v="10"/>
    <n v="321"/>
    <n v="13668"/>
    <n v="12676"/>
    <n v="275"/>
    <x v="4"/>
    <s v="CybertruckLaunch"/>
    <n v="0.19088381621305239"/>
  </r>
  <r>
    <s v="P033"/>
    <x v="3"/>
    <d v="2024-08-21T00:00:00"/>
    <x v="4"/>
    <s v="Check out our latest image on facebook!"/>
    <n v="1407"/>
    <n v="400"/>
    <n v="351"/>
    <n v="16884"/>
    <n v="15954"/>
    <n v="113"/>
    <x v="2"/>
    <s v="CybertruckLaunch"/>
    <n v="0.12781331438047855"/>
  </r>
  <r>
    <s v="P034"/>
    <x v="3"/>
    <d v="2025-03-26T00:00:00"/>
    <x v="1"/>
    <s v="Check out our latest text on facebook!"/>
    <n v="1652"/>
    <n v="89"/>
    <n v="357"/>
    <n v="29736"/>
    <n v="28771"/>
    <n v="215"/>
    <x v="2"/>
    <s v="FSDUpdate"/>
    <n v="7.055421038471886E-2"/>
  </r>
  <r>
    <s v="P035"/>
    <x v="2"/>
    <d v="2024-11-30T00:00:00"/>
    <x v="5"/>
    <s v="Check out our latest video on instagram!"/>
    <n v="3775"/>
    <n v="16"/>
    <n v="239"/>
    <n v="33975"/>
    <n v="33310"/>
    <n v="271"/>
    <x v="0"/>
    <s v="ModelYCampaign"/>
    <n v="0.11861662987490802"/>
  </r>
  <r>
    <s v="P036"/>
    <x v="2"/>
    <d v="2025-04-19T00:00:00"/>
    <x v="2"/>
    <s v="Check out our latest story on instagram!"/>
    <n v="4518"/>
    <n v="285"/>
    <n v="383"/>
    <n v="67770"/>
    <n v="67621"/>
    <n v="31"/>
    <x v="4"/>
    <s v="ModelYCampaign"/>
    <n v="7.6523535487678915E-2"/>
  </r>
  <r>
    <s v="P037"/>
    <x v="3"/>
    <d v="2025-01-06T00:00:00"/>
    <x v="3"/>
    <s v="Check out our latest carousel on facebook!"/>
    <n v="3024"/>
    <n v="925"/>
    <n v="350"/>
    <n v="24192"/>
    <n v="23518"/>
    <n v="36"/>
    <x v="4"/>
    <s v="ModelYCampaign"/>
    <n v="0.17770337301587302"/>
  </r>
  <r>
    <s v="P038"/>
    <x v="1"/>
    <d v="2025-02-17T00:00:00"/>
    <x v="0"/>
    <s v="Check out our latest reel on youtube!"/>
    <n v="3138"/>
    <n v="123"/>
    <n v="291"/>
    <n v="28242"/>
    <n v="27550"/>
    <n v="87"/>
    <x v="2"/>
    <s v="SustainabilityDrive"/>
    <n v="0.12577012959422137"/>
  </r>
  <r>
    <s v="P039"/>
    <x v="3"/>
    <d v="2024-11-25T00:00:00"/>
    <x v="4"/>
    <s v="Check out our latest image on facebook!"/>
    <n v="3564"/>
    <n v="629"/>
    <n v="177"/>
    <n v="60588"/>
    <n v="59627"/>
    <n v="92"/>
    <x v="2"/>
    <m/>
    <n v="7.2126493695121141E-2"/>
  </r>
  <r>
    <s v="P040"/>
    <x v="0"/>
    <d v="2025-03-07T00:00:00"/>
    <x v="4"/>
    <s v="Check out our latest image on twitter!"/>
    <n v="4750"/>
    <n v="151"/>
    <n v="415"/>
    <n v="38000"/>
    <n v="37792"/>
    <n v="299"/>
    <x v="4"/>
    <s v="SustainabilityDrive"/>
    <n v="0.13989473684210527"/>
  </r>
  <r>
    <s v="P041"/>
    <x v="2"/>
    <d v="2025-03-08T00:00:00"/>
    <x v="0"/>
    <s v="Check out our latest reel on instagram!"/>
    <n v="456"/>
    <n v="629"/>
    <n v="428"/>
    <n v="8208"/>
    <n v="7377"/>
    <n v="205"/>
    <x v="0"/>
    <s v="SustainabilityDrive"/>
    <n v="0.18433235867446393"/>
  </r>
  <r>
    <s v="P042"/>
    <x v="1"/>
    <d v="2025-03-05T00:00:00"/>
    <x v="0"/>
    <s v="Check out our latest reel on youtube!"/>
    <n v="1543"/>
    <n v="820"/>
    <n v="333"/>
    <n v="12344"/>
    <n v="11496"/>
    <n v="241"/>
    <x v="4"/>
    <m/>
    <n v="0.21840570317563188"/>
  </r>
  <r>
    <s v="P043"/>
    <x v="2"/>
    <d v="2024-12-14T00:00:00"/>
    <x v="3"/>
    <s v="Check out our latest carousel on instagram!"/>
    <n v="2174"/>
    <n v="658"/>
    <n v="15"/>
    <n v="13044"/>
    <n v="12206"/>
    <n v="137"/>
    <x v="2"/>
    <s v="FSDUpdate"/>
    <n v="0.21826126954921804"/>
  </r>
  <r>
    <s v="P044"/>
    <x v="0"/>
    <d v="2025-03-02T00:00:00"/>
    <x v="4"/>
    <s v="Check out our latest image on twitter!"/>
    <n v="2358"/>
    <n v="784"/>
    <n v="344"/>
    <n v="35370"/>
    <n v="34475"/>
    <n v="216"/>
    <x v="2"/>
    <m/>
    <n v="9.8558100084817649E-2"/>
  </r>
  <r>
    <s v="P045"/>
    <x v="3"/>
    <d v="2024-11-01T00:00:00"/>
    <x v="5"/>
    <s v="Check out our latest video on facebook!"/>
    <n v="3371"/>
    <n v="106"/>
    <n v="327"/>
    <n v="50565"/>
    <n v="49816"/>
    <n v="176"/>
    <x v="0"/>
    <s v="CybertruckLaunch"/>
    <n v="7.5229902106199939E-2"/>
  </r>
  <r>
    <s v="P046"/>
    <x v="0"/>
    <d v="2025-05-02T00:00:00"/>
    <x v="5"/>
    <s v="Check out our latest video on twitter!"/>
    <n v="1108"/>
    <n v="177"/>
    <n v="212"/>
    <n v="8864"/>
    <n v="8710"/>
    <n v="97"/>
    <x v="2"/>
    <s v="SustainabilityDrive"/>
    <n v="0.16888537906137185"/>
  </r>
  <r>
    <s v="P047"/>
    <x v="0"/>
    <d v="2025-02-24T00:00:00"/>
    <x v="3"/>
    <s v="Check out our latest carousel on twitter!"/>
    <n v="2704"/>
    <n v="752"/>
    <n v="153"/>
    <n v="21632"/>
    <n v="20792"/>
    <n v="127"/>
    <x v="0"/>
    <m/>
    <n v="0.16683616863905326"/>
  </r>
  <r>
    <s v="P048"/>
    <x v="0"/>
    <d v="2025-03-11T00:00:00"/>
    <x v="2"/>
    <s v="Check out our latest story on twitter!"/>
    <n v="1950"/>
    <n v="295"/>
    <n v="478"/>
    <n v="37050"/>
    <n v="36272"/>
    <n v="119"/>
    <x v="2"/>
    <m/>
    <n v="7.349527665317139E-2"/>
  </r>
  <r>
    <s v="P049"/>
    <x v="0"/>
    <d v="2024-06-10T00:00:00"/>
    <x v="2"/>
    <s v="Check out our latest story on twitter!"/>
    <n v="2164"/>
    <n v="549"/>
    <n v="274"/>
    <n v="28132"/>
    <n v="27361"/>
    <n v="177"/>
    <x v="2"/>
    <s v="SustainabilityDrive"/>
    <n v="0.10617801791554102"/>
  </r>
  <r>
    <s v="P050"/>
    <x v="1"/>
    <d v="2024-07-03T00:00:00"/>
    <x v="2"/>
    <s v="Check out our latest story on youtube!"/>
    <n v="2754"/>
    <n v="130"/>
    <n v="90"/>
    <n v="22032"/>
    <n v="21288"/>
    <n v="112"/>
    <x v="2"/>
    <s v="FSDUpdate"/>
    <n v="0.13498547567175018"/>
  </r>
  <r>
    <s v="P051"/>
    <x v="3"/>
    <d v="2024-06-13T00:00:00"/>
    <x v="3"/>
    <s v="Check out our latest carousel on facebook!"/>
    <n v="2200"/>
    <n v="504"/>
    <n v="239"/>
    <n v="37400"/>
    <n v="36938"/>
    <n v="225"/>
    <x v="0"/>
    <s v="ModelYCampaign"/>
    <n v="7.8689839572192513E-2"/>
  </r>
  <r>
    <s v="P052"/>
    <x v="3"/>
    <d v="2025-01-03T00:00:00"/>
    <x v="4"/>
    <s v="Check out our latest image on facebook!"/>
    <n v="947"/>
    <n v="338"/>
    <n v="350"/>
    <n v="10417"/>
    <n v="9730"/>
    <n v="34"/>
    <x v="2"/>
    <s v="SustainabilityDrive"/>
    <n v="0.1569549774407219"/>
  </r>
  <r>
    <s v="P053"/>
    <x v="1"/>
    <d v="2025-02-24T00:00:00"/>
    <x v="3"/>
    <s v="Check out our latest carousel on youtube!"/>
    <n v="804"/>
    <n v="639"/>
    <n v="43"/>
    <n v="4020"/>
    <n v="3144"/>
    <n v="11"/>
    <x v="4"/>
    <m/>
    <n v="0.36965174129353234"/>
  </r>
  <r>
    <s v="P053"/>
    <x v="1"/>
    <d v="2025-02-24T00:00:00"/>
    <x v="3"/>
    <s v="Check out our latest carousel on youtube!"/>
    <n v="804"/>
    <n v="639"/>
    <n v="43"/>
    <n v="4020"/>
    <n v="3144"/>
    <n v="11"/>
    <x v="3"/>
    <m/>
    <n v="0.36965174129353234"/>
  </r>
  <r>
    <s v="P054"/>
    <x v="1"/>
    <d v="2025-03-13T00:00:00"/>
    <x v="3"/>
    <s v="Check out our latest carousel on youtube!"/>
    <n v="1686"/>
    <n v="904"/>
    <n v="472"/>
    <n v="18546"/>
    <n v="18171"/>
    <n v="52"/>
    <x v="0"/>
    <s v="ModelYCampaign"/>
    <n v="0.16510298716704411"/>
  </r>
  <r>
    <s v="P055"/>
    <x v="3"/>
    <d v="2024-06-17T00:00:00"/>
    <x v="4"/>
    <s v="Check out our latest image on facebook!"/>
    <n v="1226"/>
    <n v="119"/>
    <n v="7"/>
    <n v="14712"/>
    <n v="14049"/>
    <n v="123"/>
    <x v="4"/>
    <s v="SustainabilityDrive"/>
    <n v="9.1897770527460579E-2"/>
  </r>
  <r>
    <s v="P056"/>
    <x v="3"/>
    <d v="2024-12-18T00:00:00"/>
    <x v="3"/>
    <s v="Check out our latest carousel on facebook!"/>
    <n v="2946"/>
    <n v="498"/>
    <n v="367"/>
    <n v="29460"/>
    <n v="28527"/>
    <n v="60"/>
    <x v="0"/>
    <s v="FSDUpdate"/>
    <n v="0.12936184657162253"/>
  </r>
  <r>
    <s v="P057"/>
    <x v="0"/>
    <d v="2024-10-21T00:00:00"/>
    <x v="5"/>
    <s v="Check out our latest video on twitter!"/>
    <n v="2825"/>
    <n v="535"/>
    <n v="295"/>
    <n v="45200"/>
    <n v="44739"/>
    <n v="169"/>
    <x v="2"/>
    <s v="CybertruckLaunch"/>
    <n v="8.0862831858407078E-2"/>
  </r>
  <r>
    <s v="P058"/>
    <x v="2"/>
    <d v="2025-04-15T00:00:00"/>
    <x v="0"/>
    <s v="Check out our latest reel on instagram!"/>
    <n v="103"/>
    <n v="770"/>
    <n v="19"/>
    <n v="1030"/>
    <n v="410"/>
    <n v="262"/>
    <x v="2"/>
    <s v="SustainabilityDrive"/>
    <n v="0.86601941747572819"/>
  </r>
  <r>
    <s v="P059"/>
    <x v="2"/>
    <d v="2024-06-22T00:00:00"/>
    <x v="1"/>
    <s v="Check out our latest text on instagram!"/>
    <n v="2180"/>
    <n v="263"/>
    <n v="387"/>
    <n v="30520"/>
    <n v="30059"/>
    <n v="174"/>
    <x v="4"/>
    <m/>
    <n v="9.2726081258191345E-2"/>
  </r>
  <r>
    <s v="P060"/>
    <x v="2"/>
    <d v="2025-01-28T00:00:00"/>
    <x v="5"/>
    <s v="Check out our latest video on instagram!"/>
    <n v="904"/>
    <n v="973"/>
    <n v="63"/>
    <n v="11752"/>
    <n v="11580"/>
    <n v="84"/>
    <x v="4"/>
    <s v="FSDUpdate"/>
    <n v="0.1650782845473111"/>
  </r>
  <r>
    <s v="P060"/>
    <x v="2"/>
    <d v="2025-01-28T00:00:00"/>
    <x v="5"/>
    <s v="Check out our latest video on instagram!"/>
    <n v="904"/>
    <n v="973"/>
    <n v="63"/>
    <n v="11752"/>
    <n v="11580"/>
    <n v="84"/>
    <x v="2"/>
    <s v="FSDUpdate"/>
    <n v="0.1650782845473111"/>
  </r>
  <r>
    <s v="P060"/>
    <x v="2"/>
    <d v="2025-01-28T00:00:00"/>
    <x v="5"/>
    <s v="Check out our latest video on instagram!"/>
    <n v="904"/>
    <n v="973"/>
    <n v="63"/>
    <n v="11752"/>
    <n v="11580"/>
    <n v="84"/>
    <x v="1"/>
    <s v="FSDUpdate"/>
    <n v="0.1650782845473111"/>
  </r>
  <r>
    <s v="P061"/>
    <x v="0"/>
    <d v="2024-09-05T00:00:00"/>
    <x v="5"/>
    <s v="Check out our latest video on twitter!"/>
    <n v="4886"/>
    <n v="983"/>
    <n v="409"/>
    <n v="43974"/>
    <n v="43239"/>
    <n v="65"/>
    <x v="2"/>
    <s v="CybertruckLaunch"/>
    <n v="0.14276618001546368"/>
  </r>
  <r>
    <s v="P062"/>
    <x v="0"/>
    <d v="2024-11-22T00:00:00"/>
    <x v="3"/>
    <s v="Check out our latest carousel on twitter!"/>
    <n v="53"/>
    <n v="81"/>
    <n v="379"/>
    <n v="954"/>
    <n v="7"/>
    <n v="148"/>
    <x v="2"/>
    <s v="FSDUpdate"/>
    <n v="0.53773584905660377"/>
  </r>
  <r>
    <s v="P063"/>
    <x v="0"/>
    <d v="2024-07-31T00:00:00"/>
    <x v="3"/>
    <s v="Check out our latest carousel on twitter!"/>
    <n v="4507"/>
    <n v="217"/>
    <n v="13"/>
    <n v="90140"/>
    <n v="89591"/>
    <n v="125"/>
    <x v="0"/>
    <s v="FSDUpdate"/>
    <n v="5.2551586421122697E-2"/>
  </r>
  <r>
    <s v="P064"/>
    <x v="3"/>
    <d v="2024-08-17T00:00:00"/>
    <x v="4"/>
    <s v="Check out our latest image on facebook!"/>
    <n v="2878"/>
    <n v="248"/>
    <n v="416"/>
    <n v="43170"/>
    <n v="42667"/>
    <n v="75"/>
    <x v="0"/>
    <s v="FSDUpdate"/>
    <n v="8.2047718322909427E-2"/>
  </r>
  <r>
    <s v="P065"/>
    <x v="2"/>
    <d v="2025-03-28T00:00:00"/>
    <x v="2"/>
    <s v="Check out our latest story on instagram!"/>
    <n v="1881"/>
    <n v="501"/>
    <n v="99"/>
    <n v="20691"/>
    <n v="19987"/>
    <n v="289"/>
    <x v="4"/>
    <m/>
    <n v="0.11990720603160794"/>
  </r>
  <r>
    <s v="P066"/>
    <x v="0"/>
    <d v="2024-07-26T00:00:00"/>
    <x v="3"/>
    <s v="Check out our latest carousel on twitter!"/>
    <n v="432"/>
    <n v="171"/>
    <n v="280"/>
    <n v="3024"/>
    <n v="2285"/>
    <n v="184"/>
    <x v="4"/>
    <s v="CybertruckLaunch"/>
    <n v="0.29199735449735448"/>
  </r>
  <r>
    <s v="P067"/>
    <x v="3"/>
    <d v="2025-03-29T00:00:00"/>
    <x v="3"/>
    <s v="Check out our latest carousel on facebook!"/>
    <n v="4712"/>
    <n v="568"/>
    <n v="127"/>
    <n v="84816"/>
    <n v="84691"/>
    <n v="100"/>
    <x v="4"/>
    <s v="FSDUpdate"/>
    <n v="6.3749764195434822E-2"/>
  </r>
  <r>
    <s v="P068"/>
    <x v="2"/>
    <d v="2024-12-08T00:00:00"/>
    <x v="2"/>
    <s v="Check out our latest story on instagram!"/>
    <n v="2610"/>
    <n v="126"/>
    <n v="288"/>
    <n v="15660"/>
    <n v="15145"/>
    <n v="73"/>
    <x v="4"/>
    <m/>
    <n v="0.19310344827586207"/>
  </r>
  <r>
    <s v="P069"/>
    <x v="0"/>
    <d v="2025-03-08T00:00:00"/>
    <x v="1"/>
    <s v="Check out our latest text on twitter!"/>
    <n v="1292"/>
    <n v="626"/>
    <n v="496"/>
    <n v="25840"/>
    <n v="24916"/>
    <n v="149"/>
    <x v="0"/>
    <s v="FSDUpdate"/>
    <n v="9.3421052631578946E-2"/>
  </r>
  <r>
    <s v="P070"/>
    <x v="3"/>
    <d v="2025-04-02T00:00:00"/>
    <x v="5"/>
    <s v="Check out our latest video on facebook!"/>
    <n v="199"/>
    <n v="772"/>
    <n v="400"/>
    <n v="3582"/>
    <n v="2988"/>
    <n v="43"/>
    <x v="2"/>
    <m/>
    <n v="0.38274706867671693"/>
  </r>
  <r>
    <s v="P071"/>
    <x v="1"/>
    <d v="2024-09-02T00:00:00"/>
    <x v="3"/>
    <s v="Check out our latest carousel on youtube!"/>
    <n v="2551"/>
    <n v="915"/>
    <n v="205"/>
    <n v="30612"/>
    <n v="30360"/>
    <n v="227"/>
    <x v="2"/>
    <s v="ModelYCampaign"/>
    <n v="0.1199202926956749"/>
  </r>
  <r>
    <s v="P072"/>
    <x v="1"/>
    <d v="2025-03-03T00:00:00"/>
    <x v="0"/>
    <s v="Check out our latest reel on youtube!"/>
    <n v="296"/>
    <n v="60"/>
    <n v="141"/>
    <n v="5624"/>
    <n v="5239"/>
    <n v="88"/>
    <x v="4"/>
    <s v="ModelYCampaign"/>
    <n v="8.837126600284495E-2"/>
  </r>
  <r>
    <s v="P073"/>
    <x v="3"/>
    <d v="2024-10-18T00:00:00"/>
    <x v="2"/>
    <s v="Check out our latest story on facebook!"/>
    <n v="4126"/>
    <n v="426"/>
    <n v="486"/>
    <n v="78394"/>
    <n v="77798"/>
    <n v="88"/>
    <x v="0"/>
    <s v="SustainabilityDrive"/>
    <n v="6.4265122330790625E-2"/>
  </r>
  <r>
    <s v="P074"/>
    <x v="1"/>
    <d v="2024-10-28T00:00:00"/>
    <x v="0"/>
    <s v="Check out our latest reel on youtube!"/>
    <n v="1855"/>
    <n v="200"/>
    <n v="174"/>
    <n v="16695"/>
    <n v="16330"/>
    <n v="123"/>
    <x v="2"/>
    <s v="FSDUpdate"/>
    <n v="0.13351302785265048"/>
  </r>
  <r>
    <s v="P075"/>
    <x v="2"/>
    <d v="2024-08-01T00:00:00"/>
    <x v="0"/>
    <s v="Check out our latest reel on instagram!"/>
    <n v="1674"/>
    <n v="929"/>
    <n v="37"/>
    <n v="21762"/>
    <n v="20998"/>
    <n v="255"/>
    <x v="2"/>
    <s v="SustainabilityDrive"/>
    <n v="0.12131237937689551"/>
  </r>
  <r>
    <s v="P076"/>
    <x v="0"/>
    <d v="2024-11-07T00:00:00"/>
    <x v="2"/>
    <s v="Check out our latest story on twitter!"/>
    <n v="1121"/>
    <n v="135"/>
    <n v="18"/>
    <n v="15694"/>
    <n v="14957"/>
    <n v="99"/>
    <x v="2"/>
    <s v="SustainabilityDrive"/>
    <n v="8.1177520071364848E-2"/>
  </r>
  <r>
    <s v="P077"/>
    <x v="3"/>
    <d v="2025-03-04T00:00:00"/>
    <x v="2"/>
    <s v="Check out our latest story on facebook!"/>
    <n v="1249"/>
    <n v="116"/>
    <n v="420"/>
    <n v="8743"/>
    <n v="8538"/>
    <n v="63"/>
    <x v="2"/>
    <m/>
    <n v="0.20416333066453163"/>
  </r>
  <r>
    <s v="P078"/>
    <x v="0"/>
    <d v="2024-06-17T00:00:00"/>
    <x v="4"/>
    <s v="Check out our latest image on twitter!"/>
    <n v="954"/>
    <n v="324"/>
    <n v="288"/>
    <n v="19080"/>
    <n v="18859"/>
    <n v="21"/>
    <x v="0"/>
    <s v="SustainabilityDrive"/>
    <n v="8.2075471698113203E-2"/>
  </r>
  <r>
    <s v="P079"/>
    <x v="2"/>
    <d v="2024-10-09T00:00:00"/>
    <x v="3"/>
    <s v="Check out our latest carousel on instagram!"/>
    <n v="3068"/>
    <n v="137"/>
    <n v="329"/>
    <n v="39884"/>
    <n v="39404"/>
    <n v="266"/>
    <x v="4"/>
    <s v="ModelYCampaign"/>
    <n v="8.860696018453515E-2"/>
  </r>
  <r>
    <s v="P080"/>
    <x v="2"/>
    <d v="2024-06-13T00:00:00"/>
    <x v="2"/>
    <s v="Check out our latest story on instagram!"/>
    <n v="2103"/>
    <n v="892"/>
    <n v="103"/>
    <n v="39957"/>
    <n v="39466"/>
    <n v="28"/>
    <x v="0"/>
    <m/>
    <n v="7.7533348349475686E-2"/>
  </r>
  <r>
    <s v="P081"/>
    <x v="2"/>
    <d v="2024-10-19T00:00:00"/>
    <x v="2"/>
    <s v="Check out our latest story on instagram!"/>
    <n v="1816"/>
    <n v="29"/>
    <n v="41"/>
    <n v="19976"/>
    <n v="19262"/>
    <n v="283"/>
    <x v="2"/>
    <s v="FSDUpdate"/>
    <n v="9.4413295955146179E-2"/>
  </r>
  <r>
    <s v="P082"/>
    <x v="2"/>
    <d v="2024-07-24T00:00:00"/>
    <x v="4"/>
    <s v="Check out our latest image on instagram!"/>
    <n v="725"/>
    <n v="88"/>
    <n v="428"/>
    <n v="14500"/>
    <n v="13637"/>
    <n v="200"/>
    <x v="0"/>
    <s v="FSDUpdate"/>
    <n v="8.558620689655172E-2"/>
  </r>
  <r>
    <s v="P082"/>
    <x v="2"/>
    <d v="2024-07-24T00:00:00"/>
    <x v="4"/>
    <s v="Check out our latest image on instagram!"/>
    <n v="725"/>
    <n v="88"/>
    <n v="428"/>
    <n v="14500"/>
    <n v="13637"/>
    <n v="200"/>
    <x v="2"/>
    <s v="FSDUpdate"/>
    <n v="8.558620689655172E-2"/>
  </r>
  <r>
    <s v="P082"/>
    <x v="2"/>
    <d v="2024-07-24T00:00:00"/>
    <x v="4"/>
    <s v="Check out our latest image on instagram!"/>
    <n v="725"/>
    <n v="88"/>
    <n v="428"/>
    <n v="14500"/>
    <n v="13637"/>
    <n v="200"/>
    <x v="1"/>
    <s v="FSDUpdate"/>
    <n v="8.558620689655172E-2"/>
  </r>
  <r>
    <s v="P083"/>
    <x v="1"/>
    <d v="2024-10-15T00:00:00"/>
    <x v="5"/>
    <s v="Check out our latest video on youtube!"/>
    <n v="1094"/>
    <n v="472"/>
    <n v="21"/>
    <n v="9846"/>
    <n v="9609"/>
    <n v="112"/>
    <x v="4"/>
    <m/>
    <n v="0.16118220597196831"/>
  </r>
  <r>
    <s v="P084"/>
    <x v="3"/>
    <d v="2024-12-09T00:00:00"/>
    <x v="4"/>
    <s v="Check out our latest image on facebook!"/>
    <n v="1841"/>
    <n v="851"/>
    <n v="342"/>
    <n v="34979"/>
    <n v="34154"/>
    <n v="255"/>
    <x v="0"/>
    <s v="SustainabilityDrive"/>
    <n v="8.6737756939878216E-2"/>
  </r>
  <r>
    <s v="P085"/>
    <x v="2"/>
    <d v="2025-04-19T00:00:00"/>
    <x v="4"/>
    <s v="Check out our latest image on instagram!"/>
    <n v="4177"/>
    <n v="569"/>
    <n v="55"/>
    <n v="25062"/>
    <n v="24847"/>
    <n v="230"/>
    <x v="0"/>
    <s v="CybertruckLaunch"/>
    <n v="0.19156491900087783"/>
  </r>
  <r>
    <s v="P086"/>
    <x v="1"/>
    <d v="2025-01-27T00:00:00"/>
    <x v="1"/>
    <s v="Check out our latest text on youtube!"/>
    <n v="3428"/>
    <n v="305"/>
    <n v="85"/>
    <n v="58276"/>
    <n v="58052"/>
    <n v="242"/>
    <x v="4"/>
    <s v="SustainabilityDrive"/>
    <n v="6.5515821264328367E-2"/>
  </r>
  <r>
    <s v="P086"/>
    <x v="1"/>
    <d v="2025-01-27T00:00:00"/>
    <x v="1"/>
    <s v="Check out our latest text on youtube!"/>
    <n v="3428"/>
    <n v="305"/>
    <n v="85"/>
    <n v="58276"/>
    <n v="58052"/>
    <n v="242"/>
    <x v="3"/>
    <s v="SustainabilityDrive"/>
    <n v="6.5515821264328367E-2"/>
  </r>
  <r>
    <s v="P087"/>
    <x v="0"/>
    <d v="2024-06-06T00:00:00"/>
    <x v="5"/>
    <s v="Check out our latest video on twitter!"/>
    <n v="1436"/>
    <n v="765"/>
    <n v="496"/>
    <n v="12924"/>
    <n v="12701"/>
    <n v="197"/>
    <x v="0"/>
    <s v="FSDUpdate"/>
    <n v="0.20868152274837512"/>
  </r>
  <r>
    <s v="P088"/>
    <x v="3"/>
    <d v="2024-07-07T00:00:00"/>
    <x v="2"/>
    <s v="Check out our latest story on facebook!"/>
    <n v="302"/>
    <n v="47"/>
    <n v="430"/>
    <n v="5738"/>
    <n v="4890"/>
    <n v="25"/>
    <x v="2"/>
    <s v="SustainabilityDrive"/>
    <n v="0.13576158940397351"/>
  </r>
  <r>
    <s v="P089"/>
    <x v="0"/>
    <d v="2025-01-10T00:00:00"/>
    <x v="4"/>
    <s v="Check out our latest image on twitter!"/>
    <n v="2214"/>
    <n v="249"/>
    <n v="152"/>
    <n v="15498"/>
    <n v="14800"/>
    <n v="180"/>
    <x v="4"/>
    <m/>
    <n v="0.16873144921925409"/>
  </r>
  <r>
    <s v="P090"/>
    <x v="2"/>
    <d v="2024-06-03T00:00:00"/>
    <x v="4"/>
    <s v="Check out our latest image on instagram!"/>
    <n v="3861"/>
    <n v="960"/>
    <n v="101"/>
    <n v="69498"/>
    <n v="68817"/>
    <n v="297"/>
    <x v="2"/>
    <s v="SustainabilityDrive"/>
    <n v="7.0822181933293038E-2"/>
  </r>
  <r>
    <s v="P091"/>
    <x v="3"/>
    <d v="2025-03-24T00:00:00"/>
    <x v="4"/>
    <s v="Check out our latest image on facebook!"/>
    <n v="1263"/>
    <n v="397"/>
    <n v="357"/>
    <n v="25260"/>
    <n v="24615"/>
    <n v="137"/>
    <x v="4"/>
    <s v="SustainabilityDrive"/>
    <n v="7.984956452889945E-2"/>
  </r>
  <r>
    <s v="P092"/>
    <x v="0"/>
    <d v="2024-10-21T00:00:00"/>
    <x v="2"/>
    <s v="Check out our latest story on twitter!"/>
    <n v="3801"/>
    <n v="967"/>
    <n v="401"/>
    <n v="38010"/>
    <n v="37625"/>
    <n v="236"/>
    <x v="0"/>
    <s v="FSDUpdate"/>
    <n v="0.13599052880820836"/>
  </r>
  <r>
    <s v="P093"/>
    <x v="2"/>
    <d v="2024-12-11T00:00:00"/>
    <x v="5"/>
    <s v="Check out our latest video on instagram!"/>
    <n v="1431"/>
    <n v="951"/>
    <n v="26"/>
    <n v="8586"/>
    <n v="8396"/>
    <n v="150"/>
    <x v="4"/>
    <s v="FSDUpdate"/>
    <n v="0.28045655718611695"/>
  </r>
  <r>
    <s v="P094"/>
    <x v="2"/>
    <d v="2024-11-07T00:00:00"/>
    <x v="4"/>
    <s v="Check out our latest image on instagram!"/>
    <n v="2647"/>
    <n v="304"/>
    <n v="170"/>
    <n v="18529"/>
    <n v="17841"/>
    <n v="46"/>
    <x v="0"/>
    <s v="FSDUpdate"/>
    <n v="0.16843866371633656"/>
  </r>
  <r>
    <s v="P095"/>
    <x v="2"/>
    <d v="2024-11-08T00:00:00"/>
    <x v="1"/>
    <s v="Check out our latest text on instagram!"/>
    <n v="3182"/>
    <n v="559"/>
    <n v="160"/>
    <n v="57276"/>
    <n v="56890"/>
    <n v="163"/>
    <x v="0"/>
    <s v="SustainabilityDrive"/>
    <n v="6.8108806480899509E-2"/>
  </r>
  <r>
    <s v="P096"/>
    <x v="0"/>
    <d v="2024-09-10T00:00:00"/>
    <x v="4"/>
    <s v="Check out our latest image on twitter!"/>
    <n v="1238"/>
    <n v="366"/>
    <n v="444"/>
    <n v="19808"/>
    <n v="19334"/>
    <n v="123"/>
    <x v="0"/>
    <m/>
    <n v="0.10339256865912763"/>
  </r>
  <r>
    <s v="P097"/>
    <x v="2"/>
    <d v="2024-08-13T00:00:00"/>
    <x v="4"/>
    <s v="Check out our latest image on instagram!"/>
    <n v="4739"/>
    <n v="527"/>
    <n v="135"/>
    <n v="61607"/>
    <n v="61333"/>
    <n v="36"/>
    <x v="2"/>
    <s v="ModelYCampaign"/>
    <n v="8.7668609086629767E-2"/>
  </r>
  <r>
    <s v="P097"/>
    <x v="2"/>
    <d v="2024-08-13T00:00:00"/>
    <x v="4"/>
    <s v="Check out our latest image on instagram!"/>
    <n v="4739"/>
    <n v="527"/>
    <n v="135"/>
    <n v="61607"/>
    <n v="61333"/>
    <n v="36"/>
    <x v="1"/>
    <s v="ModelYCampaign"/>
    <n v="8.7668609086629767E-2"/>
  </r>
  <r>
    <s v="P098"/>
    <x v="0"/>
    <d v="2024-06-10T00:00:00"/>
    <x v="2"/>
    <s v="Check out our latest story on twitter!"/>
    <n v="1575"/>
    <n v="771"/>
    <n v="486"/>
    <n v="25200"/>
    <n v="24826"/>
    <n v="17"/>
    <x v="0"/>
    <s v="SustainabilityDrive"/>
    <n v="0.11238095238095239"/>
  </r>
  <r>
    <s v="P099"/>
    <x v="1"/>
    <d v="2024-07-02T00:00:00"/>
    <x v="3"/>
    <s v="Check out our latest carousel on youtube!"/>
    <n v="4171"/>
    <n v="548"/>
    <n v="86"/>
    <n v="66736"/>
    <n v="66634"/>
    <n v="173"/>
    <x v="0"/>
    <s v="FSDUpdate"/>
    <n v="7.2000119875329657E-2"/>
  </r>
  <r>
    <s v="P100"/>
    <x v="1"/>
    <d v="2025-02-10T00:00:00"/>
    <x v="5"/>
    <s v="Check out our latest video on youtube!"/>
    <n v="1766"/>
    <n v="92"/>
    <n v="424"/>
    <n v="24724"/>
    <n v="24333"/>
    <n v="52"/>
    <x v="4"/>
    <m/>
    <n v="9.2298980747451867E-2"/>
  </r>
  <r>
    <s v="P101"/>
    <x v="1"/>
    <d v="2024-10-18T00:00:00"/>
    <x v="5"/>
    <s v="Check out our latest video on youtube!"/>
    <n v="4450"/>
    <n v="983"/>
    <n v="143"/>
    <n v="75650"/>
    <n v="75008"/>
    <n v="12"/>
    <x v="0"/>
    <s v="FSDUpdate"/>
    <n v="7.3707865168539333E-2"/>
  </r>
  <r>
    <s v="P102"/>
    <x v="0"/>
    <d v="2024-09-18T00:00:00"/>
    <x v="0"/>
    <s v="Check out our latest reel on twitter!"/>
    <n v="1000"/>
    <n v="978"/>
    <n v="162"/>
    <n v="6000"/>
    <n v="5221"/>
    <n v="223"/>
    <x v="4"/>
    <s v="ModelYCampaign"/>
    <n v="0.35666666666666669"/>
  </r>
  <r>
    <s v="P103"/>
    <x v="3"/>
    <d v="2024-06-11T00:00:00"/>
    <x v="4"/>
    <s v="Check out our latest image on facebook!"/>
    <n v="3689"/>
    <n v="48"/>
    <n v="306"/>
    <n v="40579"/>
    <n v="39588"/>
    <n v="212"/>
    <x v="4"/>
    <s v="ModelYCampaign"/>
    <n v="9.9632815002833983E-2"/>
  </r>
  <r>
    <s v="P104"/>
    <x v="1"/>
    <d v="2025-03-23T00:00:00"/>
    <x v="2"/>
    <s v="Check out our latest story on youtube!"/>
    <n v="3655"/>
    <n v="568"/>
    <n v="286"/>
    <n v="32895"/>
    <n v="32015"/>
    <n v="199"/>
    <x v="2"/>
    <s v="FSDUpdate"/>
    <n v="0.13707250341997265"/>
  </r>
  <r>
    <s v="P105"/>
    <x v="2"/>
    <d v="2024-06-14T00:00:00"/>
    <x v="3"/>
    <s v="Check out our latest carousel on instagram!"/>
    <n v="498"/>
    <n v="38"/>
    <n v="42"/>
    <n v="4482"/>
    <n v="3647"/>
    <n v="32"/>
    <x v="0"/>
    <s v="CybertruckLaunch"/>
    <n v="0.12896028558679162"/>
  </r>
  <r>
    <s v="P106"/>
    <x v="2"/>
    <d v="2025-02-04T00:00:00"/>
    <x v="4"/>
    <s v="Check out our latest image on instagram!"/>
    <n v="4619"/>
    <n v="821"/>
    <n v="499"/>
    <n v="69285"/>
    <n v="69141"/>
    <n v="298"/>
    <x v="2"/>
    <s v="SustainabilityDrive"/>
    <n v="8.5718409468138843E-2"/>
  </r>
  <r>
    <s v="P107"/>
    <x v="1"/>
    <d v="2024-06-21T00:00:00"/>
    <x v="4"/>
    <s v="Check out our latest image on youtube!"/>
    <n v="4832"/>
    <n v="893"/>
    <n v="10"/>
    <n v="91808"/>
    <n v="91296"/>
    <n v="182"/>
    <x v="2"/>
    <m/>
    <n v="6.2467323109097243E-2"/>
  </r>
  <r>
    <s v="P108"/>
    <x v="0"/>
    <d v="2025-03-25T00:00:00"/>
    <x v="5"/>
    <s v="Check out our latest video on twitter!"/>
    <n v="4050"/>
    <n v="871"/>
    <n v="347"/>
    <n v="52650"/>
    <n v="51755"/>
    <n v="209"/>
    <x v="2"/>
    <s v="ModelYCampaign"/>
    <n v="0.10005698005698006"/>
  </r>
  <r>
    <s v="P109"/>
    <x v="0"/>
    <d v="2024-08-08T00:00:00"/>
    <x v="2"/>
    <s v="Check out our latest story on twitter!"/>
    <n v="3649"/>
    <n v="215"/>
    <n v="413"/>
    <n v="25543"/>
    <n v="24963"/>
    <n v="167"/>
    <x v="0"/>
    <s v="FSDUpdate"/>
    <n v="0.16744313510550835"/>
  </r>
  <r>
    <s v="P110"/>
    <x v="2"/>
    <d v="2024-07-29T00:00:00"/>
    <x v="0"/>
    <s v="Check out our latest reel on instagram!"/>
    <n v="3523"/>
    <n v="753"/>
    <n v="482"/>
    <n v="38753"/>
    <n v="38579"/>
    <n v="270"/>
    <x v="4"/>
    <s v="ModelYCampaign"/>
    <n v="0.12277759141227776"/>
  </r>
  <r>
    <s v="P111"/>
    <x v="1"/>
    <d v="2024-11-23T00:00:00"/>
    <x v="4"/>
    <s v="Check out our latest image on youtube!"/>
    <n v="2719"/>
    <n v="17"/>
    <n v="285"/>
    <n v="40785"/>
    <n v="40281"/>
    <n v="40"/>
    <x v="2"/>
    <s v="ModelYCampaign"/>
    <n v="7.4071349760941527E-2"/>
  </r>
  <r>
    <s v="P112"/>
    <x v="0"/>
    <d v="2024-10-05T00:00:00"/>
    <x v="2"/>
    <s v="Check out our latest story on twitter!"/>
    <n v="1957"/>
    <n v="877"/>
    <n v="238"/>
    <n v="17613"/>
    <n v="16865"/>
    <n v="297"/>
    <x v="0"/>
    <s v="FSDUpdate"/>
    <n v="0.17441662408448305"/>
  </r>
  <r>
    <s v="P113"/>
    <x v="0"/>
    <d v="2024-10-02T00:00:00"/>
    <x v="3"/>
    <s v="Check out our latest carousel on twitter!"/>
    <n v="4419"/>
    <n v="236"/>
    <n v="369"/>
    <n v="44190"/>
    <n v="43582"/>
    <n v="10"/>
    <x v="4"/>
    <s v="CybertruckLaunch"/>
    <n v="0.11369088028965829"/>
  </r>
  <r>
    <s v="P114"/>
    <x v="0"/>
    <d v="2024-11-14T00:00:00"/>
    <x v="2"/>
    <s v="Check out our latest story on twitter!"/>
    <n v="4000"/>
    <n v="689"/>
    <n v="488"/>
    <n v="40000"/>
    <n v="39569"/>
    <n v="44"/>
    <x v="0"/>
    <s v="CybertruckLaunch"/>
    <n v="0.12942500000000001"/>
  </r>
  <r>
    <s v="P115"/>
    <x v="0"/>
    <d v="2025-05-11T00:00:00"/>
    <x v="4"/>
    <s v="Check out our latest image on twitter!"/>
    <n v="2493"/>
    <n v="97"/>
    <n v="44"/>
    <n v="42381"/>
    <n v="41991"/>
    <n v="242"/>
    <x v="2"/>
    <s v="SustainabilityDrive"/>
    <n v="6.2150491965739366E-2"/>
  </r>
  <r>
    <s v="P115"/>
    <x v="0"/>
    <d v="2025-05-11T00:00:00"/>
    <x v="4"/>
    <s v="Check out our latest image on twitter!"/>
    <n v="2493"/>
    <n v="97"/>
    <n v="44"/>
    <n v="42381"/>
    <n v="41991"/>
    <n v="242"/>
    <x v="1"/>
    <s v="SustainabilityDrive"/>
    <n v="6.2150491965739366E-2"/>
  </r>
  <r>
    <s v="P116"/>
    <x v="1"/>
    <d v="2025-03-18T00:00:00"/>
    <x v="0"/>
    <s v="Check out our latest reel on youtube!"/>
    <n v="3704"/>
    <n v="186"/>
    <n v="458"/>
    <n v="25928"/>
    <n v="25081"/>
    <n v="131"/>
    <x v="2"/>
    <m/>
    <n v="0.16769515581610614"/>
  </r>
  <r>
    <s v="P117"/>
    <x v="0"/>
    <d v="2024-11-04T00:00:00"/>
    <x v="4"/>
    <s v="Check out our latest image on twitter!"/>
    <n v="1606"/>
    <n v="451"/>
    <n v="405"/>
    <n v="20878"/>
    <n v="20190"/>
    <n v="219"/>
    <x v="4"/>
    <s v="SustainabilityDrive"/>
    <n v="0.11792317271769326"/>
  </r>
  <r>
    <s v="P118"/>
    <x v="3"/>
    <d v="2024-11-04T00:00:00"/>
    <x v="4"/>
    <s v="Check out our latest image on facebook!"/>
    <n v="4551"/>
    <n v="714"/>
    <n v="207"/>
    <n v="68265"/>
    <n v="67754"/>
    <n v="57"/>
    <x v="0"/>
    <s v="FSDUpdate"/>
    <n v="8.0158206987475278E-2"/>
  </r>
  <r>
    <s v="P119"/>
    <x v="2"/>
    <d v="2025-02-07T00:00:00"/>
    <x v="0"/>
    <s v="Check out our latest reel on instagram!"/>
    <n v="1970"/>
    <n v="675"/>
    <n v="478"/>
    <n v="9850"/>
    <n v="8924"/>
    <n v="117"/>
    <x v="0"/>
    <m/>
    <n v="0.31705583756345179"/>
  </r>
  <r>
    <s v="P120"/>
    <x v="3"/>
    <d v="2024-10-21T00:00:00"/>
    <x v="2"/>
    <s v="Check out our latest story on facebook!"/>
    <n v="780"/>
    <n v="928"/>
    <n v="301"/>
    <n v="8580"/>
    <n v="8081"/>
    <n v="91"/>
    <x v="4"/>
    <s v="FSDUpdate"/>
    <n v="0.23414918414918415"/>
  </r>
  <r>
    <s v="P121"/>
    <x v="2"/>
    <d v="2024-07-29T00:00:00"/>
    <x v="2"/>
    <s v="Check out our latest story on instagram!"/>
    <n v="498"/>
    <n v="701"/>
    <n v="412"/>
    <n v="4980"/>
    <n v="4185"/>
    <n v="185"/>
    <x v="0"/>
    <m/>
    <n v="0.32349397590361445"/>
  </r>
  <r>
    <s v="P122"/>
    <x v="2"/>
    <d v="2024-10-02T00:00:00"/>
    <x v="1"/>
    <s v="Check out our latest text on instagram!"/>
    <n v="3432"/>
    <n v="869"/>
    <n v="123"/>
    <n v="54912"/>
    <n v="53916"/>
    <n v="264"/>
    <x v="4"/>
    <s v="ModelYCampaign"/>
    <n v="8.0565268065268064E-2"/>
  </r>
  <r>
    <s v="P123"/>
    <x v="2"/>
    <d v="2024-06-14T00:00:00"/>
    <x v="2"/>
    <s v="Check out our latest story on instagram!"/>
    <n v="4363"/>
    <n v="649"/>
    <n v="140"/>
    <n v="21815"/>
    <n v="21481"/>
    <n v="157"/>
    <x v="4"/>
    <s v="CybertruckLaunch"/>
    <n v="0.23616777446710979"/>
  </r>
  <r>
    <s v="P124"/>
    <x v="1"/>
    <d v="2025-04-06T00:00:00"/>
    <x v="3"/>
    <s v="Check out our latest carousel on youtube!"/>
    <n v="736"/>
    <n v="771"/>
    <n v="225"/>
    <n v="5152"/>
    <n v="4706"/>
    <n v="19"/>
    <x v="4"/>
    <s v="CybertruckLaunch"/>
    <n v="0.33618012422360249"/>
  </r>
  <r>
    <s v="P125"/>
    <x v="0"/>
    <d v="2024-09-08T00:00:00"/>
    <x v="3"/>
    <s v="Check out our latest carousel on twitter!"/>
    <n v="3811"/>
    <n v="866"/>
    <n v="216"/>
    <n v="34299"/>
    <n v="34088"/>
    <n v="233"/>
    <x v="2"/>
    <s v="SustainabilityDrive"/>
    <n v="0.14265722032712325"/>
  </r>
  <r>
    <s v="P126"/>
    <x v="2"/>
    <d v="2025-03-28T00:00:00"/>
    <x v="3"/>
    <s v="Check out our latest carousel on instagram!"/>
    <n v="4158"/>
    <n v="167"/>
    <n v="241"/>
    <n v="45738"/>
    <n v="45183"/>
    <n v="142"/>
    <x v="0"/>
    <m/>
    <n v="9.9829463465827106E-2"/>
  </r>
  <r>
    <s v="P127"/>
    <x v="3"/>
    <d v="2025-01-27T00:00:00"/>
    <x v="0"/>
    <s v="Check out our latest reel on facebook!"/>
    <n v="3452"/>
    <n v="652"/>
    <n v="442"/>
    <n v="65588"/>
    <n v="65049"/>
    <n v="158"/>
    <x v="0"/>
    <s v="FSDUpdate"/>
    <n v="6.9311459413307311E-2"/>
  </r>
  <r>
    <s v="P128"/>
    <x v="0"/>
    <d v="2025-01-10T00:00:00"/>
    <x v="4"/>
    <s v="Check out our latest image on twitter!"/>
    <n v="3092"/>
    <n v="106"/>
    <n v="291"/>
    <n v="27828"/>
    <n v="27217"/>
    <n v="102"/>
    <x v="0"/>
    <m/>
    <n v="0.12537731780940059"/>
  </r>
  <r>
    <s v="P129"/>
    <x v="0"/>
    <d v="2024-07-21T00:00:00"/>
    <x v="1"/>
    <s v="Check out our latest text on twitter!"/>
    <n v="2147"/>
    <n v="430"/>
    <n v="393"/>
    <n v="17176"/>
    <n v="16483"/>
    <n v="170"/>
    <x v="2"/>
    <m/>
    <n v="0.17291569632044715"/>
  </r>
  <r>
    <s v="P130"/>
    <x v="1"/>
    <d v="2024-09-29T00:00:00"/>
    <x v="0"/>
    <s v="Check out our latest reel on youtube!"/>
    <n v="2936"/>
    <n v="439"/>
    <n v="44"/>
    <n v="38168"/>
    <n v="37571"/>
    <n v="22"/>
    <x v="4"/>
    <s v="SustainabilityDrive"/>
    <n v="8.9577656675749323E-2"/>
  </r>
  <r>
    <s v="P131"/>
    <x v="2"/>
    <d v="2024-10-21T00:00:00"/>
    <x v="0"/>
    <s v="Check out our latest reel on instagram!"/>
    <n v="4840"/>
    <n v="658"/>
    <n v="211"/>
    <n v="43560"/>
    <n v="43225"/>
    <n v="57"/>
    <x v="0"/>
    <s v="FSDUpdate"/>
    <n v="0.13106060606060607"/>
  </r>
  <r>
    <s v="P132"/>
    <x v="2"/>
    <d v="2025-03-04T00:00:00"/>
    <x v="2"/>
    <s v="Check out our latest story on instagram!"/>
    <n v="1947"/>
    <n v="842"/>
    <n v="101"/>
    <n v="21417"/>
    <n v="20967"/>
    <n v="186"/>
    <x v="0"/>
    <s v="ModelYCampaign"/>
    <n v="0.13493953401503478"/>
  </r>
  <r>
    <s v="P133"/>
    <x v="3"/>
    <d v="2025-02-06T00:00:00"/>
    <x v="4"/>
    <s v="Check out our latest image on facebook!"/>
    <n v="2072"/>
    <n v="532"/>
    <n v="71"/>
    <n v="37296"/>
    <n v="36467"/>
    <n v="25"/>
    <x v="2"/>
    <s v="SustainabilityDrive"/>
    <n v="7.172350922350923E-2"/>
  </r>
  <r>
    <s v="P134"/>
    <x v="0"/>
    <d v="2025-04-24T00:00:00"/>
    <x v="0"/>
    <s v="Check out our latest reel on twitter!"/>
    <n v="3731"/>
    <n v="115"/>
    <n v="135"/>
    <n v="55965"/>
    <n v="55436"/>
    <n v="103"/>
    <x v="2"/>
    <s v="CybertruckLaunch"/>
    <n v="7.1133744304476013E-2"/>
  </r>
  <r>
    <s v="P135"/>
    <x v="3"/>
    <d v="2024-11-28T00:00:00"/>
    <x v="1"/>
    <s v="Check out our latest text on facebook!"/>
    <n v="4213"/>
    <n v="253"/>
    <n v="434"/>
    <n v="75834"/>
    <n v="75437"/>
    <n v="272"/>
    <x v="0"/>
    <s v="SustainabilityDrive"/>
    <n v="6.461481657304112E-2"/>
  </r>
  <r>
    <s v="P136"/>
    <x v="2"/>
    <d v="2024-07-11T00:00:00"/>
    <x v="1"/>
    <s v="Check out our latest text on instagram!"/>
    <n v="3134"/>
    <n v="888"/>
    <n v="444"/>
    <n v="21938"/>
    <n v="21337"/>
    <n v="130"/>
    <x v="4"/>
    <s v="SustainabilityDrive"/>
    <n v="0.20357370772176134"/>
  </r>
  <r>
    <s v="P137"/>
    <x v="3"/>
    <d v="2024-07-31T00:00:00"/>
    <x v="5"/>
    <s v="Check out our latest video on facebook!"/>
    <n v="3008"/>
    <n v="94"/>
    <n v="37"/>
    <n v="15040"/>
    <n v="14639"/>
    <n v="277"/>
    <x v="0"/>
    <m/>
    <n v="0.20871010638297871"/>
  </r>
  <r>
    <s v="P138"/>
    <x v="0"/>
    <d v="2025-03-29T00:00:00"/>
    <x v="4"/>
    <s v="Check out our latest image on twitter!"/>
    <n v="305"/>
    <n v="187"/>
    <n v="243"/>
    <n v="4575"/>
    <n v="3704"/>
    <n v="234"/>
    <x v="0"/>
    <s v="FSDUpdate"/>
    <n v="0.16065573770491803"/>
  </r>
  <r>
    <s v="P139"/>
    <x v="1"/>
    <d v="2024-10-29T00:00:00"/>
    <x v="1"/>
    <s v="Check out our latest text on youtube!"/>
    <n v="2746"/>
    <n v="156"/>
    <n v="203"/>
    <n v="32952"/>
    <n v="32147"/>
    <n v="147"/>
    <x v="4"/>
    <s v="CybertruckLaunch"/>
    <n v="9.422796795338674E-2"/>
  </r>
  <r>
    <s v="P140"/>
    <x v="3"/>
    <d v="2024-07-15T00:00:00"/>
    <x v="4"/>
    <s v="Check out our latest image on facebook!"/>
    <n v="2291"/>
    <n v="78"/>
    <n v="485"/>
    <n v="18328"/>
    <n v="18101"/>
    <n v="10"/>
    <x v="4"/>
    <s v="ModelYCampaign"/>
    <n v="0.15571802706241816"/>
  </r>
  <r>
    <s v="P140"/>
    <x v="3"/>
    <d v="2024-07-15T00:00:00"/>
    <x v="4"/>
    <s v="Check out our latest image on facebook!"/>
    <n v="2291"/>
    <n v="78"/>
    <n v="485"/>
    <n v="18328"/>
    <n v="18101"/>
    <n v="10"/>
    <x v="5"/>
    <s v="ModelYCampaign"/>
    <n v="0.15571802706241816"/>
  </r>
  <r>
    <s v="P141"/>
    <x v="0"/>
    <d v="2024-08-31T00:00:00"/>
    <x v="4"/>
    <s v="Check out our latest image on twitter!"/>
    <n v="3170"/>
    <n v="857"/>
    <n v="379"/>
    <n v="19020"/>
    <n v="18559"/>
    <n v="240"/>
    <x v="0"/>
    <m/>
    <n v="0.2316508937960042"/>
  </r>
  <r>
    <s v="P142"/>
    <x v="1"/>
    <d v="2025-03-25T00:00:00"/>
    <x v="2"/>
    <s v="Check out our latest story on youtube!"/>
    <n v="2070"/>
    <n v="275"/>
    <n v="386"/>
    <n v="39330"/>
    <n v="38627"/>
    <n v="114"/>
    <x v="0"/>
    <s v="SustainabilityDrive"/>
    <n v="6.9438087973557078E-2"/>
  </r>
  <r>
    <s v="P143"/>
    <x v="1"/>
    <d v="2024-10-02T00:00:00"/>
    <x v="3"/>
    <s v="Check out our latest carousel on youtube!"/>
    <n v="80"/>
    <n v="362"/>
    <n v="80"/>
    <n v="1040"/>
    <n v="349"/>
    <n v="117"/>
    <x v="2"/>
    <s v="FSDUpdate"/>
    <n v="0.50192307692307692"/>
  </r>
  <r>
    <s v="P144"/>
    <x v="1"/>
    <d v="2024-10-28T00:00:00"/>
    <x v="2"/>
    <s v="Check out our latest story on youtube!"/>
    <n v="4929"/>
    <n v="749"/>
    <n v="452"/>
    <n v="93651"/>
    <n v="92810"/>
    <n v="66"/>
    <x v="4"/>
    <s v="SustainabilityDrive"/>
    <n v="6.5455787978772245E-2"/>
  </r>
  <r>
    <s v="P145"/>
    <x v="2"/>
    <d v="2024-08-12T00:00:00"/>
    <x v="3"/>
    <s v="Check out our latest carousel on instagram!"/>
    <n v="1878"/>
    <n v="62"/>
    <n v="179"/>
    <n v="37560"/>
    <n v="36874"/>
    <n v="142"/>
    <x v="2"/>
    <s v="SustainabilityDrive"/>
    <n v="5.6416400425985093E-2"/>
  </r>
  <r>
    <s v="P146"/>
    <x v="1"/>
    <d v="2024-06-05T00:00:00"/>
    <x v="0"/>
    <s v="Check out our latest reel on youtube!"/>
    <n v="3065"/>
    <n v="772"/>
    <n v="142"/>
    <n v="18390"/>
    <n v="17875"/>
    <n v="200"/>
    <x v="4"/>
    <m/>
    <n v="0.21636759108210984"/>
  </r>
  <r>
    <s v="P146"/>
    <x v="1"/>
    <d v="2024-06-05T00:00:00"/>
    <x v="0"/>
    <s v="Check out our latest reel on youtube!"/>
    <n v="3065"/>
    <n v="772"/>
    <n v="142"/>
    <n v="18390"/>
    <n v="17875"/>
    <n v="200"/>
    <x v="1"/>
    <m/>
    <n v="0.21636759108210984"/>
  </r>
  <r>
    <s v="P147"/>
    <x v="2"/>
    <d v="2024-10-21T00:00:00"/>
    <x v="0"/>
    <s v="Check out our latest reel on instagram!"/>
    <n v="3256"/>
    <n v="459"/>
    <n v="266"/>
    <n v="26048"/>
    <n v="25529"/>
    <n v="143"/>
    <x v="2"/>
    <s v="ModelYCampaign"/>
    <n v="0.15283323095823095"/>
  </r>
  <r>
    <s v="P148"/>
    <x v="2"/>
    <d v="2025-04-15T00:00:00"/>
    <x v="5"/>
    <s v="Check out our latest video on instagram!"/>
    <n v="4133"/>
    <n v="466"/>
    <n v="327"/>
    <n v="24798"/>
    <n v="24620"/>
    <n v="176"/>
    <x v="4"/>
    <s v="SustainabilityDrive"/>
    <n v="0.19864505202032423"/>
  </r>
  <r>
    <s v="P149"/>
    <x v="0"/>
    <d v="2024-06-16T00:00:00"/>
    <x v="5"/>
    <s v="Check out our latest video on twitter!"/>
    <n v="1702"/>
    <n v="750"/>
    <n v="179"/>
    <n v="34040"/>
    <n v="33174"/>
    <n v="76"/>
    <x v="4"/>
    <s v="CybertruckLaunch"/>
    <n v="7.7291421856639245E-2"/>
  </r>
  <r>
    <s v="P150"/>
    <x v="1"/>
    <d v="2024-08-22T00:00:00"/>
    <x v="3"/>
    <s v="Check out our latest carousel on youtube!"/>
    <n v="4295"/>
    <n v="853"/>
    <n v="325"/>
    <n v="85900"/>
    <n v="85788"/>
    <n v="290"/>
    <x v="2"/>
    <s v="SustainabilityDrive"/>
    <n v="6.3713620488940623E-2"/>
  </r>
  <r>
    <s v="P151"/>
    <x v="2"/>
    <d v="2024-07-26T00:00:00"/>
    <x v="4"/>
    <s v="Check out our latest image on instagram!"/>
    <n v="3559"/>
    <n v="59"/>
    <n v="289"/>
    <n v="35590"/>
    <n v="35105"/>
    <n v="122"/>
    <x v="4"/>
    <s v="CybertruckLaunch"/>
    <n v="0.10977802753582468"/>
  </r>
  <r>
    <s v="P152"/>
    <x v="3"/>
    <d v="2025-04-22T00:00:00"/>
    <x v="4"/>
    <s v="Check out our latest image on facebook!"/>
    <n v="4804"/>
    <n v="550"/>
    <n v="270"/>
    <n v="28824"/>
    <n v="28370"/>
    <n v="47"/>
    <x v="4"/>
    <s v="SustainabilityDrive"/>
    <n v="0.19511518179295032"/>
  </r>
  <r>
    <s v="P153"/>
    <x v="0"/>
    <d v="2025-01-01T00:00:00"/>
    <x v="5"/>
    <s v="Check out our latest video on twitter!"/>
    <n v="754"/>
    <n v="197"/>
    <n v="257"/>
    <n v="6786"/>
    <n v="6221"/>
    <n v="212"/>
    <x v="2"/>
    <s v="FSDUpdate"/>
    <n v="0.17801355732390214"/>
  </r>
  <r>
    <s v="P154"/>
    <x v="2"/>
    <d v="2024-10-09T00:00:00"/>
    <x v="3"/>
    <s v="Check out our latest carousel on instagram!"/>
    <n v="985"/>
    <n v="932"/>
    <n v="287"/>
    <n v="6895"/>
    <n v="6757"/>
    <n v="64"/>
    <x v="0"/>
    <s v="SustainabilityDrive"/>
    <n v="0.31965192168237855"/>
  </r>
  <r>
    <s v="P155"/>
    <x v="1"/>
    <d v="2024-12-21T00:00:00"/>
    <x v="4"/>
    <s v="Check out our latest image on youtube!"/>
    <n v="2283"/>
    <n v="210"/>
    <n v="130"/>
    <n v="22830"/>
    <n v="22617"/>
    <n v="143"/>
    <x v="0"/>
    <s v="ModelYCampaign"/>
    <n v="0.11489268506351293"/>
  </r>
  <r>
    <s v="P156"/>
    <x v="3"/>
    <d v="2024-10-22T00:00:00"/>
    <x v="3"/>
    <s v="Check out our latest carousel on facebook!"/>
    <n v="3352"/>
    <n v="941"/>
    <n v="482"/>
    <n v="43576"/>
    <n v="43338"/>
    <n v="240"/>
    <x v="0"/>
    <s v="ModelYCampaign"/>
    <n v="0.1095786671562328"/>
  </r>
  <r>
    <s v="P157"/>
    <x v="1"/>
    <d v="2024-07-23T00:00:00"/>
    <x v="2"/>
    <s v="Check out our latest story on youtube!"/>
    <n v="4775"/>
    <n v="173"/>
    <n v="206"/>
    <n v="47750"/>
    <n v="47544"/>
    <n v="187"/>
    <x v="0"/>
    <s v="ModelYCampaign"/>
    <n v="0.10793717277486911"/>
  </r>
  <r>
    <s v="P158"/>
    <x v="2"/>
    <d v="2024-08-11T00:00:00"/>
    <x v="2"/>
    <s v="Check out our latest story on instagram!"/>
    <n v="1762"/>
    <n v="405"/>
    <n v="423"/>
    <n v="22906"/>
    <n v="21925"/>
    <n v="25"/>
    <x v="2"/>
    <s v="CybertruckLaunch"/>
    <n v="0.11307081114118571"/>
  </r>
  <r>
    <s v="P159"/>
    <x v="3"/>
    <d v="2024-11-25T00:00:00"/>
    <x v="2"/>
    <s v="Check out our latest story on facebook!"/>
    <n v="2120"/>
    <n v="158"/>
    <n v="488"/>
    <n v="12720"/>
    <n v="12085"/>
    <n v="17"/>
    <x v="0"/>
    <s v="ModelYCampaign"/>
    <n v="0.21745283018867925"/>
  </r>
  <r>
    <s v="P160"/>
    <x v="0"/>
    <d v="2024-08-24T00:00:00"/>
    <x v="5"/>
    <s v="Check out our latest video on twitter!"/>
    <n v="1082"/>
    <n v="209"/>
    <n v="484"/>
    <n v="19476"/>
    <n v="18654"/>
    <n v="20"/>
    <x v="2"/>
    <m/>
    <n v="9.1137810638734856E-2"/>
  </r>
  <r>
    <s v="P161"/>
    <x v="0"/>
    <d v="2025-02-19T00:00:00"/>
    <x v="1"/>
    <s v="Check out our latest text on twitter!"/>
    <n v="4671"/>
    <n v="876"/>
    <n v="366"/>
    <n v="51381"/>
    <n v="50565"/>
    <n v="245"/>
    <x v="2"/>
    <s v="SustainabilityDrive"/>
    <n v="0.11508145034156594"/>
  </r>
  <r>
    <s v="P162"/>
    <x v="3"/>
    <d v="2025-04-01T00:00:00"/>
    <x v="2"/>
    <s v="Check out our latest story on facebook!"/>
    <n v="3430"/>
    <n v="566"/>
    <n v="164"/>
    <n v="48020"/>
    <n v="47305"/>
    <n v="120"/>
    <x v="0"/>
    <m/>
    <n v="8.6630570595585168E-2"/>
  </r>
  <r>
    <s v="P163"/>
    <x v="2"/>
    <d v="2025-04-08T00:00:00"/>
    <x v="4"/>
    <s v="Check out our latest image on instagram!"/>
    <n v="4501"/>
    <n v="375"/>
    <n v="323"/>
    <n v="22505"/>
    <n v="21836"/>
    <n v="132"/>
    <x v="2"/>
    <s v="ModelYCampaign"/>
    <n v="0.23101532992668297"/>
  </r>
  <r>
    <s v="P164"/>
    <x v="1"/>
    <d v="2025-02-27T00:00:00"/>
    <x v="1"/>
    <s v="Check out our latest text on youtube!"/>
    <n v="4934"/>
    <n v="971"/>
    <n v="156"/>
    <n v="39472"/>
    <n v="39025"/>
    <n v="169"/>
    <x v="2"/>
    <s v="SustainabilityDrive"/>
    <n v="0.15355188488042157"/>
  </r>
  <r>
    <s v="P164"/>
    <x v="1"/>
    <d v="2025-02-27T00:00:00"/>
    <x v="1"/>
    <s v="Check out our latest text on youtube!"/>
    <n v="4934"/>
    <n v="971"/>
    <n v="156"/>
    <n v="39472"/>
    <n v="39025"/>
    <n v="169"/>
    <x v="1"/>
    <s v="SustainabilityDrive"/>
    <n v="0.15355188488042157"/>
  </r>
  <r>
    <s v="P165"/>
    <x v="0"/>
    <d v="2024-12-11T00:00:00"/>
    <x v="1"/>
    <s v="Check out our latest text on twitter!"/>
    <n v="3239"/>
    <n v="43"/>
    <n v="211"/>
    <n v="22673"/>
    <n v="22171"/>
    <n v="230"/>
    <x v="2"/>
    <s v="ModelYCampaign"/>
    <n v="0.15405989502933004"/>
  </r>
  <r>
    <s v="P166"/>
    <x v="0"/>
    <d v="2025-02-16T00:00:00"/>
    <x v="0"/>
    <s v="Check out our latest reel on twitter!"/>
    <n v="1076"/>
    <n v="313"/>
    <n v="306"/>
    <n v="11836"/>
    <n v="11596"/>
    <n v="104"/>
    <x v="0"/>
    <s v="CybertruckLaunch"/>
    <n v="0.14320716458262928"/>
  </r>
  <r>
    <s v="P167"/>
    <x v="2"/>
    <d v="2024-11-28T00:00:00"/>
    <x v="1"/>
    <s v="Check out our latest text on instagram!"/>
    <n v="4771"/>
    <n v="818"/>
    <n v="56"/>
    <n v="57252"/>
    <n v="56378"/>
    <n v="150"/>
    <x v="0"/>
    <m/>
    <n v="9.859917557465242E-2"/>
  </r>
  <r>
    <s v="P168"/>
    <x v="3"/>
    <d v="2024-11-12T00:00:00"/>
    <x v="1"/>
    <s v="Check out our latest text on facebook!"/>
    <n v="2418"/>
    <n v="754"/>
    <n v="54"/>
    <n v="43524"/>
    <n v="42743"/>
    <n v="182"/>
    <x v="4"/>
    <s v="CybertruckLaunch"/>
    <n v="7.412002573292896E-2"/>
  </r>
  <r>
    <s v="P169"/>
    <x v="1"/>
    <d v="2024-12-03T00:00:00"/>
    <x v="5"/>
    <s v="Check out our latest video on youtube!"/>
    <n v="3809"/>
    <n v="273"/>
    <n v="200"/>
    <n v="34281"/>
    <n v="33534"/>
    <n v="83"/>
    <x v="4"/>
    <s v="CybertruckLaunch"/>
    <n v="0.12490884163239112"/>
  </r>
  <r>
    <s v="P170"/>
    <x v="0"/>
    <d v="2025-04-28T00:00:00"/>
    <x v="1"/>
    <s v="Check out our latest text on twitter!"/>
    <n v="3577"/>
    <n v="596"/>
    <n v="493"/>
    <n v="67963"/>
    <n v="67839"/>
    <n v="53"/>
    <x v="2"/>
    <s v="FSDUpdate"/>
    <n v="6.8655003457763777E-2"/>
  </r>
  <r>
    <s v="P171"/>
    <x v="1"/>
    <d v="2024-12-31T00:00:00"/>
    <x v="5"/>
    <s v="Check out our latest video on youtube!"/>
    <n v="1018"/>
    <n v="447"/>
    <n v="332"/>
    <n v="18324"/>
    <n v="18164"/>
    <n v="38"/>
    <x v="0"/>
    <s v="ModelYCampaign"/>
    <n v="9.8068107400130972E-2"/>
  </r>
  <r>
    <s v="P172"/>
    <x v="3"/>
    <d v="2024-08-14T00:00:00"/>
    <x v="3"/>
    <s v="Check out our latest carousel on facebook!"/>
    <n v="3073"/>
    <n v="553"/>
    <n v="174"/>
    <n v="52241"/>
    <n v="51605"/>
    <n v="246"/>
    <x v="4"/>
    <s v="FSDUpdate"/>
    <n v="7.2739802071170159E-2"/>
  </r>
  <r>
    <s v="P173"/>
    <x v="0"/>
    <d v="2024-12-05T00:00:00"/>
    <x v="5"/>
    <s v="Check out our latest video on twitter!"/>
    <n v="1330"/>
    <n v="925"/>
    <n v="35"/>
    <n v="15960"/>
    <n v="15379"/>
    <n v="229"/>
    <x v="0"/>
    <s v="FSDUpdate"/>
    <n v="0.14348370927318296"/>
  </r>
  <r>
    <s v="P174"/>
    <x v="3"/>
    <d v="2024-06-22T00:00:00"/>
    <x v="1"/>
    <s v="Check out our latest text on facebook!"/>
    <n v="3828"/>
    <n v="148"/>
    <n v="253"/>
    <n v="30624"/>
    <n v="30229"/>
    <n v="235"/>
    <x v="4"/>
    <m/>
    <n v="0.13809430512016718"/>
  </r>
  <r>
    <s v="P175"/>
    <x v="2"/>
    <d v="2025-01-17T00:00:00"/>
    <x v="0"/>
    <s v="Check out our latest reel on instagram!"/>
    <n v="142"/>
    <n v="784"/>
    <n v="183"/>
    <n v="1704"/>
    <n v="995"/>
    <n v="154"/>
    <x v="0"/>
    <s v="SustainabilityDrive"/>
    <n v="0.6508215962441315"/>
  </r>
  <r>
    <s v="P176"/>
    <x v="3"/>
    <d v="2024-06-20T00:00:00"/>
    <x v="5"/>
    <s v="Check out our latest video on facebook!"/>
    <n v="3798"/>
    <n v="31"/>
    <n v="279"/>
    <n v="75960"/>
    <n v="75813"/>
    <n v="266"/>
    <x v="2"/>
    <s v="CybertruckLaunch"/>
    <n v="5.4081095313322801E-2"/>
  </r>
  <r>
    <s v="P177"/>
    <x v="2"/>
    <d v="2024-07-10T00:00:00"/>
    <x v="3"/>
    <s v="Check out our latest carousel on instagram!"/>
    <n v="3099"/>
    <n v="694"/>
    <n v="171"/>
    <n v="43386"/>
    <n v="42921"/>
    <n v="52"/>
    <x v="2"/>
    <s v="FSDUpdate"/>
    <n v="9.1365878393951966E-2"/>
  </r>
  <r>
    <s v="P178"/>
    <x v="2"/>
    <d v="2024-11-07T00:00:00"/>
    <x v="5"/>
    <s v="Check out our latest video on instagram!"/>
    <n v="129"/>
    <n v="643"/>
    <n v="136"/>
    <n v="1290"/>
    <n v="839"/>
    <n v="238"/>
    <x v="2"/>
    <s v="SustainabilityDrive"/>
    <n v="0.70387596899224802"/>
  </r>
  <r>
    <s v="P179"/>
    <x v="3"/>
    <d v="2024-07-15T00:00:00"/>
    <x v="3"/>
    <s v="Check out our latest carousel on facebook!"/>
    <n v="3796"/>
    <n v="667"/>
    <n v="395"/>
    <n v="64532"/>
    <n v="63550"/>
    <n v="292"/>
    <x v="2"/>
    <m/>
    <n v="7.5280481001673588E-2"/>
  </r>
  <r>
    <s v="P180"/>
    <x v="1"/>
    <d v="2024-12-03T00:00:00"/>
    <x v="1"/>
    <s v="Check out our latest text on youtube!"/>
    <n v="3711"/>
    <n v="352"/>
    <n v="290"/>
    <n v="48243"/>
    <n v="47579"/>
    <n v="11"/>
    <x v="2"/>
    <s v="CybertruckLaunch"/>
    <n v="9.023070704558174E-2"/>
  </r>
  <r>
    <s v="P181"/>
    <x v="1"/>
    <d v="2025-03-21T00:00:00"/>
    <x v="4"/>
    <s v="Check out our latest image on youtube!"/>
    <n v="606"/>
    <n v="789"/>
    <n v="470"/>
    <n v="7878"/>
    <n v="7389"/>
    <n v="239"/>
    <x v="4"/>
    <s v="FSDUpdate"/>
    <n v="0.23673521198273673"/>
  </r>
  <r>
    <s v="P182"/>
    <x v="3"/>
    <d v="2024-07-31T00:00:00"/>
    <x v="4"/>
    <s v="Check out our latest image on facebook!"/>
    <n v="4689"/>
    <n v="134"/>
    <n v="403"/>
    <n v="51579"/>
    <n v="50924"/>
    <n v="173"/>
    <x v="2"/>
    <s v="SustainabilityDrive"/>
    <n v="0.10132030477519921"/>
  </r>
  <r>
    <s v="P183"/>
    <x v="2"/>
    <d v="2024-12-17T00:00:00"/>
    <x v="2"/>
    <s v="Check out our latest story on instagram!"/>
    <n v="360"/>
    <n v="590"/>
    <n v="393"/>
    <n v="4680"/>
    <n v="4322"/>
    <n v="208"/>
    <x v="0"/>
    <s v="ModelYCampaign"/>
    <n v="0.28696581196581195"/>
  </r>
  <r>
    <s v="P184"/>
    <x v="0"/>
    <d v="2024-07-28T00:00:00"/>
    <x v="4"/>
    <s v="Check out our latest image on twitter!"/>
    <n v="3215"/>
    <n v="960"/>
    <n v="202"/>
    <n v="32150"/>
    <n v="31404"/>
    <n v="251"/>
    <x v="4"/>
    <s v="CybertruckLaunch"/>
    <n v="0.13614307931570763"/>
  </r>
  <r>
    <s v="P185"/>
    <x v="2"/>
    <d v="2025-01-11T00:00:00"/>
    <x v="3"/>
    <s v="Check out our latest carousel on instagram!"/>
    <n v="4523"/>
    <n v="61"/>
    <n v="157"/>
    <n v="49753"/>
    <n v="49329"/>
    <n v="71"/>
    <x v="4"/>
    <m/>
    <n v="9.5290736237010829E-2"/>
  </r>
  <r>
    <s v="P186"/>
    <x v="3"/>
    <d v="2024-08-24T00:00:00"/>
    <x v="3"/>
    <s v="Check out our latest carousel on facebook!"/>
    <n v="4292"/>
    <n v="51"/>
    <n v="392"/>
    <n v="55796"/>
    <n v="54826"/>
    <n v="264"/>
    <x v="4"/>
    <s v="FSDUpdate"/>
    <n v="8.4862714173059003E-2"/>
  </r>
  <r>
    <s v="P187"/>
    <x v="0"/>
    <d v="2024-12-22T00:00:00"/>
    <x v="0"/>
    <s v="Check out our latest reel on twitter!"/>
    <n v="1644"/>
    <n v="546"/>
    <n v="150"/>
    <n v="27948"/>
    <n v="27184"/>
    <n v="300"/>
    <x v="4"/>
    <s v="FSDUpdate"/>
    <n v="8.3726921425504502E-2"/>
  </r>
  <r>
    <s v="P188"/>
    <x v="1"/>
    <d v="2024-06-06T00:00:00"/>
    <x v="0"/>
    <s v="Check out our latest reel on youtube!"/>
    <n v="2728"/>
    <n v="533"/>
    <n v="215"/>
    <n v="40920"/>
    <n v="40816"/>
    <n v="137"/>
    <x v="0"/>
    <s v="ModelYCampaign"/>
    <n v="8.4946236559139784E-2"/>
  </r>
  <r>
    <s v="P189"/>
    <x v="3"/>
    <d v="2025-03-24T00:00:00"/>
    <x v="0"/>
    <s v="Check out our latest reel on facebook!"/>
    <n v="3360"/>
    <n v="525"/>
    <n v="500"/>
    <n v="60480"/>
    <n v="59610"/>
    <n v="192"/>
    <x v="2"/>
    <s v="CybertruckLaunch"/>
    <n v="7.2503306878306875E-2"/>
  </r>
  <r>
    <s v="P190"/>
    <x v="1"/>
    <d v="2024-10-04T00:00:00"/>
    <x v="1"/>
    <s v="Check out our latest text on youtube!"/>
    <n v="1963"/>
    <n v="213"/>
    <n v="19"/>
    <n v="39260"/>
    <n v="38771"/>
    <n v="145"/>
    <x v="0"/>
    <m/>
    <n v="5.5909322465613857E-2"/>
  </r>
  <r>
    <s v="P191"/>
    <x v="1"/>
    <d v="2024-12-03T00:00:00"/>
    <x v="2"/>
    <s v="Check out our latest story on youtube!"/>
    <n v="4285"/>
    <n v="886"/>
    <n v="376"/>
    <n v="55705"/>
    <n v="55556"/>
    <n v="51"/>
    <x v="0"/>
    <s v="FSDUpdate"/>
    <n v="9.9578134817341346E-2"/>
  </r>
  <r>
    <s v="P192"/>
    <x v="2"/>
    <d v="2024-11-29T00:00:00"/>
    <x v="5"/>
    <s v="Check out our latest video on instagram!"/>
    <n v="1176"/>
    <n v="464"/>
    <n v="394"/>
    <n v="14112"/>
    <n v="13588"/>
    <n v="272"/>
    <x v="4"/>
    <m/>
    <n v="0.1441326530612245"/>
  </r>
  <r>
    <s v="P193"/>
    <x v="0"/>
    <d v="2024-09-11T00:00:00"/>
    <x v="4"/>
    <s v="Check out our latest image on twitter!"/>
    <n v="4858"/>
    <n v="317"/>
    <n v="129"/>
    <n v="53438"/>
    <n v="52687"/>
    <n v="223"/>
    <x v="4"/>
    <s v="FSDUpdate"/>
    <n v="9.9255211647142488E-2"/>
  </r>
  <r>
    <s v="P194"/>
    <x v="1"/>
    <d v="2024-10-02T00:00:00"/>
    <x v="2"/>
    <s v="Check out our latest story on youtube!"/>
    <n v="4350"/>
    <n v="771"/>
    <n v="7"/>
    <n v="60900"/>
    <n v="60592"/>
    <n v="195"/>
    <x v="4"/>
    <s v="CybertruckLaunch"/>
    <n v="8.4203612479474554E-2"/>
  </r>
  <r>
    <s v="P195"/>
    <x v="2"/>
    <d v="2024-08-15T00:00:00"/>
    <x v="3"/>
    <s v="Check out our latest carousel on instagram!"/>
    <n v="914"/>
    <n v="464"/>
    <n v="246"/>
    <n v="11882"/>
    <n v="11500"/>
    <n v="282"/>
    <x v="0"/>
    <s v="SustainabilityDrive"/>
    <n v="0.13667732704931829"/>
  </r>
  <r>
    <s v="P195"/>
    <x v="2"/>
    <d v="2024-08-15T00:00:00"/>
    <x v="3"/>
    <s v="Check out our latest carousel on instagram!"/>
    <n v="914"/>
    <n v="464"/>
    <n v="246"/>
    <n v="11882"/>
    <n v="11500"/>
    <n v="282"/>
    <x v="2"/>
    <s v="SustainabilityDrive"/>
    <n v="0.13667732704931829"/>
  </r>
  <r>
    <s v="P195"/>
    <x v="2"/>
    <d v="2024-08-15T00:00:00"/>
    <x v="3"/>
    <s v="Check out our latest carousel on instagram!"/>
    <n v="914"/>
    <n v="464"/>
    <n v="246"/>
    <n v="11882"/>
    <n v="11500"/>
    <n v="282"/>
    <x v="1"/>
    <s v="SustainabilityDrive"/>
    <n v="0.13667732704931829"/>
  </r>
  <r>
    <s v="P196"/>
    <x v="2"/>
    <d v="2024-12-19T00:00:00"/>
    <x v="1"/>
    <s v="Check out our latest text on instagram!"/>
    <n v="1813"/>
    <n v="623"/>
    <n v="72"/>
    <n v="19943"/>
    <n v="18959"/>
    <n v="85"/>
    <x v="4"/>
    <s v="FSDUpdate"/>
    <n v="0.12575841147269717"/>
  </r>
  <r>
    <s v="P197"/>
    <x v="0"/>
    <d v="2024-10-22T00:00:00"/>
    <x v="0"/>
    <s v="Check out our latest reel on twitter!"/>
    <n v="4782"/>
    <n v="721"/>
    <n v="82"/>
    <n v="86076"/>
    <n v="85339"/>
    <n v="19"/>
    <x v="4"/>
    <s v="CybertruckLaunch"/>
    <n v="6.4884520656164318E-2"/>
  </r>
  <r>
    <s v="P198"/>
    <x v="0"/>
    <d v="2024-09-14T00:00:00"/>
    <x v="4"/>
    <s v="Check out our latest image on twitter!"/>
    <n v="1048"/>
    <n v="374"/>
    <n v="450"/>
    <n v="9432"/>
    <n v="8882"/>
    <n v="158"/>
    <x v="2"/>
    <s v="FSDUpdate"/>
    <n v="0.19847328244274809"/>
  </r>
  <r>
    <s v="P199"/>
    <x v="1"/>
    <d v="2024-11-30T00:00:00"/>
    <x v="3"/>
    <s v="Check out our latest carousel on youtube!"/>
    <n v="2509"/>
    <n v="324"/>
    <n v="171"/>
    <n v="35126"/>
    <n v="34685"/>
    <n v="277"/>
    <x v="2"/>
    <s v="ModelYCampaign"/>
    <n v="8.5520696919660646E-2"/>
  </r>
  <r>
    <s v="P200"/>
    <x v="3"/>
    <d v="2025-04-07T00:00:00"/>
    <x v="0"/>
    <s v="Check out our latest reel on facebook!"/>
    <n v="3718"/>
    <n v="385"/>
    <n v="310"/>
    <n v="70642"/>
    <n v="69749"/>
    <n v="233"/>
    <x v="2"/>
    <s v="ModelYCampaign"/>
    <n v="6.246991874522239E-2"/>
  </r>
  <r>
    <s v="P201"/>
    <x v="0"/>
    <d v="2025-01-15T00:00:00"/>
    <x v="0"/>
    <s v="Check out our latest reel on twitter!"/>
    <n v="802"/>
    <n v="262"/>
    <n v="244"/>
    <n v="14436"/>
    <n v="14280"/>
    <n v="49"/>
    <x v="4"/>
    <s v="CybertruckLaunch"/>
    <n v="9.0606816292601824E-2"/>
  </r>
  <r>
    <s v="P202"/>
    <x v="3"/>
    <d v="2024-06-02T00:00:00"/>
    <x v="4"/>
    <s v="Check out our latest image on facebook!"/>
    <n v="1871"/>
    <n v="252"/>
    <n v="335"/>
    <n v="29936"/>
    <n v="29576"/>
    <n v="288"/>
    <x v="4"/>
    <s v="FSDUpdate"/>
    <n v="8.2108498129342594E-2"/>
  </r>
  <r>
    <s v="P203"/>
    <x v="2"/>
    <d v="2024-11-21T00:00:00"/>
    <x v="3"/>
    <s v="Check out our latest carousel on instagram!"/>
    <n v="3773"/>
    <n v="299"/>
    <n v="38"/>
    <n v="71687"/>
    <n v="71447"/>
    <n v="286"/>
    <x v="0"/>
    <s v="CybertruckLaunch"/>
    <n v="5.7332570758993957E-2"/>
  </r>
  <r>
    <s v="P204"/>
    <x v="2"/>
    <d v="2025-01-01T00:00:00"/>
    <x v="3"/>
    <s v="Check out our latest carousel on instagram!"/>
    <n v="2234"/>
    <n v="653"/>
    <n v="432"/>
    <n v="11170"/>
    <n v="10569"/>
    <n v="198"/>
    <x v="0"/>
    <s v="FSDUpdate"/>
    <n v="0.29713518352730528"/>
  </r>
  <r>
    <s v="P205"/>
    <x v="0"/>
    <d v="2025-04-24T00:00:00"/>
    <x v="5"/>
    <s v="Check out our latest video on twitter!"/>
    <n v="3820"/>
    <n v="697"/>
    <n v="268"/>
    <n v="45840"/>
    <n v="45631"/>
    <n v="171"/>
    <x v="2"/>
    <s v="SustainabilityDrive"/>
    <n v="0.1043848167539267"/>
  </r>
  <r>
    <s v="P205"/>
    <x v="0"/>
    <d v="2025-04-24T00:00:00"/>
    <x v="5"/>
    <s v="Check out our latest video on twitter!"/>
    <n v="3820"/>
    <n v="697"/>
    <n v="268"/>
    <n v="45840"/>
    <n v="45631"/>
    <n v="171"/>
    <x v="5"/>
    <s v="SustainabilityDrive"/>
    <n v="0.1043848167539267"/>
  </r>
  <r>
    <s v="P206"/>
    <x v="0"/>
    <d v="2024-06-24T00:00:00"/>
    <x v="1"/>
    <s v="Check out our latest text on twitter!"/>
    <n v="941"/>
    <n v="121"/>
    <n v="458"/>
    <n v="14115"/>
    <n v="13838"/>
    <n v="87"/>
    <x v="4"/>
    <s v="CybertruckLaunch"/>
    <n v="0.10768685795253277"/>
  </r>
  <r>
    <s v="P207"/>
    <x v="0"/>
    <d v="2024-12-29T00:00:00"/>
    <x v="3"/>
    <s v="Check out our latest carousel on twitter!"/>
    <n v="4274"/>
    <n v="340"/>
    <n v="281"/>
    <n v="34192"/>
    <n v="33446"/>
    <n v="129"/>
    <x v="2"/>
    <s v="FSDUpdate"/>
    <n v="0.14316214319138981"/>
  </r>
  <r>
    <s v="P207"/>
    <x v="0"/>
    <d v="2024-12-29T00:00:00"/>
    <x v="3"/>
    <s v="Check out our latest carousel on twitter!"/>
    <n v="4274"/>
    <n v="340"/>
    <n v="281"/>
    <n v="34192"/>
    <n v="33446"/>
    <n v="129"/>
    <x v="5"/>
    <s v="FSDUpdate"/>
    <n v="0.14316214319138981"/>
  </r>
  <r>
    <s v="P208"/>
    <x v="1"/>
    <d v="2024-06-24T00:00:00"/>
    <x v="5"/>
    <s v="Check out our latest video on youtube!"/>
    <n v="2949"/>
    <n v="476"/>
    <n v="403"/>
    <n v="44235"/>
    <n v="43705"/>
    <n v="135"/>
    <x v="2"/>
    <s v="ModelYCampaign"/>
    <n v="8.6537809426924378E-2"/>
  </r>
  <r>
    <s v="P209"/>
    <x v="0"/>
    <d v="2025-03-19T00:00:00"/>
    <x v="5"/>
    <s v="Check out our latest video on twitter!"/>
    <n v="3160"/>
    <n v="204"/>
    <n v="297"/>
    <n v="44240"/>
    <n v="43666"/>
    <n v="49"/>
    <x v="0"/>
    <s v="SustainabilityDrive"/>
    <n v="8.2753164556962022E-2"/>
  </r>
  <r>
    <s v="P209"/>
    <x v="0"/>
    <d v="2025-03-19T00:00:00"/>
    <x v="5"/>
    <s v="Check out our latest video on twitter!"/>
    <n v="3160"/>
    <n v="204"/>
    <n v="297"/>
    <n v="44240"/>
    <n v="43666"/>
    <n v="49"/>
    <x v="1"/>
    <s v="SustainabilityDrive"/>
    <n v="8.2753164556962022E-2"/>
  </r>
  <r>
    <s v="P210"/>
    <x v="1"/>
    <d v="2025-02-19T00:00:00"/>
    <x v="4"/>
    <s v="Check out our latest image on youtube!"/>
    <n v="257"/>
    <n v="966"/>
    <n v="398"/>
    <n v="3341"/>
    <n v="2753"/>
    <n v="287"/>
    <x v="0"/>
    <s v="CybertruckLaunch"/>
    <n v="0.48518407662376534"/>
  </r>
  <r>
    <s v="P211"/>
    <x v="0"/>
    <d v="2024-07-18T00:00:00"/>
    <x v="3"/>
    <s v="Check out our latest carousel on twitter!"/>
    <n v="2120"/>
    <n v="38"/>
    <n v="212"/>
    <n v="12720"/>
    <n v="12564"/>
    <n v="21"/>
    <x v="0"/>
    <s v="SustainabilityDrive"/>
    <n v="0.18632075471698112"/>
  </r>
  <r>
    <s v="P212"/>
    <x v="1"/>
    <d v="2025-03-03T00:00:00"/>
    <x v="5"/>
    <s v="Check out our latest video on youtube!"/>
    <n v="3874"/>
    <n v="884"/>
    <n v="19"/>
    <n v="38740"/>
    <n v="38552"/>
    <n v="219"/>
    <x v="2"/>
    <s v="ModelYCampaign"/>
    <n v="0.123309241094476"/>
  </r>
  <r>
    <s v="P213"/>
    <x v="3"/>
    <d v="2025-05-01T00:00:00"/>
    <x v="3"/>
    <s v="Check out our latest carousel on facebook!"/>
    <n v="2696"/>
    <n v="628"/>
    <n v="443"/>
    <n v="45832"/>
    <n v="45632"/>
    <n v="248"/>
    <x v="4"/>
    <s v="SustainabilityDrive"/>
    <n v="8.21914819340199E-2"/>
  </r>
  <r>
    <s v="P214"/>
    <x v="2"/>
    <d v="2024-12-23T00:00:00"/>
    <x v="4"/>
    <s v="Check out our latest image on instagram!"/>
    <n v="521"/>
    <n v="746"/>
    <n v="315"/>
    <n v="4168"/>
    <n v="3399"/>
    <n v="282"/>
    <x v="0"/>
    <s v="ModelYCampaign"/>
    <n v="0.37955854126679461"/>
  </r>
  <r>
    <s v="P215"/>
    <x v="3"/>
    <d v="2025-05-06T00:00:00"/>
    <x v="4"/>
    <s v="Check out our latest image on facebook!"/>
    <n v="4872"/>
    <n v="925"/>
    <n v="176"/>
    <n v="82824"/>
    <n v="82543"/>
    <n v="89"/>
    <x v="4"/>
    <s v="ModelYCampaign"/>
    <n v="7.2116777745580993E-2"/>
  </r>
  <r>
    <s v="P216"/>
    <x v="1"/>
    <d v="2024-07-29T00:00:00"/>
    <x v="2"/>
    <s v="Check out our latest story on youtube!"/>
    <n v="1509"/>
    <n v="88"/>
    <n v="163"/>
    <n v="30180"/>
    <n v="29689"/>
    <n v="119"/>
    <x v="4"/>
    <s v="ModelYCampaign"/>
    <n v="5.8316766070245198E-2"/>
  </r>
  <r>
    <s v="P217"/>
    <x v="3"/>
    <d v="2024-12-03T00:00:00"/>
    <x v="4"/>
    <s v="Check out our latest image on facebook!"/>
    <n v="4606"/>
    <n v="931"/>
    <n v="230"/>
    <n v="92120"/>
    <n v="91440"/>
    <n v="56"/>
    <x v="2"/>
    <m/>
    <n v="6.2603126356925748E-2"/>
  </r>
  <r>
    <s v="P218"/>
    <x v="3"/>
    <d v="2024-06-11T00:00:00"/>
    <x v="3"/>
    <s v="Check out our latest carousel on facebook!"/>
    <n v="1869"/>
    <n v="453"/>
    <n v="490"/>
    <n v="14952"/>
    <n v="14309"/>
    <n v="275"/>
    <x v="2"/>
    <s v="SustainabilityDrive"/>
    <n v="0.18806848582129482"/>
  </r>
  <r>
    <s v="P219"/>
    <x v="0"/>
    <d v="2025-01-28T00:00:00"/>
    <x v="0"/>
    <s v="Check out our latest reel on twitter!"/>
    <n v="1188"/>
    <n v="470"/>
    <n v="174"/>
    <n v="7128"/>
    <n v="6145"/>
    <n v="270"/>
    <x v="2"/>
    <s v="SustainabilityDrive"/>
    <n v="0.25701459034792368"/>
  </r>
  <r>
    <s v="P220"/>
    <x v="2"/>
    <d v="2024-06-02T00:00:00"/>
    <x v="2"/>
    <s v="Check out our latest story on instagram!"/>
    <n v="84"/>
    <n v="897"/>
    <n v="85"/>
    <n v="588"/>
    <n v="8"/>
    <n v="12"/>
    <x v="4"/>
    <m/>
    <n v="1.8129251700680271"/>
  </r>
  <r>
    <s v="P221"/>
    <x v="3"/>
    <d v="2025-03-23T00:00:00"/>
    <x v="5"/>
    <s v="Check out our latest video on facebook!"/>
    <n v="4453"/>
    <n v="111"/>
    <n v="420"/>
    <n v="31171"/>
    <n v="30565"/>
    <n v="23"/>
    <x v="2"/>
    <m/>
    <n v="0.15989220750056141"/>
  </r>
  <r>
    <s v="P222"/>
    <x v="3"/>
    <d v="2024-10-08T00:00:00"/>
    <x v="0"/>
    <s v="Check out our latest reel on facebook!"/>
    <n v="1814"/>
    <n v="653"/>
    <n v="363"/>
    <n v="25396"/>
    <n v="25286"/>
    <n v="39"/>
    <x v="0"/>
    <s v="CybertruckLaunch"/>
    <n v="0.11143487163332809"/>
  </r>
  <r>
    <s v="P222"/>
    <x v="3"/>
    <d v="2024-10-08T00:00:00"/>
    <x v="0"/>
    <s v="Check out our latest reel on facebook!"/>
    <n v="1814"/>
    <n v="653"/>
    <n v="363"/>
    <n v="25396"/>
    <n v="25286"/>
    <n v="39"/>
    <x v="5"/>
    <s v="CybertruckLaunch"/>
    <n v="0.11143487163332809"/>
  </r>
  <r>
    <s v="P223"/>
    <x v="0"/>
    <d v="2024-11-12T00:00:00"/>
    <x v="4"/>
    <s v="Check out our latest image on twitter!"/>
    <n v="3338"/>
    <n v="277"/>
    <n v="118"/>
    <n v="60084"/>
    <n v="59842"/>
    <n v="252"/>
    <x v="2"/>
    <m/>
    <n v="6.2129685107516146E-2"/>
  </r>
  <r>
    <s v="P224"/>
    <x v="3"/>
    <d v="2025-05-13T00:00:00"/>
    <x v="4"/>
    <s v="Check out our latest image on facebook!"/>
    <n v="602"/>
    <n v="594"/>
    <n v="156"/>
    <n v="4214"/>
    <n v="3363"/>
    <n v="164"/>
    <x v="2"/>
    <s v="FSDUpdate"/>
    <n v="0.32083531086853345"/>
  </r>
  <r>
    <s v="P225"/>
    <x v="0"/>
    <d v="2024-06-20T00:00:00"/>
    <x v="3"/>
    <s v="Check out our latest carousel on twitter!"/>
    <n v="4672"/>
    <n v="325"/>
    <n v="32"/>
    <n v="88768"/>
    <n v="87833"/>
    <n v="118"/>
    <x v="4"/>
    <m/>
    <n v="5.6653298485940883E-2"/>
  </r>
  <r>
    <s v="P226"/>
    <x v="2"/>
    <d v="2024-08-07T00:00:00"/>
    <x v="3"/>
    <s v="Check out our latest carousel on instagram!"/>
    <n v="1741"/>
    <n v="164"/>
    <n v="318"/>
    <n v="8705"/>
    <n v="8272"/>
    <n v="121"/>
    <x v="2"/>
    <m/>
    <n v="0.25537047673750718"/>
  </r>
  <r>
    <s v="P227"/>
    <x v="2"/>
    <d v="2024-06-12T00:00:00"/>
    <x v="1"/>
    <s v="Check out our latest text on instagram!"/>
    <n v="246"/>
    <n v="149"/>
    <n v="130"/>
    <n v="4674"/>
    <n v="4390"/>
    <n v="217"/>
    <x v="0"/>
    <s v="FSDUpdate"/>
    <n v="0.11232349165596919"/>
  </r>
  <r>
    <s v="P228"/>
    <x v="2"/>
    <d v="2024-07-01T00:00:00"/>
    <x v="2"/>
    <s v="Check out our latest story on instagram!"/>
    <n v="4808"/>
    <n v="772"/>
    <n v="320"/>
    <n v="72120"/>
    <n v="71696"/>
    <n v="195"/>
    <x v="4"/>
    <s v="CybertruckLaunch"/>
    <n v="8.1808097615085965E-2"/>
  </r>
  <r>
    <s v="P229"/>
    <x v="2"/>
    <d v="2024-07-03T00:00:00"/>
    <x v="3"/>
    <s v="Check out our latest carousel on instagram!"/>
    <n v="4799"/>
    <n v="694"/>
    <n v="289"/>
    <n v="43191"/>
    <n v="42228"/>
    <n v="118"/>
    <x v="2"/>
    <m/>
    <n v="0.13387048227640017"/>
  </r>
  <r>
    <s v="P230"/>
    <x v="3"/>
    <d v="2024-07-15T00:00:00"/>
    <x v="0"/>
    <s v="Check out our latest reel on facebook!"/>
    <n v="3663"/>
    <n v="17"/>
    <n v="295"/>
    <n v="51282"/>
    <n v="50567"/>
    <n v="84"/>
    <x v="4"/>
    <s v="FSDUpdate"/>
    <n v="7.7512577512577507E-2"/>
  </r>
  <r>
    <s v="P231"/>
    <x v="2"/>
    <d v="2025-05-01T00:00:00"/>
    <x v="1"/>
    <s v="Check out our latest text on instagram!"/>
    <n v="1430"/>
    <n v="376"/>
    <n v="33"/>
    <n v="21450"/>
    <n v="20509"/>
    <n v="251"/>
    <x v="0"/>
    <s v="CybertruckLaunch"/>
    <n v="8.5734265734265735E-2"/>
  </r>
  <r>
    <s v="P232"/>
    <x v="0"/>
    <d v="2025-04-29T00:00:00"/>
    <x v="2"/>
    <s v="Check out our latest story on twitter!"/>
    <n v="249"/>
    <n v="592"/>
    <n v="230"/>
    <n v="1494"/>
    <n v="1044"/>
    <n v="201"/>
    <x v="4"/>
    <s v="SustainabilityDrive"/>
    <n v="0.7168674698795181"/>
  </r>
  <r>
    <s v="P233"/>
    <x v="3"/>
    <d v="2025-03-08T00:00:00"/>
    <x v="4"/>
    <s v="Check out our latest image on facebook!"/>
    <n v="2382"/>
    <n v="265"/>
    <n v="134"/>
    <n v="38112"/>
    <n v="37437"/>
    <n v="249"/>
    <x v="0"/>
    <s v="SustainabilityDrive"/>
    <n v="7.2969143576826198E-2"/>
  </r>
  <r>
    <s v="P234"/>
    <x v="3"/>
    <d v="2024-06-01T00:00:00"/>
    <x v="1"/>
    <s v="Check out our latest text on facebook!"/>
    <n v="1272"/>
    <n v="465"/>
    <n v="99"/>
    <n v="24168"/>
    <n v="23719"/>
    <n v="42"/>
    <x v="2"/>
    <m/>
    <n v="7.5968222442899705E-2"/>
  </r>
  <r>
    <s v="P235"/>
    <x v="3"/>
    <d v="2024-12-22T00:00:00"/>
    <x v="4"/>
    <s v="Check out our latest image on facebook!"/>
    <n v="3196"/>
    <n v="941"/>
    <n v="376"/>
    <n v="35156"/>
    <n v="34444"/>
    <n v="241"/>
    <x v="2"/>
    <s v="FSDUpdate"/>
    <n v="0.1283706906360223"/>
  </r>
  <r>
    <s v="P236"/>
    <x v="3"/>
    <d v="2024-08-19T00:00:00"/>
    <x v="1"/>
    <s v="Check out our latest text on facebook!"/>
    <n v="1257"/>
    <n v="19"/>
    <n v="351"/>
    <n v="12570"/>
    <n v="11660"/>
    <n v="194"/>
    <x v="0"/>
    <s v="ModelYCampaign"/>
    <n v="0.12943516308671441"/>
  </r>
  <r>
    <s v="P236"/>
    <x v="3"/>
    <d v="2024-08-19T00:00:00"/>
    <x v="1"/>
    <s v="Check out our latest text on facebook!"/>
    <n v="1257"/>
    <n v="19"/>
    <n v="351"/>
    <n v="12570"/>
    <n v="11660"/>
    <n v="194"/>
    <x v="1"/>
    <s v="ModelYCampaign"/>
    <n v="0.12943516308671441"/>
  </r>
  <r>
    <s v="P236"/>
    <x v="3"/>
    <d v="2024-08-19T00:00:00"/>
    <x v="1"/>
    <s v="Check out our latest text on facebook!"/>
    <n v="1257"/>
    <n v="19"/>
    <n v="351"/>
    <n v="12570"/>
    <n v="11660"/>
    <n v="194"/>
    <x v="4"/>
    <s v="ModelYCampaign"/>
    <n v="0.12943516308671441"/>
  </r>
  <r>
    <s v="P237"/>
    <x v="2"/>
    <d v="2024-10-22T00:00:00"/>
    <x v="2"/>
    <s v="Check out our latest story on instagram!"/>
    <n v="3770"/>
    <n v="917"/>
    <n v="129"/>
    <n v="71630"/>
    <n v="71322"/>
    <n v="76"/>
    <x v="0"/>
    <s v="CybertruckLaunch"/>
    <n v="6.7234398994834563E-2"/>
  </r>
  <r>
    <s v="P238"/>
    <x v="0"/>
    <d v="2024-07-16T00:00:00"/>
    <x v="1"/>
    <s v="Check out our latest text on twitter!"/>
    <n v="4725"/>
    <n v="400"/>
    <n v="362"/>
    <n v="75600"/>
    <n v="74927"/>
    <n v="43"/>
    <x v="0"/>
    <s v="SustainabilityDrive"/>
    <n v="7.2579365079365077E-2"/>
  </r>
  <r>
    <s v="P239"/>
    <x v="1"/>
    <d v="2025-02-24T00:00:00"/>
    <x v="1"/>
    <s v="Check out our latest text on youtube!"/>
    <n v="4188"/>
    <n v="942"/>
    <n v="118"/>
    <n v="20940"/>
    <n v="20471"/>
    <n v="102"/>
    <x v="0"/>
    <m/>
    <n v="0.25062082139446035"/>
  </r>
  <r>
    <s v="P240"/>
    <x v="0"/>
    <d v="2024-08-26T00:00:00"/>
    <x v="3"/>
    <s v="Check out our latest carousel on twitter!"/>
    <n v="929"/>
    <n v="192"/>
    <n v="322"/>
    <n v="16722"/>
    <n v="15996"/>
    <n v="145"/>
    <x v="4"/>
    <s v="FSDUpdate"/>
    <n v="8.6293505561535699E-2"/>
  </r>
  <r>
    <s v="P240"/>
    <x v="0"/>
    <d v="2024-08-26T00:00:00"/>
    <x v="3"/>
    <s v="Check out our latest carousel on twitter!"/>
    <n v="929"/>
    <n v="192"/>
    <n v="322"/>
    <n v="16722"/>
    <n v="15996"/>
    <n v="145"/>
    <x v="2"/>
    <s v="FSDUpdate"/>
    <n v="8.6293505561535699E-2"/>
  </r>
  <r>
    <s v="P240"/>
    <x v="0"/>
    <d v="2024-08-26T00:00:00"/>
    <x v="3"/>
    <s v="Check out our latest carousel on twitter!"/>
    <n v="929"/>
    <n v="192"/>
    <n v="322"/>
    <n v="16722"/>
    <n v="15996"/>
    <n v="145"/>
    <x v="1"/>
    <s v="FSDUpdate"/>
    <n v="8.6293505561535699E-2"/>
  </r>
  <r>
    <s v="P241"/>
    <x v="3"/>
    <d v="2025-01-18T00:00:00"/>
    <x v="2"/>
    <s v="Check out our latest story on facebook!"/>
    <n v="4321"/>
    <n v="874"/>
    <n v="172"/>
    <n v="30247"/>
    <n v="29254"/>
    <n v="122"/>
    <x v="2"/>
    <s v="SustainabilityDrive"/>
    <n v="0.17743908486792079"/>
  </r>
  <r>
    <s v="P242"/>
    <x v="3"/>
    <d v="2024-07-07T00:00:00"/>
    <x v="0"/>
    <s v="Check out our latest reel on facebook!"/>
    <n v="4767"/>
    <n v="190"/>
    <n v="340"/>
    <n v="28602"/>
    <n v="28044"/>
    <n v="210"/>
    <x v="4"/>
    <s v="FSDUpdate"/>
    <n v="0.18519683938186141"/>
  </r>
  <r>
    <s v="P243"/>
    <x v="0"/>
    <d v="2025-03-06T00:00:00"/>
    <x v="4"/>
    <s v="Check out our latest image on twitter!"/>
    <n v="3592"/>
    <n v="911"/>
    <n v="375"/>
    <n v="50288"/>
    <n v="49490"/>
    <n v="32"/>
    <x v="0"/>
    <s v="SustainabilityDrive"/>
    <n v="9.7001272669424113E-2"/>
  </r>
  <r>
    <s v="P244"/>
    <x v="1"/>
    <d v="2024-10-25T00:00:00"/>
    <x v="5"/>
    <s v="Check out our latest video on youtube!"/>
    <n v="4661"/>
    <n v="935"/>
    <n v="433"/>
    <n v="23305"/>
    <n v="22583"/>
    <n v="63"/>
    <x v="0"/>
    <s v="FSDUpdate"/>
    <n v="0.25869984981763572"/>
  </r>
  <r>
    <s v="P245"/>
    <x v="3"/>
    <d v="2025-01-12T00:00:00"/>
    <x v="0"/>
    <s v="Check out our latest reel on facebook!"/>
    <n v="4134"/>
    <n v="824"/>
    <n v="99"/>
    <n v="41340"/>
    <n v="41050"/>
    <n v="177"/>
    <x v="4"/>
    <s v="CybertruckLaunch"/>
    <n v="0.12232704402515723"/>
  </r>
  <r>
    <s v="P246"/>
    <x v="3"/>
    <d v="2024-10-11T00:00:00"/>
    <x v="4"/>
    <s v="Check out our latest image on facebook!"/>
    <n v="400"/>
    <n v="680"/>
    <n v="434"/>
    <n v="6400"/>
    <n v="5472"/>
    <n v="160"/>
    <x v="0"/>
    <s v="ModelYCampaign"/>
    <n v="0.23656250000000001"/>
  </r>
  <r>
    <s v="P247"/>
    <x v="3"/>
    <d v="2024-08-27T00:00:00"/>
    <x v="0"/>
    <s v="Check out our latest reel on facebook!"/>
    <n v="3960"/>
    <n v="266"/>
    <n v="8"/>
    <n v="35640"/>
    <n v="34850"/>
    <n v="208"/>
    <x v="0"/>
    <m/>
    <n v="0.11879910213243547"/>
  </r>
  <r>
    <s v="P247"/>
    <x v="3"/>
    <d v="2024-08-27T00:00:00"/>
    <x v="0"/>
    <s v="Check out our latest reel on facebook!"/>
    <n v="3960"/>
    <n v="266"/>
    <n v="8"/>
    <n v="35640"/>
    <n v="34850"/>
    <n v="208"/>
    <x v="4"/>
    <m/>
    <n v="0.11879910213243547"/>
  </r>
  <r>
    <s v="P247"/>
    <x v="3"/>
    <d v="2024-08-27T00:00:00"/>
    <x v="0"/>
    <s v="Check out our latest reel on facebook!"/>
    <n v="3960"/>
    <n v="266"/>
    <n v="8"/>
    <n v="35640"/>
    <n v="34850"/>
    <n v="208"/>
    <x v="3"/>
    <m/>
    <n v="0.11879910213243547"/>
  </r>
  <r>
    <s v="P248"/>
    <x v="3"/>
    <d v="2025-02-02T00:00:00"/>
    <x v="2"/>
    <s v="Check out our latest story on facebook!"/>
    <n v="886"/>
    <n v="126"/>
    <n v="153"/>
    <n v="4430"/>
    <n v="4037"/>
    <n v="212"/>
    <x v="4"/>
    <m/>
    <n v="0.26297968397291194"/>
  </r>
  <r>
    <s v="P249"/>
    <x v="0"/>
    <d v="2024-07-18T00:00:00"/>
    <x v="4"/>
    <s v="Check out our latest image on twitter!"/>
    <n v="827"/>
    <n v="77"/>
    <n v="402"/>
    <n v="14886"/>
    <n v="14129"/>
    <n v="254"/>
    <x v="4"/>
    <s v="ModelYCampaign"/>
    <n v="8.7733440816874911E-2"/>
  </r>
  <r>
    <s v="P250"/>
    <x v="3"/>
    <d v="2024-06-22T00:00:00"/>
    <x v="0"/>
    <s v="Check out our latest reel on facebook!"/>
    <n v="3813"/>
    <n v="935"/>
    <n v="274"/>
    <n v="68634"/>
    <n v="68488"/>
    <n v="251"/>
    <x v="0"/>
    <m/>
    <n v="7.3170731707317069E-2"/>
  </r>
  <r>
    <s v="P251"/>
    <x v="2"/>
    <d v="2025-03-27T00:00:00"/>
    <x v="3"/>
    <s v="Check out our latest carousel on instagram!"/>
    <n v="1377"/>
    <n v="796"/>
    <n v="387"/>
    <n v="22032"/>
    <n v="21869"/>
    <n v="189"/>
    <x v="0"/>
    <m/>
    <n v="0.11619462599854757"/>
  </r>
  <r>
    <s v="P252"/>
    <x v="3"/>
    <d v="2025-04-28T00:00:00"/>
    <x v="3"/>
    <s v="Check out our latest carousel on facebook!"/>
    <n v="2089"/>
    <n v="476"/>
    <n v="69"/>
    <n v="16712"/>
    <n v="16309"/>
    <n v="64"/>
    <x v="0"/>
    <s v="FSDUpdate"/>
    <n v="0.15761129727142173"/>
  </r>
  <r>
    <s v="P253"/>
    <x v="0"/>
    <d v="2024-08-03T00:00:00"/>
    <x v="0"/>
    <s v="Check out our latest reel on twitter!"/>
    <n v="3791"/>
    <n v="593"/>
    <n v="228"/>
    <n v="53074"/>
    <n v="52613"/>
    <n v="205"/>
    <x v="4"/>
    <m/>
    <n v="8.6897539284772202E-2"/>
  </r>
  <r>
    <s v="P254"/>
    <x v="0"/>
    <d v="2025-01-14T00:00:00"/>
    <x v="4"/>
    <s v="Check out our latest image on twitter!"/>
    <n v="2692"/>
    <n v="115"/>
    <n v="64"/>
    <n v="21536"/>
    <n v="21120"/>
    <n v="224"/>
    <x v="0"/>
    <s v="ModelYCampaign"/>
    <n v="0.13331166419019316"/>
  </r>
  <r>
    <s v="P255"/>
    <x v="3"/>
    <d v="2025-04-03T00:00:00"/>
    <x v="2"/>
    <s v="Check out our latest story on facebook!"/>
    <n v="3767"/>
    <n v="514"/>
    <n v="238"/>
    <n v="37670"/>
    <n v="36807"/>
    <n v="226"/>
    <x v="0"/>
    <s v="SustainabilityDrive"/>
    <n v="0.11996283514733209"/>
  </r>
  <r>
    <s v="P256"/>
    <x v="1"/>
    <d v="2024-09-18T00:00:00"/>
    <x v="3"/>
    <s v="Check out our latest carousel on youtube!"/>
    <n v="2143"/>
    <n v="12"/>
    <n v="204"/>
    <n v="40717"/>
    <n v="40125"/>
    <n v="248"/>
    <x v="4"/>
    <s v="ModelYCampaign"/>
    <n v="5.7936488444630008E-2"/>
  </r>
  <r>
    <s v="P257"/>
    <x v="3"/>
    <d v="2025-04-06T00:00:00"/>
    <x v="4"/>
    <s v="Check out our latest image on facebook!"/>
    <n v="3090"/>
    <n v="697"/>
    <n v="164"/>
    <n v="49440"/>
    <n v="48524"/>
    <n v="25"/>
    <x v="4"/>
    <s v="ModelYCampaign"/>
    <n v="7.9915048543689318E-2"/>
  </r>
  <r>
    <s v="P257"/>
    <x v="3"/>
    <d v="2025-04-06T00:00:00"/>
    <x v="4"/>
    <s v="Check out our latest image on facebook!"/>
    <n v="3090"/>
    <n v="697"/>
    <n v="164"/>
    <n v="49440"/>
    <n v="48524"/>
    <n v="25"/>
    <x v="4"/>
    <s v="ModelYCampaign"/>
    <n v="7.9915048543689318E-2"/>
  </r>
  <r>
    <s v="P257"/>
    <x v="3"/>
    <d v="2025-04-06T00:00:00"/>
    <x v="4"/>
    <s v="Check out our latest image on facebook!"/>
    <n v="3090"/>
    <n v="697"/>
    <n v="164"/>
    <n v="49440"/>
    <n v="48524"/>
    <n v="25"/>
    <x v="3"/>
    <s v="ModelYCampaign"/>
    <n v="7.9915048543689318E-2"/>
  </r>
  <r>
    <s v="P258"/>
    <x v="2"/>
    <d v="2024-08-05T00:00:00"/>
    <x v="2"/>
    <s v="Check out our latest story on instagram!"/>
    <n v="3601"/>
    <n v="695"/>
    <n v="75"/>
    <n v="21606"/>
    <n v="21454"/>
    <n v="172"/>
    <x v="4"/>
    <s v="ModelYCampaign"/>
    <n v="0.2023049153013052"/>
  </r>
  <r>
    <s v="P259"/>
    <x v="3"/>
    <d v="2025-02-10T00:00:00"/>
    <x v="1"/>
    <s v="Check out our latest text on facebook!"/>
    <n v="562"/>
    <n v="158"/>
    <n v="149"/>
    <n v="3372"/>
    <n v="2940"/>
    <n v="93"/>
    <x v="2"/>
    <s v="CybertruckLaunch"/>
    <n v="0.25771055753262156"/>
  </r>
  <r>
    <s v="P260"/>
    <x v="2"/>
    <d v="2025-02-12T00:00:00"/>
    <x v="2"/>
    <s v="Check out our latest story on instagram!"/>
    <n v="4332"/>
    <n v="771"/>
    <n v="219"/>
    <n v="60648"/>
    <n v="60397"/>
    <n v="10"/>
    <x v="2"/>
    <s v="FSDUpdate"/>
    <n v="8.7752275425405618E-2"/>
  </r>
  <r>
    <s v="P260"/>
    <x v="2"/>
    <d v="2025-02-12T00:00:00"/>
    <x v="2"/>
    <s v="Check out our latest story on instagram!"/>
    <n v="4332"/>
    <n v="771"/>
    <n v="219"/>
    <n v="60648"/>
    <n v="60397"/>
    <n v="10"/>
    <x v="4"/>
    <s v="FSDUpdate"/>
    <n v="8.7752275425405618E-2"/>
  </r>
  <r>
    <s v="P260"/>
    <x v="2"/>
    <d v="2025-02-12T00:00:00"/>
    <x v="2"/>
    <s v="Check out our latest story on instagram!"/>
    <n v="4332"/>
    <n v="771"/>
    <n v="219"/>
    <n v="60648"/>
    <n v="60397"/>
    <n v="10"/>
    <x v="3"/>
    <s v="FSDUpdate"/>
    <n v="8.7752275425405618E-2"/>
  </r>
  <r>
    <s v="P261"/>
    <x v="2"/>
    <d v="2024-10-27T00:00:00"/>
    <x v="4"/>
    <s v="Check out our latest image on instagram!"/>
    <n v="4853"/>
    <n v="837"/>
    <n v="340"/>
    <n v="72795"/>
    <n v="72237"/>
    <n v="170"/>
    <x v="4"/>
    <s v="CybertruckLaunch"/>
    <n v="8.2835359571399134E-2"/>
  </r>
  <r>
    <s v="P262"/>
    <x v="1"/>
    <d v="2025-01-18T00:00:00"/>
    <x v="4"/>
    <s v="Check out our latest image on youtube!"/>
    <n v="1206"/>
    <n v="238"/>
    <n v="36"/>
    <n v="9648"/>
    <n v="9417"/>
    <n v="237"/>
    <x v="2"/>
    <m/>
    <n v="0.15339966832504145"/>
  </r>
  <r>
    <s v="P263"/>
    <x v="2"/>
    <d v="2024-08-20T00:00:00"/>
    <x v="0"/>
    <s v="Check out our latest reel on instagram!"/>
    <n v="2603"/>
    <n v="690"/>
    <n v="205"/>
    <n v="13015"/>
    <n v="12130"/>
    <n v="20"/>
    <x v="0"/>
    <s v="ModelYCampaign"/>
    <n v="0.26876680752977333"/>
  </r>
  <r>
    <s v="P264"/>
    <x v="0"/>
    <d v="2025-01-30T00:00:00"/>
    <x v="4"/>
    <s v="Check out our latest image on twitter!"/>
    <n v="59"/>
    <n v="163"/>
    <n v="93"/>
    <n v="590"/>
    <n v="475"/>
    <n v="293"/>
    <x v="2"/>
    <s v="ModelYCampaign"/>
    <n v="0.53389830508474578"/>
  </r>
  <r>
    <s v="P265"/>
    <x v="0"/>
    <d v="2025-02-20T00:00:00"/>
    <x v="3"/>
    <s v="Check out our latest carousel on twitter!"/>
    <n v="1877"/>
    <n v="745"/>
    <n v="225"/>
    <n v="11262"/>
    <n v="10967"/>
    <n v="41"/>
    <x v="4"/>
    <s v="SustainabilityDrive"/>
    <n v="0.25279701651571657"/>
  </r>
  <r>
    <s v="P266"/>
    <x v="3"/>
    <d v="2024-11-25T00:00:00"/>
    <x v="2"/>
    <s v="Check out our latest story on facebook!"/>
    <n v="4182"/>
    <n v="640"/>
    <n v="240"/>
    <n v="50184"/>
    <n v="49351"/>
    <n v="10"/>
    <x v="2"/>
    <s v="FSDUpdate"/>
    <n v="0.10086880280567512"/>
  </r>
  <r>
    <s v="P267"/>
    <x v="0"/>
    <d v="2024-10-04T00:00:00"/>
    <x v="0"/>
    <s v="Check out our latest reel on twitter!"/>
    <n v="4187"/>
    <n v="66"/>
    <n v="31"/>
    <n v="66992"/>
    <n v="66614"/>
    <n v="62"/>
    <x v="0"/>
    <m/>
    <n v="6.3947934081681396E-2"/>
  </r>
  <r>
    <s v="P268"/>
    <x v="2"/>
    <d v="2025-04-13T00:00:00"/>
    <x v="0"/>
    <s v="Check out our latest reel on instagram!"/>
    <n v="4579"/>
    <n v="125"/>
    <n v="300"/>
    <n v="59527"/>
    <n v="59400"/>
    <n v="269"/>
    <x v="4"/>
    <s v="CybertruckLaunch"/>
    <n v="8.4062694239588759E-2"/>
  </r>
  <r>
    <s v="P269"/>
    <x v="2"/>
    <d v="2024-11-05T00:00:00"/>
    <x v="5"/>
    <s v="Check out our latest video on instagram!"/>
    <n v="4561"/>
    <n v="51"/>
    <n v="441"/>
    <n v="22805"/>
    <n v="21890"/>
    <n v="45"/>
    <x v="2"/>
    <s v="ModelYCampaign"/>
    <n v="0.22157421618066214"/>
  </r>
  <r>
    <s v="P270"/>
    <x v="1"/>
    <d v="2025-01-15T00:00:00"/>
    <x v="0"/>
    <s v="Check out our latest reel on youtube!"/>
    <n v="3774"/>
    <n v="239"/>
    <n v="39"/>
    <n v="60384"/>
    <n v="59490"/>
    <n v="241"/>
    <x v="2"/>
    <s v="FSDUpdate"/>
    <n v="6.7103868574456813E-2"/>
  </r>
  <r>
    <s v="P271"/>
    <x v="2"/>
    <d v="2024-10-17T00:00:00"/>
    <x v="5"/>
    <s v="Check out our latest video on instagram!"/>
    <n v="3575"/>
    <n v="749"/>
    <n v="111"/>
    <n v="21450"/>
    <n v="20785"/>
    <n v="195"/>
    <x v="4"/>
    <s v="ModelYCampaign"/>
    <n v="0.20675990675990677"/>
  </r>
  <r>
    <s v="P272"/>
    <x v="2"/>
    <d v="2025-03-27T00:00:00"/>
    <x v="1"/>
    <s v="Check out our latest text on instagram!"/>
    <n v="4941"/>
    <n v="414"/>
    <n v="266"/>
    <n v="39528"/>
    <n v="39154"/>
    <n v="217"/>
    <x v="2"/>
    <s v="FSDUpdate"/>
    <n v="0.14220299534507186"/>
  </r>
  <r>
    <s v="P273"/>
    <x v="1"/>
    <d v="2024-10-12T00:00:00"/>
    <x v="2"/>
    <s v="Check out our latest story on youtube!"/>
    <n v="3641"/>
    <n v="226"/>
    <n v="46"/>
    <n v="40051"/>
    <n v="39319"/>
    <n v="296"/>
    <x v="4"/>
    <s v="SustainabilityDrive"/>
    <n v="9.7700431949264685E-2"/>
  </r>
  <r>
    <s v="P274"/>
    <x v="0"/>
    <d v="2025-01-01T00:00:00"/>
    <x v="3"/>
    <s v="Check out our latest carousel on twitter!"/>
    <n v="3535"/>
    <n v="494"/>
    <n v="152"/>
    <n v="53025"/>
    <n v="52791"/>
    <n v="44"/>
    <x v="2"/>
    <s v="SustainabilityDrive"/>
    <n v="7.8849599245638849E-2"/>
  </r>
  <r>
    <s v="P275"/>
    <x v="3"/>
    <d v="2024-08-05T00:00:00"/>
    <x v="0"/>
    <s v="Check out our latest reel on facebook!"/>
    <n v="1741"/>
    <n v="831"/>
    <n v="345"/>
    <n v="17410"/>
    <n v="16844"/>
    <n v="58"/>
    <x v="4"/>
    <s v="FSDUpdate"/>
    <n v="0.16754738655944859"/>
  </r>
  <r>
    <s v="P276"/>
    <x v="0"/>
    <d v="2024-06-07T00:00:00"/>
    <x v="3"/>
    <s v="Check out our latest carousel on twitter!"/>
    <n v="1556"/>
    <n v="195"/>
    <n v="131"/>
    <n v="9336"/>
    <n v="8875"/>
    <n v="137"/>
    <x v="2"/>
    <s v="ModelYCampaign"/>
    <n v="0.2015852613538989"/>
  </r>
  <r>
    <s v="P277"/>
    <x v="3"/>
    <d v="2025-04-06T00:00:00"/>
    <x v="4"/>
    <s v="Check out our latest image on facebook!"/>
    <n v="4236"/>
    <n v="711"/>
    <n v="298"/>
    <n v="21180"/>
    <n v="20516"/>
    <n v="238"/>
    <x v="0"/>
    <s v="CybertruckLaunch"/>
    <n v="0.24763928234183191"/>
  </r>
  <r>
    <s v="P278"/>
    <x v="0"/>
    <d v="2024-11-26T00:00:00"/>
    <x v="1"/>
    <s v="Check out our latest text on twitter!"/>
    <n v="4516"/>
    <n v="836"/>
    <n v="169"/>
    <n v="49676"/>
    <n v="49257"/>
    <n v="282"/>
    <x v="4"/>
    <s v="SustainabilityDrive"/>
    <n v="0.11114018842096787"/>
  </r>
  <r>
    <s v="P279"/>
    <x v="1"/>
    <d v="2024-09-02T00:00:00"/>
    <x v="4"/>
    <s v="Check out our latest image on youtube!"/>
    <n v="4905"/>
    <n v="845"/>
    <n v="129"/>
    <n v="98100"/>
    <n v="97772"/>
    <n v="279"/>
    <x v="2"/>
    <s v="ModelYCampaign"/>
    <n v="5.9928644240570844E-2"/>
  </r>
  <r>
    <s v="P280"/>
    <x v="1"/>
    <d v="2024-10-21T00:00:00"/>
    <x v="5"/>
    <s v="Check out our latest video on youtube!"/>
    <n v="4275"/>
    <n v="680"/>
    <n v="385"/>
    <n v="64125"/>
    <n v="63650"/>
    <n v="104"/>
    <x v="4"/>
    <s v="SustainabilityDrive"/>
    <n v="8.3274853801169585E-2"/>
  </r>
  <r>
    <s v="P280"/>
    <x v="1"/>
    <d v="2024-10-21T00:00:00"/>
    <x v="5"/>
    <s v="Check out our latest video on youtube!"/>
    <n v="4275"/>
    <n v="680"/>
    <n v="385"/>
    <n v="64125"/>
    <n v="63650"/>
    <n v="104"/>
    <x v="2"/>
    <s v="SustainabilityDrive"/>
    <n v="8.3274853801169585E-2"/>
  </r>
  <r>
    <s v="P280"/>
    <x v="1"/>
    <d v="2024-10-21T00:00:00"/>
    <x v="5"/>
    <s v="Check out our latest video on youtube!"/>
    <n v="4275"/>
    <n v="680"/>
    <n v="385"/>
    <n v="64125"/>
    <n v="63650"/>
    <n v="104"/>
    <x v="1"/>
    <s v="SustainabilityDrive"/>
    <n v="8.3274853801169585E-2"/>
  </r>
  <r>
    <s v="P281"/>
    <x v="1"/>
    <d v="2025-03-22T00:00:00"/>
    <x v="4"/>
    <s v="Check out our latest image on youtube!"/>
    <n v="3166"/>
    <n v="90"/>
    <n v="341"/>
    <n v="56988"/>
    <n v="56125"/>
    <n v="135"/>
    <x v="4"/>
    <s v="ModelYCampaign"/>
    <n v="6.3118551273952411E-2"/>
  </r>
  <r>
    <s v="P282"/>
    <x v="2"/>
    <d v="2024-10-03T00:00:00"/>
    <x v="5"/>
    <s v="Check out our latest video on instagram!"/>
    <n v="1488"/>
    <n v="417"/>
    <n v="168"/>
    <n v="19344"/>
    <n v="18395"/>
    <n v="30"/>
    <x v="0"/>
    <s v="FSDUpdate"/>
    <n v="0.1071650124069479"/>
  </r>
  <r>
    <s v="P283"/>
    <x v="0"/>
    <d v="2025-05-09T00:00:00"/>
    <x v="0"/>
    <s v="Check out our latest reel on twitter!"/>
    <n v="3367"/>
    <n v="302"/>
    <n v="57"/>
    <n v="63973"/>
    <n v="63789"/>
    <n v="157"/>
    <x v="0"/>
    <s v="ModelYCampaign"/>
    <n v="5.8243321401216137E-2"/>
  </r>
  <r>
    <s v="P284"/>
    <x v="0"/>
    <d v="2024-09-17T00:00:00"/>
    <x v="1"/>
    <s v="Check out our latest text on twitter!"/>
    <n v="571"/>
    <n v="190"/>
    <n v="352"/>
    <n v="9707"/>
    <n v="9418"/>
    <n v="231"/>
    <x v="2"/>
    <s v="SustainabilityDrive"/>
    <n v="0.11465952405480581"/>
  </r>
  <r>
    <s v="P285"/>
    <x v="1"/>
    <d v="2024-07-18T00:00:00"/>
    <x v="1"/>
    <s v="Check out our latest text on youtube!"/>
    <n v="4021"/>
    <n v="794"/>
    <n v="77"/>
    <n v="36189"/>
    <n v="35505"/>
    <n v="174"/>
    <x v="4"/>
    <m/>
    <n v="0.13517919809886983"/>
  </r>
  <r>
    <s v="P286"/>
    <x v="1"/>
    <d v="2024-09-25T00:00:00"/>
    <x v="5"/>
    <s v="Check out our latest video on youtube!"/>
    <n v="3389"/>
    <n v="344"/>
    <n v="229"/>
    <n v="20334"/>
    <n v="19443"/>
    <n v="228"/>
    <x v="0"/>
    <s v="FSDUpdate"/>
    <n v="0.19484607062063539"/>
  </r>
  <r>
    <s v="P287"/>
    <x v="2"/>
    <d v="2024-08-15T00:00:00"/>
    <x v="0"/>
    <s v="Check out our latest reel on instagram!"/>
    <n v="1164"/>
    <n v="616"/>
    <n v="324"/>
    <n v="6984"/>
    <n v="6636"/>
    <n v="82"/>
    <x v="4"/>
    <s v="CybertruckLaunch"/>
    <n v="0.30126002290950743"/>
  </r>
  <r>
    <s v="P288"/>
    <x v="1"/>
    <d v="2025-04-17T00:00:00"/>
    <x v="3"/>
    <s v="Check out our latest carousel on youtube!"/>
    <n v="4780"/>
    <n v="691"/>
    <n v="380"/>
    <n v="86040"/>
    <n v="85743"/>
    <n v="262"/>
    <x v="0"/>
    <s v="FSDUpdate"/>
    <n v="6.800325430032543E-2"/>
  </r>
  <r>
    <s v="P289"/>
    <x v="3"/>
    <d v="2024-11-28T00:00:00"/>
    <x v="3"/>
    <s v="Check out our latest carousel on facebook!"/>
    <n v="2751"/>
    <n v="33"/>
    <n v="430"/>
    <n v="44016"/>
    <n v="43415"/>
    <n v="129"/>
    <x v="0"/>
    <m/>
    <n v="7.3018902217375503E-2"/>
  </r>
  <r>
    <s v="P290"/>
    <x v="2"/>
    <d v="2024-12-20T00:00:00"/>
    <x v="3"/>
    <s v="Check out our latest carousel on instagram!"/>
    <n v="2107"/>
    <n v="550"/>
    <n v="349"/>
    <n v="35819"/>
    <n v="35340"/>
    <n v="191"/>
    <x v="4"/>
    <s v="SustainabilityDrive"/>
    <n v="8.3921940869371006E-2"/>
  </r>
  <r>
    <s v="P291"/>
    <x v="3"/>
    <d v="2024-11-06T00:00:00"/>
    <x v="5"/>
    <s v="Check out our latest video on facebook!"/>
    <n v="4663"/>
    <n v="145"/>
    <n v="225"/>
    <n v="69945"/>
    <n v="69596"/>
    <n v="35"/>
    <x v="4"/>
    <s v="SustainabilityDrive"/>
    <n v="7.1956537279290869E-2"/>
  </r>
  <r>
    <s v="P292"/>
    <x v="3"/>
    <d v="2024-11-17T00:00:00"/>
    <x v="1"/>
    <s v="Check out our latest text on facebook!"/>
    <n v="880"/>
    <n v="297"/>
    <n v="345"/>
    <n v="12320"/>
    <n v="11978"/>
    <n v="238"/>
    <x v="2"/>
    <m/>
    <n v="0.12353896103896105"/>
  </r>
  <r>
    <s v="P292"/>
    <x v="3"/>
    <d v="2024-11-17T00:00:00"/>
    <x v="1"/>
    <s v="Check out our latest text on facebook!"/>
    <n v="880"/>
    <n v="297"/>
    <n v="345"/>
    <n v="12320"/>
    <n v="11978"/>
    <n v="238"/>
    <x v="1"/>
    <m/>
    <n v="0.12353896103896105"/>
  </r>
  <r>
    <s v="P293"/>
    <x v="3"/>
    <d v="2025-05-14T00:00:00"/>
    <x v="1"/>
    <s v="Check out our latest text on facebook!"/>
    <n v="2634"/>
    <n v="726"/>
    <n v="241"/>
    <n v="28974"/>
    <n v="28102"/>
    <n v="277"/>
    <x v="4"/>
    <s v="CybertruckLaunch"/>
    <n v="0.12428384068475185"/>
  </r>
  <r>
    <s v="P294"/>
    <x v="3"/>
    <d v="2024-06-19T00:00:00"/>
    <x v="3"/>
    <s v="Check out our latest carousel on facebook!"/>
    <n v="4731"/>
    <n v="173"/>
    <n v="276"/>
    <n v="28386"/>
    <n v="28185"/>
    <n v="89"/>
    <x v="4"/>
    <s v="FSDUpdate"/>
    <n v="0.18248432325794406"/>
  </r>
  <r>
    <s v="P295"/>
    <x v="0"/>
    <d v="2025-05-06T00:00:00"/>
    <x v="4"/>
    <s v="Check out our latest image on twitter!"/>
    <n v="1952"/>
    <n v="344"/>
    <n v="287"/>
    <n v="15616"/>
    <n v="15403"/>
    <n v="235"/>
    <x v="0"/>
    <s v="ModelYCampaign"/>
    <n v="0.16540727459016394"/>
  </r>
  <r>
    <s v="P295"/>
    <x v="0"/>
    <d v="2025-05-06T00:00:00"/>
    <x v="4"/>
    <s v="Check out our latest image on twitter!"/>
    <n v="1952"/>
    <n v="344"/>
    <n v="287"/>
    <n v="15616"/>
    <n v="15403"/>
    <n v="235"/>
    <x v="2"/>
    <s v="ModelYCampaign"/>
    <n v="0.16540727459016394"/>
  </r>
  <r>
    <s v="P295"/>
    <x v="0"/>
    <d v="2025-05-06T00:00:00"/>
    <x v="4"/>
    <s v="Check out our latest image on twitter!"/>
    <n v="1952"/>
    <n v="344"/>
    <n v="287"/>
    <n v="15616"/>
    <n v="15403"/>
    <n v="235"/>
    <x v="1"/>
    <s v="ModelYCampaign"/>
    <n v="0.16540727459016394"/>
  </r>
  <r>
    <s v="P296"/>
    <x v="0"/>
    <d v="2025-02-11T00:00:00"/>
    <x v="5"/>
    <s v="Check out our latest video on twitter!"/>
    <n v="3440"/>
    <n v="13"/>
    <n v="20"/>
    <n v="58480"/>
    <n v="58146"/>
    <n v="210"/>
    <x v="2"/>
    <s v="SustainabilityDrive"/>
    <n v="5.9387824897400819E-2"/>
  </r>
  <r>
    <s v="P296"/>
    <x v="0"/>
    <d v="2025-02-11T00:00:00"/>
    <x v="5"/>
    <s v="Check out our latest video on twitter!"/>
    <n v="3440"/>
    <n v="13"/>
    <n v="20"/>
    <n v="58480"/>
    <n v="58146"/>
    <n v="210"/>
    <x v="5"/>
    <s v="SustainabilityDrive"/>
    <n v="5.9387824897400819E-2"/>
  </r>
  <r>
    <s v="P297"/>
    <x v="0"/>
    <d v="2024-12-24T00:00:00"/>
    <x v="1"/>
    <s v="Check out our latest text on twitter!"/>
    <n v="2166"/>
    <n v="354"/>
    <n v="117"/>
    <n v="10830"/>
    <n v="10245"/>
    <n v="24"/>
    <x v="4"/>
    <s v="SustainabilityDrive"/>
    <n v="0.24349030470914126"/>
  </r>
  <r>
    <s v="P298"/>
    <x v="3"/>
    <d v="2024-10-24T00:00:00"/>
    <x v="4"/>
    <s v="Check out our latest image on facebook!"/>
    <n v="4303"/>
    <n v="451"/>
    <n v="286"/>
    <n v="86060"/>
    <n v="85823"/>
    <n v="14"/>
    <x v="2"/>
    <s v="FSDUpdate"/>
    <n v="5.8563792702765516E-2"/>
  </r>
  <r>
    <s v="P299"/>
    <x v="3"/>
    <d v="2024-08-26T00:00:00"/>
    <x v="4"/>
    <s v="Check out our latest image on facebook!"/>
    <n v="2581"/>
    <n v="517"/>
    <n v="117"/>
    <n v="23229"/>
    <n v="22331"/>
    <n v="70"/>
    <x v="0"/>
    <s v="FSDUpdate"/>
    <n v="0.13840458048129492"/>
  </r>
  <r>
    <s v="P300"/>
    <x v="0"/>
    <d v="2024-08-31T00:00:00"/>
    <x v="3"/>
    <s v="Check out our latest carousel on twitter!"/>
    <n v="4494"/>
    <n v="717"/>
    <n v="45"/>
    <n v="62916"/>
    <n v="62688"/>
    <n v="191"/>
    <x v="2"/>
    <s v="CybertruckLaunch"/>
    <n v="8.3539958039290485E-2"/>
  </r>
  <r>
    <s v="P300"/>
    <x v="0"/>
    <d v="2024-08-31T00:00:00"/>
    <x v="3"/>
    <s v="Check out our latest carousel on twitter!"/>
    <n v="4494"/>
    <n v="717"/>
    <n v="45"/>
    <n v="62916"/>
    <n v="62688"/>
    <n v="191"/>
    <x v="4"/>
    <s v="CybertruckLaunch"/>
    <n v="8.3539958039290485E-2"/>
  </r>
  <r>
    <s v="P300"/>
    <x v="0"/>
    <d v="2024-08-31T00:00:00"/>
    <x v="3"/>
    <s v="Check out our latest carousel on twitter!"/>
    <n v="4494"/>
    <n v="717"/>
    <n v="45"/>
    <n v="62916"/>
    <n v="62688"/>
    <n v="191"/>
    <x v="3"/>
    <s v="CybertruckLaunch"/>
    <n v="8.3539958039290485E-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9">
  <r>
    <s v="P001"/>
    <s v="Twitter"/>
    <d v="2024-12-23T00:00:00"/>
    <s v="Reel"/>
    <s v="Check out our latest reel on twitter!"/>
    <n v="1461"/>
    <n v="184"/>
    <n v="344"/>
    <n v="21915"/>
    <n v="21675"/>
    <n v="15"/>
    <x v="0"/>
    <s v="CybertruckLaunch"/>
  </r>
  <r>
    <s v="P001"/>
    <s v="Twitter"/>
    <d v="2024-12-23T00:00:00"/>
    <s v="Reel"/>
    <s v="Check out our latest reel on twitter!"/>
    <n v="1461"/>
    <n v="184"/>
    <n v="344"/>
    <n v="21915"/>
    <n v="21675"/>
    <n v="15"/>
    <x v="1"/>
    <s v="CybertruckLaunch"/>
  </r>
  <r>
    <s v="P002"/>
    <s v="Twitter"/>
    <d v="2025-04-03T00:00:00"/>
    <s v="Text"/>
    <s v="Check out our latest text on twitter!"/>
    <n v="4054"/>
    <n v="389"/>
    <n v="493"/>
    <n v="64864"/>
    <n v="64383"/>
    <n v="117"/>
    <x v="2"/>
    <s v="ModelYCampaign"/>
  </r>
  <r>
    <s v="P002"/>
    <s v="Twitter"/>
    <d v="2025-04-03T00:00:00"/>
    <s v="Text"/>
    <s v="Check out our latest text on twitter!"/>
    <n v="4054"/>
    <n v="389"/>
    <n v="493"/>
    <n v="64864"/>
    <n v="64383"/>
    <n v="117"/>
    <x v="3"/>
    <s v="ModelYCampaign"/>
  </r>
  <r>
    <s v="P003"/>
    <s v="YouTube"/>
    <d v="2025-05-12T00:00:00"/>
    <s v="Reel"/>
    <s v="Check out our latest reel on youtube!"/>
    <n v="2795"/>
    <n v="105"/>
    <n v="49"/>
    <n v="53105"/>
    <n v="52307"/>
    <n v="204"/>
    <x v="2"/>
    <s v="FSDUpdate"/>
  </r>
  <r>
    <s v="P004"/>
    <s v="Instagram"/>
    <d v="2024-08-12T00:00:00"/>
    <s v="Story"/>
    <s v="Check out our latest story on instagram!"/>
    <n v="2404"/>
    <n v="363"/>
    <n v="138"/>
    <n v="19232"/>
    <n v="18636"/>
    <n v="128"/>
    <x v="4"/>
    <s v="SustainabilityDrive"/>
  </r>
  <r>
    <s v="P005"/>
    <s v="YouTube"/>
    <d v="2024-06-26T00:00:00"/>
    <s v="Reel"/>
    <s v="Check out our latest reel on youtube!"/>
    <n v="3557"/>
    <n v="687"/>
    <n v="424"/>
    <n v="71140"/>
    <n v="70701"/>
    <n v="224"/>
    <x v="4"/>
    <s v="CybertruckLaunch"/>
  </r>
  <r>
    <s v="P005"/>
    <s v="YouTube"/>
    <d v="2024-06-26T00:00:00"/>
    <s v="Reel"/>
    <s v="Check out our latest reel on youtube!"/>
    <n v="3557"/>
    <n v="687"/>
    <n v="424"/>
    <n v="71140"/>
    <n v="70701"/>
    <n v="224"/>
    <x v="2"/>
    <s v="CybertruckLaunch"/>
  </r>
  <r>
    <s v="P006"/>
    <s v="Facebook"/>
    <d v="2024-10-31T00:00:00"/>
    <s v="Carousel"/>
    <s v="Check out our latest carousel on facebook!"/>
    <n v="2945"/>
    <n v="930"/>
    <n v="355"/>
    <n v="23560"/>
    <n v="23275"/>
    <n v="256"/>
    <x v="2"/>
    <s v="ModelYCampaign"/>
  </r>
  <r>
    <s v="P007"/>
    <s v="Twitter"/>
    <d v="2024-06-24T00:00:00"/>
    <s v="Carousel"/>
    <s v="Check out our latest carousel on twitter!"/>
    <n v="3860"/>
    <n v="201"/>
    <n v="279"/>
    <n v="61760"/>
    <n v="61660"/>
    <n v="235"/>
    <x v="2"/>
    <s v="ModelYCampaign"/>
  </r>
  <r>
    <s v="P008"/>
    <s v="YouTube"/>
    <d v="2024-07-13T00:00:00"/>
    <s v="Image"/>
    <s v="Check out our latest image on youtube!"/>
    <n v="3929"/>
    <n v="262"/>
    <n v="278"/>
    <n v="43219"/>
    <n v="42841"/>
    <n v="39"/>
    <x v="4"/>
    <s v="SustainabilityDrive"/>
  </r>
  <r>
    <s v="P009"/>
    <s v="Facebook"/>
    <d v="2024-08-30T00:00:00"/>
    <s v="Text"/>
    <s v="Check out our latest text on facebook!"/>
    <n v="3784"/>
    <n v="808"/>
    <n v="404"/>
    <n v="56760"/>
    <n v="56343"/>
    <n v="131"/>
    <x v="2"/>
    <s v="ModelYCampaign"/>
  </r>
  <r>
    <s v="P010"/>
    <s v="Facebook"/>
    <d v="2025-03-11T00:00:00"/>
    <s v="Image"/>
    <s v="Check out our latest image on facebook!"/>
    <n v="4241"/>
    <n v="902"/>
    <n v="47"/>
    <n v="72097"/>
    <n v="71598"/>
    <n v="167"/>
    <x v="2"/>
    <s v="ModelYCampaign"/>
  </r>
  <r>
    <s v="P011"/>
    <s v="Instagram"/>
    <d v="2025-02-02T00:00:00"/>
    <s v="Story"/>
    <s v="Check out our latest story on instagram!"/>
    <n v="1792"/>
    <n v="614"/>
    <n v="497"/>
    <n v="25088"/>
    <n v="24675"/>
    <n v="65"/>
    <x v="0"/>
    <s v="SustainabilityDrive"/>
  </r>
  <r>
    <s v="P012"/>
    <s v="Facebook"/>
    <d v="2024-07-21T00:00:00"/>
    <s v="Reel"/>
    <s v="Check out our latest reel on facebook!"/>
    <n v="1946"/>
    <n v="686"/>
    <n v="377"/>
    <n v="23352"/>
    <n v="22982"/>
    <n v="213"/>
    <x v="0"/>
    <s v="FSDUpdate"/>
  </r>
  <r>
    <s v="P013"/>
    <s v="YouTube"/>
    <d v="2024-11-18T00:00:00"/>
    <s v="Carousel"/>
    <s v="Check out our latest carousel on youtube!"/>
    <n v="1171"/>
    <n v="286"/>
    <n v="231"/>
    <n v="22249"/>
    <n v="21282"/>
    <n v="114"/>
    <x v="4"/>
    <s v="CybertruckLaunch"/>
  </r>
  <r>
    <s v="P014"/>
    <s v="Facebook"/>
    <d v="2025-02-16T00:00:00"/>
    <s v="Story"/>
    <s v="Check out our latest story on facebook!"/>
    <n v="4242"/>
    <n v="555"/>
    <n v="131"/>
    <n v="33936"/>
    <n v="33802"/>
    <n v="265"/>
    <x v="0"/>
    <m/>
  </r>
  <r>
    <s v="P015"/>
    <s v="Facebook"/>
    <d v="2024-10-24T00:00:00"/>
    <s v="Video"/>
    <s v="Check out our latest video on facebook!"/>
    <n v="3888"/>
    <n v="604"/>
    <n v="128"/>
    <n v="77760"/>
    <n v="77167"/>
    <n v="20"/>
    <x v="0"/>
    <s v="CybertruckLaunch"/>
  </r>
  <r>
    <s v="P016"/>
    <s v="Facebook"/>
    <d v="2024-08-26T00:00:00"/>
    <s v="Text"/>
    <s v="Check out our latest text on facebook!"/>
    <n v="3452"/>
    <n v="377"/>
    <n v="360"/>
    <n v="55232"/>
    <n v="55075"/>
    <n v="87"/>
    <x v="0"/>
    <s v="FSDUpdate"/>
  </r>
  <r>
    <s v="P017"/>
    <s v="Facebook"/>
    <d v="2025-05-05T00:00:00"/>
    <s v="Text"/>
    <s v="Check out our latest text on facebook!"/>
    <n v="4441"/>
    <n v="511"/>
    <n v="70"/>
    <n v="53292"/>
    <n v="53082"/>
    <n v="159"/>
    <x v="4"/>
    <s v="SustainabilityDrive"/>
  </r>
  <r>
    <s v="P018"/>
    <s v="Instagram"/>
    <d v="2024-08-19T00:00:00"/>
    <s v="Reel"/>
    <s v="Check out our latest reel on instagram!"/>
    <n v="3000"/>
    <n v="382"/>
    <n v="325"/>
    <n v="36000"/>
    <n v="35819"/>
    <n v="19"/>
    <x v="0"/>
    <s v="CybertruckLaunch"/>
  </r>
  <r>
    <s v="P019"/>
    <s v="Instagram"/>
    <d v="2024-06-23T00:00:00"/>
    <s v="Video"/>
    <s v="Check out our latest video on instagram!"/>
    <n v="1071"/>
    <n v="519"/>
    <n v="22"/>
    <n v="16065"/>
    <n v="15865"/>
    <n v="103"/>
    <x v="2"/>
    <s v="SustainabilityDrive"/>
  </r>
  <r>
    <s v="P020"/>
    <s v="Instagram"/>
    <d v="2024-09-09T00:00:00"/>
    <s v="Carousel"/>
    <s v="Check out our latest carousel on instagram!"/>
    <n v="4054"/>
    <n v="488"/>
    <n v="373"/>
    <n v="77026"/>
    <n v="76881"/>
    <n v="25"/>
    <x v="2"/>
    <s v="CybertruckLaunch"/>
  </r>
  <r>
    <s v="P021"/>
    <s v="Instagram"/>
    <d v="2025-01-04T00:00:00"/>
    <s v="Reel"/>
    <s v="Check out our latest reel on instagram!"/>
    <n v="4838"/>
    <n v="640"/>
    <n v="128"/>
    <n v="72570"/>
    <n v="72396"/>
    <n v="83"/>
    <x v="0"/>
    <s v="SustainabilityDrive"/>
  </r>
  <r>
    <s v="P022"/>
    <s v="Facebook"/>
    <d v="2025-02-27T00:00:00"/>
    <s v="Text"/>
    <s v="Check out our latest text on facebook!"/>
    <n v="1570"/>
    <n v="187"/>
    <n v="260"/>
    <n v="25120"/>
    <n v="24613"/>
    <n v="133"/>
    <x v="2"/>
    <s v="SustainabilityDrive"/>
  </r>
  <r>
    <s v="P023"/>
    <s v="Facebook"/>
    <d v="2024-11-06T00:00:00"/>
    <s v="Video"/>
    <s v="Check out our latest video on facebook!"/>
    <n v="1606"/>
    <n v="547"/>
    <n v="316"/>
    <n v="32120"/>
    <n v="31736"/>
    <n v="225"/>
    <x v="2"/>
    <s v="ModelYCampaign"/>
  </r>
  <r>
    <s v="P023"/>
    <s v="Facebook"/>
    <d v="2024-11-06T00:00:00"/>
    <s v="Video"/>
    <s v="Check out our latest video on facebook!"/>
    <n v="1606"/>
    <n v="547"/>
    <n v="316"/>
    <n v="32120"/>
    <n v="31736"/>
    <n v="225"/>
    <x v="1"/>
    <s v="ModelYCampaign"/>
  </r>
  <r>
    <s v="P024"/>
    <s v="Facebook"/>
    <d v="2025-01-23T00:00:00"/>
    <s v="Video"/>
    <s v="Check out our latest video on facebook!"/>
    <n v="3961"/>
    <n v="761"/>
    <n v="131"/>
    <n v="67337"/>
    <n v="66615"/>
    <n v="161"/>
    <x v="0"/>
    <s v="FSDUpdate"/>
  </r>
  <r>
    <s v="P025"/>
    <s v="Twitter"/>
    <d v="2025-04-10T00:00:00"/>
    <s v="Carousel"/>
    <s v="Check out our latest carousel on twitter!"/>
    <n v="3128"/>
    <n v="211"/>
    <n v="197"/>
    <n v="59432"/>
    <n v="59182"/>
    <n v="238"/>
    <x v="4"/>
    <m/>
  </r>
  <r>
    <s v="P026"/>
    <s v="YouTube"/>
    <d v="2025-04-05T00:00:00"/>
    <s v="Reel"/>
    <s v="Check out our latest reel on youtube!"/>
    <n v="3009"/>
    <n v="413"/>
    <n v="358"/>
    <n v="42126"/>
    <n v="41309"/>
    <n v="211"/>
    <x v="0"/>
    <s v="ModelYCampaign"/>
  </r>
  <r>
    <s v="P027"/>
    <s v="YouTube"/>
    <d v="2024-09-17T00:00:00"/>
    <s v="Text"/>
    <s v="Check out our latest text on youtube!"/>
    <n v="2076"/>
    <n v="195"/>
    <n v="104"/>
    <n v="33216"/>
    <n v="32244"/>
    <n v="51"/>
    <x v="0"/>
    <s v="SustainabilityDrive"/>
  </r>
  <r>
    <s v="P028"/>
    <s v="Instagram"/>
    <d v="2025-03-04T00:00:00"/>
    <s v="Video"/>
    <s v="Check out our latest video on instagram!"/>
    <n v="432"/>
    <n v="624"/>
    <n v="123"/>
    <n v="6912"/>
    <n v="6259"/>
    <n v="79"/>
    <x v="0"/>
    <s v="SustainabilityDrive"/>
  </r>
  <r>
    <s v="P029"/>
    <s v="Instagram"/>
    <d v="2025-01-31T00:00:00"/>
    <s v="Carousel"/>
    <s v="Check out our latest carousel on instagram!"/>
    <n v="2566"/>
    <n v="118"/>
    <n v="37"/>
    <n v="12830"/>
    <n v="12264"/>
    <n v="221"/>
    <x v="0"/>
    <s v="FSDUpdate"/>
  </r>
  <r>
    <s v="P030"/>
    <s v="Instagram"/>
    <d v="2025-02-25T00:00:00"/>
    <s v="Video"/>
    <s v="Check out our latest video on instagram!"/>
    <n v="3095"/>
    <n v="39"/>
    <n v="78"/>
    <n v="55710"/>
    <n v="54808"/>
    <n v="93"/>
    <x v="4"/>
    <m/>
  </r>
  <r>
    <s v="P031"/>
    <s v="Instagram"/>
    <d v="2024-12-16T00:00:00"/>
    <s v="Text"/>
    <s v="Check out our latest text on instagram!"/>
    <n v="438"/>
    <n v="153"/>
    <n v="275"/>
    <n v="3066"/>
    <n v="2701"/>
    <n v="282"/>
    <x v="2"/>
    <s v="ModelYCampaign"/>
  </r>
  <r>
    <s v="P032"/>
    <s v="Twitter"/>
    <d v="2024-07-31T00:00:00"/>
    <s v="Carousel"/>
    <s v="Check out our latest carousel on twitter!"/>
    <n v="2278"/>
    <n v="10"/>
    <n v="321"/>
    <n v="13668"/>
    <n v="12676"/>
    <n v="275"/>
    <x v="4"/>
    <s v="CybertruckLaunch"/>
  </r>
  <r>
    <s v="P033"/>
    <s v="Facebook"/>
    <d v="2024-08-21T00:00:00"/>
    <s v="Image"/>
    <s v="Check out our latest image on facebook!"/>
    <n v="1407"/>
    <n v="400"/>
    <n v="351"/>
    <n v="16884"/>
    <n v="15954"/>
    <n v="113"/>
    <x v="2"/>
    <s v="CybertruckLaunch"/>
  </r>
  <r>
    <s v="P034"/>
    <s v="Facebook"/>
    <d v="2025-03-26T00:00:00"/>
    <s v="Text"/>
    <s v="Check out our latest text on facebook!"/>
    <n v="1652"/>
    <n v="89"/>
    <n v="357"/>
    <n v="29736"/>
    <n v="28771"/>
    <n v="215"/>
    <x v="2"/>
    <s v="FSDUpdate"/>
  </r>
  <r>
    <s v="P035"/>
    <s v="Instagram"/>
    <d v="2024-11-30T00:00:00"/>
    <s v="Video"/>
    <s v="Check out our latest video on instagram!"/>
    <n v="3775"/>
    <n v="16"/>
    <n v="239"/>
    <n v="33975"/>
    <n v="33310"/>
    <n v="271"/>
    <x v="0"/>
    <s v="ModelYCampaign"/>
  </r>
  <r>
    <s v="P036"/>
    <s v="Instagram"/>
    <d v="2025-04-19T00:00:00"/>
    <s v="Story"/>
    <s v="Check out our latest story on instagram!"/>
    <n v="4518"/>
    <n v="285"/>
    <n v="383"/>
    <n v="67770"/>
    <n v="67621"/>
    <n v="31"/>
    <x v="4"/>
    <s v="ModelYCampaign"/>
  </r>
  <r>
    <s v="P037"/>
    <s v="Facebook"/>
    <d v="2025-01-06T00:00:00"/>
    <s v="Carousel"/>
    <s v="Check out our latest carousel on facebook!"/>
    <n v="3024"/>
    <n v="925"/>
    <n v="350"/>
    <n v="24192"/>
    <n v="23518"/>
    <n v="36"/>
    <x v="4"/>
    <s v="ModelYCampaign"/>
  </r>
  <r>
    <s v="P038"/>
    <s v="YouTube"/>
    <d v="2025-02-17T00:00:00"/>
    <s v="Reel"/>
    <s v="Check out our latest reel on youtube!"/>
    <n v="3138"/>
    <n v="123"/>
    <n v="291"/>
    <n v="28242"/>
    <n v="27550"/>
    <n v="87"/>
    <x v="2"/>
    <s v="SustainabilityDrive"/>
  </r>
  <r>
    <s v="P039"/>
    <s v="Facebook"/>
    <d v="2024-11-25T00:00:00"/>
    <s v="Image"/>
    <s v="Check out our latest image on facebook!"/>
    <n v="3564"/>
    <n v="629"/>
    <n v="177"/>
    <n v="60588"/>
    <n v="59627"/>
    <n v="92"/>
    <x v="2"/>
    <m/>
  </r>
  <r>
    <s v="P040"/>
    <s v="Twitter"/>
    <d v="2025-03-07T00:00:00"/>
    <s v="Image"/>
    <s v="Check out our latest image on twitter!"/>
    <n v="4750"/>
    <n v="151"/>
    <n v="415"/>
    <n v="38000"/>
    <n v="37792"/>
    <n v="299"/>
    <x v="4"/>
    <s v="SustainabilityDrive"/>
  </r>
  <r>
    <s v="P041"/>
    <s v="Instagram"/>
    <d v="2025-03-08T00:00:00"/>
    <s v="Reel"/>
    <s v="Check out our latest reel on instagram!"/>
    <n v="456"/>
    <n v="629"/>
    <n v="428"/>
    <n v="8208"/>
    <n v="7377"/>
    <n v="205"/>
    <x v="0"/>
    <s v="SustainabilityDrive"/>
  </r>
  <r>
    <s v="P042"/>
    <s v="YouTube"/>
    <d v="2025-03-05T00:00:00"/>
    <s v="Reel"/>
    <s v="Check out our latest reel on youtube!"/>
    <n v="1543"/>
    <n v="820"/>
    <n v="333"/>
    <n v="12344"/>
    <n v="11496"/>
    <n v="241"/>
    <x v="4"/>
    <m/>
  </r>
  <r>
    <s v="P043"/>
    <s v="Instagram"/>
    <d v="2024-12-14T00:00:00"/>
    <s v="Carousel"/>
    <s v="Check out our latest carousel on instagram!"/>
    <n v="2174"/>
    <n v="658"/>
    <n v="15"/>
    <n v="13044"/>
    <n v="12206"/>
    <n v="137"/>
    <x v="2"/>
    <s v="FSDUpdate"/>
  </r>
  <r>
    <s v="P044"/>
    <s v="Twitter"/>
    <d v="2025-03-02T00:00:00"/>
    <s v="Image"/>
    <s v="Check out our latest image on twitter!"/>
    <n v="2358"/>
    <n v="784"/>
    <n v="344"/>
    <n v="35370"/>
    <n v="34475"/>
    <n v="216"/>
    <x v="2"/>
    <m/>
  </r>
  <r>
    <s v="P045"/>
    <s v="Facebook"/>
    <d v="2024-11-01T00:00:00"/>
    <s v="Video"/>
    <s v="Check out our latest video on facebook!"/>
    <n v="3371"/>
    <n v="106"/>
    <n v="327"/>
    <n v="50565"/>
    <n v="49816"/>
    <n v="176"/>
    <x v="0"/>
    <s v="CybertruckLaunch"/>
  </r>
  <r>
    <s v="P046"/>
    <s v="Twitter"/>
    <d v="2025-05-02T00:00:00"/>
    <s v="Video"/>
    <s v="Check out our latest video on twitter!"/>
    <n v="1108"/>
    <n v="177"/>
    <n v="212"/>
    <n v="8864"/>
    <n v="8710"/>
    <n v="97"/>
    <x v="2"/>
    <s v="SustainabilityDrive"/>
  </r>
  <r>
    <s v="P047"/>
    <s v="Twitter"/>
    <d v="2025-02-24T00:00:00"/>
    <s v="Carousel"/>
    <s v="Check out our latest carousel on twitter!"/>
    <n v="2704"/>
    <n v="752"/>
    <n v="153"/>
    <n v="21632"/>
    <n v="20792"/>
    <n v="127"/>
    <x v="0"/>
    <m/>
  </r>
  <r>
    <s v="P048"/>
    <s v="Twitter"/>
    <d v="2025-03-11T00:00:00"/>
    <s v="Story"/>
    <s v="Check out our latest story on twitter!"/>
    <n v="1950"/>
    <n v="295"/>
    <n v="478"/>
    <n v="37050"/>
    <n v="36272"/>
    <n v="119"/>
    <x v="2"/>
    <m/>
  </r>
  <r>
    <s v="P049"/>
    <s v="Twitter"/>
    <d v="2024-06-10T00:00:00"/>
    <s v="Story"/>
    <s v="Check out our latest story on twitter!"/>
    <n v="2164"/>
    <n v="549"/>
    <n v="274"/>
    <n v="28132"/>
    <n v="27361"/>
    <n v="177"/>
    <x v="2"/>
    <s v="SustainabilityDrive"/>
  </r>
  <r>
    <s v="P050"/>
    <s v="YouTube"/>
    <d v="2024-07-03T00:00:00"/>
    <s v="Story"/>
    <s v="Check out our latest story on youtube!"/>
    <n v="2754"/>
    <n v="130"/>
    <n v="90"/>
    <n v="22032"/>
    <n v="21288"/>
    <n v="112"/>
    <x v="2"/>
    <s v="FSDUpdate"/>
  </r>
  <r>
    <s v="P051"/>
    <s v="Facebook"/>
    <d v="2024-06-13T00:00:00"/>
    <s v="Carousel"/>
    <s v="Check out our latest carousel on facebook!"/>
    <n v="2200"/>
    <n v="504"/>
    <n v="239"/>
    <n v="37400"/>
    <n v="36938"/>
    <n v="225"/>
    <x v="0"/>
    <s v="ModelYCampaign"/>
  </r>
  <r>
    <s v="P052"/>
    <s v="Facebook"/>
    <d v="2025-01-03T00:00:00"/>
    <s v="Image"/>
    <s v="Check out our latest image on facebook!"/>
    <n v="947"/>
    <n v="338"/>
    <n v="350"/>
    <n v="10417"/>
    <n v="9730"/>
    <n v="34"/>
    <x v="2"/>
    <s v="SustainabilityDrive"/>
  </r>
  <r>
    <s v="P053"/>
    <s v="YouTube"/>
    <d v="2025-02-24T00:00:00"/>
    <s v="Carousel"/>
    <s v="Check out our latest carousel on youtube!"/>
    <n v="804"/>
    <n v="639"/>
    <n v="43"/>
    <n v="4020"/>
    <n v="3144"/>
    <n v="11"/>
    <x v="4"/>
    <m/>
  </r>
  <r>
    <s v="P053"/>
    <s v="YouTube"/>
    <d v="2025-02-24T00:00:00"/>
    <s v="Carousel"/>
    <s v="Check out our latest carousel on youtube!"/>
    <n v="804"/>
    <n v="639"/>
    <n v="43"/>
    <n v="4020"/>
    <n v="3144"/>
    <n v="11"/>
    <x v="3"/>
    <m/>
  </r>
  <r>
    <s v="P054"/>
    <s v="YouTube"/>
    <d v="2025-03-13T00:00:00"/>
    <s v="Carousel"/>
    <s v="Check out our latest carousel on youtube!"/>
    <n v="1686"/>
    <n v="904"/>
    <n v="472"/>
    <n v="18546"/>
    <n v="18171"/>
    <n v="52"/>
    <x v="0"/>
    <s v="ModelYCampaign"/>
  </r>
  <r>
    <s v="P055"/>
    <s v="Facebook"/>
    <d v="2024-06-17T00:00:00"/>
    <s v="Image"/>
    <s v="Check out our latest image on facebook!"/>
    <n v="1226"/>
    <n v="119"/>
    <n v="7"/>
    <n v="14712"/>
    <n v="14049"/>
    <n v="123"/>
    <x v="4"/>
    <s v="SustainabilityDrive"/>
  </r>
  <r>
    <s v="P056"/>
    <s v="Facebook"/>
    <d v="2024-12-18T00:00:00"/>
    <s v="Carousel"/>
    <s v="Check out our latest carousel on facebook!"/>
    <n v="2946"/>
    <n v="498"/>
    <n v="367"/>
    <n v="29460"/>
    <n v="28527"/>
    <n v="60"/>
    <x v="0"/>
    <s v="FSDUpdate"/>
  </r>
  <r>
    <s v="P057"/>
    <s v="Twitter"/>
    <d v="2024-10-21T00:00:00"/>
    <s v="Video"/>
    <s v="Check out our latest video on twitter!"/>
    <n v="2825"/>
    <n v="535"/>
    <n v="295"/>
    <n v="45200"/>
    <n v="44739"/>
    <n v="169"/>
    <x v="2"/>
    <s v="CybertruckLaunch"/>
  </r>
  <r>
    <s v="P058"/>
    <s v="Instagram"/>
    <d v="2025-04-15T00:00:00"/>
    <s v="Reel"/>
    <s v="Check out our latest reel on instagram!"/>
    <n v="103"/>
    <n v="770"/>
    <n v="19"/>
    <n v="1030"/>
    <n v="410"/>
    <n v="262"/>
    <x v="2"/>
    <s v="SustainabilityDrive"/>
  </r>
  <r>
    <s v="P059"/>
    <s v="Instagram"/>
    <d v="2024-06-22T00:00:00"/>
    <s v="Text"/>
    <s v="Check out our latest text on instagram!"/>
    <n v="2180"/>
    <n v="263"/>
    <n v="387"/>
    <n v="30520"/>
    <n v="30059"/>
    <n v="174"/>
    <x v="4"/>
    <m/>
  </r>
  <r>
    <s v="P060"/>
    <s v="Instagram"/>
    <d v="2025-01-28T00:00:00"/>
    <s v="Video"/>
    <s v="Check out our latest video on instagram!"/>
    <n v="904"/>
    <n v="973"/>
    <n v="63"/>
    <n v="11752"/>
    <n v="11580"/>
    <n v="84"/>
    <x v="4"/>
    <s v="FSDUpdate"/>
  </r>
  <r>
    <s v="P060"/>
    <s v="Instagram"/>
    <d v="2025-01-28T00:00:00"/>
    <s v="Video"/>
    <s v="Check out our latest video on instagram!"/>
    <n v="904"/>
    <n v="973"/>
    <n v="63"/>
    <n v="11752"/>
    <n v="11580"/>
    <n v="84"/>
    <x v="2"/>
    <s v="FSDUpdate"/>
  </r>
  <r>
    <s v="P060"/>
    <s v="Instagram"/>
    <d v="2025-01-28T00:00:00"/>
    <s v="Video"/>
    <s v="Check out our latest video on instagram!"/>
    <n v="904"/>
    <n v="973"/>
    <n v="63"/>
    <n v="11752"/>
    <n v="11580"/>
    <n v="84"/>
    <x v="1"/>
    <s v="FSDUpdate"/>
  </r>
  <r>
    <s v="P061"/>
    <s v="Twitter"/>
    <d v="2024-09-05T00:00:00"/>
    <s v="Video"/>
    <s v="Check out our latest video on twitter!"/>
    <n v="4886"/>
    <n v="983"/>
    <n v="409"/>
    <n v="43974"/>
    <n v="43239"/>
    <n v="65"/>
    <x v="2"/>
    <s v="CybertruckLaunch"/>
  </r>
  <r>
    <s v="P062"/>
    <s v="Twitter"/>
    <d v="2024-11-22T00:00:00"/>
    <s v="Carousel"/>
    <s v="Check out our latest carousel on twitter!"/>
    <n v="53"/>
    <n v="81"/>
    <n v="379"/>
    <n v="954"/>
    <n v="7"/>
    <n v="148"/>
    <x v="2"/>
    <s v="FSDUpdate"/>
  </r>
  <r>
    <s v="P063"/>
    <s v="Twitter"/>
    <d v="2024-07-31T00:00:00"/>
    <s v="Carousel"/>
    <s v="Check out our latest carousel on twitter!"/>
    <n v="4507"/>
    <n v="217"/>
    <n v="13"/>
    <n v="90140"/>
    <n v="89591"/>
    <n v="125"/>
    <x v="0"/>
    <s v="FSDUpdate"/>
  </r>
  <r>
    <s v="P064"/>
    <s v="Facebook"/>
    <d v="2024-08-17T00:00:00"/>
    <s v="Image"/>
    <s v="Check out our latest image on facebook!"/>
    <n v="2878"/>
    <n v="248"/>
    <n v="416"/>
    <n v="43170"/>
    <n v="42667"/>
    <n v="75"/>
    <x v="0"/>
    <s v="FSDUpdate"/>
  </r>
  <r>
    <s v="P065"/>
    <s v="Instagram"/>
    <d v="2025-03-28T00:00:00"/>
    <s v="Story"/>
    <s v="Check out our latest story on instagram!"/>
    <n v="1881"/>
    <n v="501"/>
    <n v="99"/>
    <n v="20691"/>
    <n v="19987"/>
    <n v="289"/>
    <x v="4"/>
    <m/>
  </r>
  <r>
    <s v="P066"/>
    <s v="Twitter"/>
    <d v="2024-07-26T00:00:00"/>
    <s v="Carousel"/>
    <s v="Check out our latest carousel on twitter!"/>
    <n v="432"/>
    <n v="171"/>
    <n v="280"/>
    <n v="3024"/>
    <n v="2285"/>
    <n v="184"/>
    <x v="4"/>
    <s v="CybertruckLaunch"/>
  </r>
  <r>
    <s v="P067"/>
    <s v="Facebook"/>
    <d v="2025-03-29T00:00:00"/>
    <s v="Carousel"/>
    <s v="Check out our latest carousel on facebook!"/>
    <n v="4712"/>
    <n v="568"/>
    <n v="127"/>
    <n v="84816"/>
    <n v="84691"/>
    <n v="100"/>
    <x v="4"/>
    <s v="FSDUpdate"/>
  </r>
  <r>
    <s v="P068"/>
    <s v="Instagram"/>
    <d v="2024-12-08T00:00:00"/>
    <s v="Story"/>
    <s v="Check out our latest story on instagram!"/>
    <n v="2610"/>
    <n v="126"/>
    <n v="288"/>
    <n v="15660"/>
    <n v="15145"/>
    <n v="73"/>
    <x v="4"/>
    <m/>
  </r>
  <r>
    <s v="P069"/>
    <s v="Twitter"/>
    <d v="2025-03-08T00:00:00"/>
    <s v="Text"/>
    <s v="Check out our latest text on twitter!"/>
    <n v="1292"/>
    <n v="626"/>
    <n v="496"/>
    <n v="25840"/>
    <n v="24916"/>
    <n v="149"/>
    <x v="0"/>
    <s v="FSDUpdate"/>
  </r>
  <r>
    <s v="P070"/>
    <s v="Facebook"/>
    <d v="2025-04-02T00:00:00"/>
    <s v="Video"/>
    <s v="Check out our latest video on facebook!"/>
    <n v="199"/>
    <n v="772"/>
    <n v="400"/>
    <n v="3582"/>
    <n v="2988"/>
    <n v="43"/>
    <x v="2"/>
    <m/>
  </r>
  <r>
    <s v="P071"/>
    <s v="YouTube"/>
    <d v="2024-09-02T00:00:00"/>
    <s v="Carousel"/>
    <s v="Check out our latest carousel on youtube!"/>
    <n v="2551"/>
    <n v="915"/>
    <n v="205"/>
    <n v="30612"/>
    <n v="30360"/>
    <n v="227"/>
    <x v="2"/>
    <s v="ModelYCampaign"/>
  </r>
  <r>
    <s v="P072"/>
    <s v="YouTube"/>
    <d v="2025-03-03T00:00:00"/>
    <s v="Reel"/>
    <s v="Check out our latest reel on youtube!"/>
    <n v="296"/>
    <n v="60"/>
    <n v="141"/>
    <n v="5624"/>
    <n v="5239"/>
    <n v="88"/>
    <x v="4"/>
    <s v="ModelYCampaign"/>
  </r>
  <r>
    <s v="P073"/>
    <s v="Facebook"/>
    <d v="2024-10-18T00:00:00"/>
    <s v="Story"/>
    <s v="Check out our latest story on facebook!"/>
    <n v="4126"/>
    <n v="426"/>
    <n v="486"/>
    <n v="78394"/>
    <n v="77798"/>
    <n v="88"/>
    <x v="0"/>
    <s v="SustainabilityDrive"/>
  </r>
  <r>
    <s v="P074"/>
    <s v="YouTube"/>
    <d v="2024-10-28T00:00:00"/>
    <s v="Reel"/>
    <s v="Check out our latest reel on youtube!"/>
    <n v="1855"/>
    <n v="200"/>
    <n v="174"/>
    <n v="16695"/>
    <n v="16330"/>
    <n v="123"/>
    <x v="2"/>
    <s v="FSDUpdate"/>
  </r>
  <r>
    <s v="P075"/>
    <s v="Instagram"/>
    <d v="2024-08-01T00:00:00"/>
    <s v="Reel"/>
    <s v="Check out our latest reel on instagram!"/>
    <n v="1674"/>
    <n v="929"/>
    <n v="37"/>
    <n v="21762"/>
    <n v="20998"/>
    <n v="255"/>
    <x v="2"/>
    <s v="SustainabilityDrive"/>
  </r>
  <r>
    <s v="P076"/>
    <s v="Twitter"/>
    <d v="2024-11-07T00:00:00"/>
    <s v="Story"/>
    <s v="Check out our latest story on twitter!"/>
    <n v="1121"/>
    <n v="135"/>
    <n v="18"/>
    <n v="15694"/>
    <n v="14957"/>
    <n v="99"/>
    <x v="2"/>
    <s v="SustainabilityDrive"/>
  </r>
  <r>
    <s v="P077"/>
    <s v="Facebook"/>
    <d v="2025-03-04T00:00:00"/>
    <s v="Story"/>
    <s v="Check out our latest story on facebook!"/>
    <n v="1249"/>
    <n v="116"/>
    <n v="420"/>
    <n v="8743"/>
    <n v="8538"/>
    <n v="63"/>
    <x v="2"/>
    <m/>
  </r>
  <r>
    <s v="P078"/>
    <s v="Twitter"/>
    <d v="2024-06-17T00:00:00"/>
    <s v="Image"/>
    <s v="Check out our latest image on twitter!"/>
    <n v="954"/>
    <n v="324"/>
    <n v="288"/>
    <n v="19080"/>
    <n v="18859"/>
    <n v="21"/>
    <x v="0"/>
    <s v="SustainabilityDrive"/>
  </r>
  <r>
    <s v="P079"/>
    <s v="Instagram"/>
    <d v="2024-10-09T00:00:00"/>
    <s v="Carousel"/>
    <s v="Check out our latest carousel on instagram!"/>
    <n v="3068"/>
    <n v="137"/>
    <n v="329"/>
    <n v="39884"/>
    <n v="39404"/>
    <n v="266"/>
    <x v="4"/>
    <s v="ModelYCampaign"/>
  </r>
  <r>
    <s v="P080"/>
    <s v="Instagram"/>
    <d v="2024-06-13T00:00:00"/>
    <s v="Story"/>
    <s v="Check out our latest story on instagram!"/>
    <n v="2103"/>
    <n v="892"/>
    <n v="103"/>
    <n v="39957"/>
    <n v="39466"/>
    <n v="28"/>
    <x v="0"/>
    <m/>
  </r>
  <r>
    <s v="P081"/>
    <s v="Instagram"/>
    <d v="2024-10-19T00:00:00"/>
    <s v="Story"/>
    <s v="Check out our latest story on instagram!"/>
    <n v="1816"/>
    <n v="29"/>
    <n v="41"/>
    <n v="19976"/>
    <n v="19262"/>
    <n v="283"/>
    <x v="2"/>
    <s v="FSDUpdate"/>
  </r>
  <r>
    <s v="P082"/>
    <s v="Instagram"/>
    <d v="2024-07-24T00:00:00"/>
    <s v="Image"/>
    <s v="Check out our latest image on instagram!"/>
    <n v="725"/>
    <n v="88"/>
    <n v="428"/>
    <n v="14500"/>
    <n v="13637"/>
    <n v="200"/>
    <x v="0"/>
    <s v="FSDUpdate"/>
  </r>
  <r>
    <s v="P082"/>
    <s v="Instagram"/>
    <d v="2024-07-24T00:00:00"/>
    <s v="Image"/>
    <s v="Check out our latest image on instagram!"/>
    <n v="725"/>
    <n v="88"/>
    <n v="428"/>
    <n v="14500"/>
    <n v="13637"/>
    <n v="200"/>
    <x v="2"/>
    <s v="FSDUpdate"/>
  </r>
  <r>
    <s v="P082"/>
    <s v="Instagram"/>
    <d v="2024-07-24T00:00:00"/>
    <s v="Image"/>
    <s v="Check out our latest image on instagram!"/>
    <n v="725"/>
    <n v="88"/>
    <n v="428"/>
    <n v="14500"/>
    <n v="13637"/>
    <n v="200"/>
    <x v="1"/>
    <s v="FSDUpdate"/>
  </r>
  <r>
    <s v="P083"/>
    <s v="YouTube"/>
    <d v="2024-10-15T00:00:00"/>
    <s v="Video"/>
    <s v="Check out our latest video on youtube!"/>
    <n v="1094"/>
    <n v="472"/>
    <n v="21"/>
    <n v="9846"/>
    <n v="9609"/>
    <n v="112"/>
    <x v="4"/>
    <m/>
  </r>
  <r>
    <s v="P084"/>
    <s v="Facebook"/>
    <d v="2024-12-09T00:00:00"/>
    <s v="Image"/>
    <s v="Check out our latest image on facebook!"/>
    <n v="1841"/>
    <n v="851"/>
    <n v="342"/>
    <n v="34979"/>
    <n v="34154"/>
    <n v="255"/>
    <x v="0"/>
    <s v="SustainabilityDrive"/>
  </r>
  <r>
    <s v="P085"/>
    <s v="Instagram"/>
    <d v="2025-04-19T00:00:00"/>
    <s v="Image"/>
    <s v="Check out our latest image on instagram!"/>
    <n v="4177"/>
    <n v="569"/>
    <n v="55"/>
    <n v="25062"/>
    <n v="24847"/>
    <n v="230"/>
    <x v="0"/>
    <s v="CybertruckLaunch"/>
  </r>
  <r>
    <s v="P086"/>
    <s v="YouTube"/>
    <d v="2025-01-27T00:00:00"/>
    <s v="Text"/>
    <s v="Check out our latest text on youtube!"/>
    <n v="3428"/>
    <n v="305"/>
    <n v="85"/>
    <n v="58276"/>
    <n v="58052"/>
    <n v="242"/>
    <x v="4"/>
    <s v="SustainabilityDrive"/>
  </r>
  <r>
    <s v="P086"/>
    <s v="YouTube"/>
    <d v="2025-01-27T00:00:00"/>
    <s v="Text"/>
    <s v="Check out our latest text on youtube!"/>
    <n v="3428"/>
    <n v="305"/>
    <n v="85"/>
    <n v="58276"/>
    <n v="58052"/>
    <n v="242"/>
    <x v="3"/>
    <s v="SustainabilityDrive"/>
  </r>
  <r>
    <s v="P087"/>
    <s v="Twitter"/>
    <d v="2024-06-06T00:00:00"/>
    <s v="Video"/>
    <s v="Check out our latest video on twitter!"/>
    <n v="1436"/>
    <n v="765"/>
    <n v="496"/>
    <n v="12924"/>
    <n v="12701"/>
    <n v="197"/>
    <x v="0"/>
    <s v="FSDUpdate"/>
  </r>
  <r>
    <s v="P088"/>
    <s v="Facebook"/>
    <d v="2024-07-07T00:00:00"/>
    <s v="Story"/>
    <s v="Check out our latest story on facebook!"/>
    <n v="302"/>
    <n v="47"/>
    <n v="430"/>
    <n v="5738"/>
    <n v="4890"/>
    <n v="25"/>
    <x v="2"/>
    <s v="SustainabilityDrive"/>
  </r>
  <r>
    <s v="P089"/>
    <s v="Twitter"/>
    <d v="2025-01-10T00:00:00"/>
    <s v="Image"/>
    <s v="Check out our latest image on twitter!"/>
    <n v="2214"/>
    <n v="249"/>
    <n v="152"/>
    <n v="15498"/>
    <n v="14800"/>
    <n v="180"/>
    <x v="4"/>
    <m/>
  </r>
  <r>
    <s v="P090"/>
    <s v="Instagram"/>
    <d v="2024-06-03T00:00:00"/>
    <s v="Image"/>
    <s v="Check out our latest image on instagram!"/>
    <n v="3861"/>
    <n v="960"/>
    <n v="101"/>
    <n v="69498"/>
    <n v="68817"/>
    <n v="297"/>
    <x v="2"/>
    <s v="SustainabilityDrive"/>
  </r>
  <r>
    <s v="P091"/>
    <s v="Facebook"/>
    <d v="2025-03-24T00:00:00"/>
    <s v="Image"/>
    <s v="Check out our latest image on facebook!"/>
    <n v="1263"/>
    <n v="397"/>
    <n v="357"/>
    <n v="25260"/>
    <n v="24615"/>
    <n v="137"/>
    <x v="4"/>
    <s v="SustainabilityDrive"/>
  </r>
  <r>
    <s v="P092"/>
    <s v="Twitter"/>
    <d v="2024-10-21T00:00:00"/>
    <s v="Story"/>
    <s v="Check out our latest story on twitter!"/>
    <n v="3801"/>
    <n v="967"/>
    <n v="401"/>
    <n v="38010"/>
    <n v="37625"/>
    <n v="236"/>
    <x v="0"/>
    <s v="FSDUpdate"/>
  </r>
  <r>
    <s v="P093"/>
    <s v="Instagram"/>
    <d v="2024-12-11T00:00:00"/>
    <s v="Video"/>
    <s v="Check out our latest video on instagram!"/>
    <n v="1431"/>
    <n v="951"/>
    <n v="26"/>
    <n v="8586"/>
    <n v="8396"/>
    <n v="150"/>
    <x v="4"/>
    <s v="FSDUpdate"/>
  </r>
  <r>
    <s v="P094"/>
    <s v="Instagram"/>
    <d v="2024-11-07T00:00:00"/>
    <s v="Image"/>
    <s v="Check out our latest image on instagram!"/>
    <n v="2647"/>
    <n v="304"/>
    <n v="170"/>
    <n v="18529"/>
    <n v="17841"/>
    <n v="46"/>
    <x v="0"/>
    <s v="FSDUpdate"/>
  </r>
  <r>
    <s v="P095"/>
    <s v="Instagram"/>
    <d v="2024-11-08T00:00:00"/>
    <s v="Text"/>
    <s v="Check out our latest text on instagram!"/>
    <n v="3182"/>
    <n v="559"/>
    <n v="160"/>
    <n v="57276"/>
    <n v="56890"/>
    <n v="163"/>
    <x v="0"/>
    <s v="SustainabilityDrive"/>
  </r>
  <r>
    <s v="P096"/>
    <s v="Twitter"/>
    <d v="2024-09-10T00:00:00"/>
    <s v="Image"/>
    <s v="Check out our latest image on twitter!"/>
    <n v="1238"/>
    <n v="366"/>
    <n v="444"/>
    <n v="19808"/>
    <n v="19334"/>
    <n v="123"/>
    <x v="0"/>
    <m/>
  </r>
  <r>
    <s v="P097"/>
    <s v="Instagram"/>
    <d v="2024-08-13T00:00:00"/>
    <s v="Image"/>
    <s v="Check out our latest image on instagram!"/>
    <n v="4739"/>
    <n v="527"/>
    <n v="135"/>
    <n v="61607"/>
    <n v="61333"/>
    <n v="36"/>
    <x v="2"/>
    <s v="ModelYCampaign"/>
  </r>
  <r>
    <s v="P097"/>
    <s v="Instagram"/>
    <d v="2024-08-13T00:00:00"/>
    <s v="Image"/>
    <s v="Check out our latest image on instagram!"/>
    <n v="4739"/>
    <n v="527"/>
    <n v="135"/>
    <n v="61607"/>
    <n v="61333"/>
    <n v="36"/>
    <x v="1"/>
    <s v="ModelYCampaign"/>
  </r>
  <r>
    <s v="P098"/>
    <s v="Twitter"/>
    <d v="2024-06-10T00:00:00"/>
    <s v="Story"/>
    <s v="Check out our latest story on twitter!"/>
    <n v="1575"/>
    <n v="771"/>
    <n v="486"/>
    <n v="25200"/>
    <n v="24826"/>
    <n v="17"/>
    <x v="0"/>
    <s v="SustainabilityDrive"/>
  </r>
  <r>
    <s v="P099"/>
    <s v="YouTube"/>
    <d v="2024-07-02T00:00:00"/>
    <s v="Carousel"/>
    <s v="Check out our latest carousel on youtube!"/>
    <n v="4171"/>
    <n v="548"/>
    <n v="86"/>
    <n v="66736"/>
    <n v="66634"/>
    <n v="173"/>
    <x v="0"/>
    <s v="FSDUpdate"/>
  </r>
  <r>
    <s v="P100"/>
    <s v="YouTube"/>
    <d v="2025-02-10T00:00:00"/>
    <s v="Video"/>
    <s v="Check out our latest video on youtube!"/>
    <n v="1766"/>
    <n v="92"/>
    <n v="424"/>
    <n v="24724"/>
    <n v="24333"/>
    <n v="52"/>
    <x v="4"/>
    <m/>
  </r>
  <r>
    <s v="P101"/>
    <s v="YouTube"/>
    <d v="2024-10-18T00:00:00"/>
    <s v="Video"/>
    <s v="Check out our latest video on youtube!"/>
    <n v="4450"/>
    <n v="983"/>
    <n v="143"/>
    <n v="75650"/>
    <n v="75008"/>
    <n v="12"/>
    <x v="0"/>
    <s v="FSDUpdate"/>
  </r>
  <r>
    <s v="P102"/>
    <s v="Twitter"/>
    <d v="2024-09-18T00:00:00"/>
    <s v="Reel"/>
    <s v="Check out our latest reel on twitter!"/>
    <n v="1000"/>
    <n v="978"/>
    <n v="162"/>
    <n v="6000"/>
    <n v="5221"/>
    <n v="223"/>
    <x v="4"/>
    <s v="ModelYCampaign"/>
  </r>
  <r>
    <s v="P103"/>
    <s v="Facebook"/>
    <d v="2024-06-11T00:00:00"/>
    <s v="Image"/>
    <s v="Check out our latest image on facebook!"/>
    <n v="3689"/>
    <n v="48"/>
    <n v="306"/>
    <n v="40579"/>
    <n v="39588"/>
    <n v="212"/>
    <x v="4"/>
    <s v="ModelYCampaign"/>
  </r>
  <r>
    <s v="P104"/>
    <s v="YouTube"/>
    <d v="2025-03-23T00:00:00"/>
    <s v="Story"/>
    <s v="Check out our latest story on youtube!"/>
    <n v="3655"/>
    <n v="568"/>
    <n v="286"/>
    <n v="32895"/>
    <n v="32015"/>
    <n v="199"/>
    <x v="2"/>
    <s v="FSDUpdate"/>
  </r>
  <r>
    <s v="P105"/>
    <s v="Instagram"/>
    <d v="2024-06-14T00:00:00"/>
    <s v="Carousel"/>
    <s v="Check out our latest carousel on instagram!"/>
    <n v="498"/>
    <n v="38"/>
    <n v="42"/>
    <n v="4482"/>
    <n v="3647"/>
    <n v="32"/>
    <x v="0"/>
    <s v="CybertruckLaunch"/>
  </r>
  <r>
    <s v="P106"/>
    <s v="Instagram"/>
    <d v="2025-02-04T00:00:00"/>
    <s v="Image"/>
    <s v="Check out our latest image on instagram!"/>
    <n v="4619"/>
    <n v="821"/>
    <n v="499"/>
    <n v="69285"/>
    <n v="69141"/>
    <n v="298"/>
    <x v="2"/>
    <s v="SustainabilityDrive"/>
  </r>
  <r>
    <s v="P107"/>
    <s v="YouTube"/>
    <d v="2024-06-21T00:00:00"/>
    <s v="Image"/>
    <s v="Check out our latest image on youtube!"/>
    <n v="4832"/>
    <n v="893"/>
    <n v="10"/>
    <n v="91808"/>
    <n v="91296"/>
    <n v="182"/>
    <x v="2"/>
    <m/>
  </r>
  <r>
    <s v="P108"/>
    <s v="Twitter"/>
    <d v="2025-03-25T00:00:00"/>
    <s v="Video"/>
    <s v="Check out our latest video on twitter!"/>
    <n v="4050"/>
    <n v="871"/>
    <n v="347"/>
    <n v="52650"/>
    <n v="51755"/>
    <n v="209"/>
    <x v="2"/>
    <s v="ModelYCampaign"/>
  </r>
  <r>
    <s v="P109"/>
    <s v="Twitter"/>
    <d v="2024-08-08T00:00:00"/>
    <s v="Story"/>
    <s v="Check out our latest story on twitter!"/>
    <n v="3649"/>
    <n v="215"/>
    <n v="413"/>
    <n v="25543"/>
    <n v="24963"/>
    <n v="167"/>
    <x v="0"/>
    <s v="FSDUpdate"/>
  </r>
  <r>
    <s v="P110"/>
    <s v="Instagram"/>
    <d v="2024-07-29T00:00:00"/>
    <s v="Reel"/>
    <s v="Check out our latest reel on instagram!"/>
    <n v="3523"/>
    <n v="753"/>
    <n v="482"/>
    <n v="38753"/>
    <n v="38579"/>
    <n v="270"/>
    <x v="4"/>
    <s v="ModelYCampaign"/>
  </r>
  <r>
    <s v="P111"/>
    <s v="YouTube"/>
    <d v="2024-11-23T00:00:00"/>
    <s v="Image"/>
    <s v="Check out our latest image on youtube!"/>
    <n v="2719"/>
    <n v="17"/>
    <n v="285"/>
    <n v="40785"/>
    <n v="40281"/>
    <n v="40"/>
    <x v="2"/>
    <s v="ModelYCampaign"/>
  </r>
  <r>
    <s v="P112"/>
    <s v="Twitter"/>
    <d v="2024-10-05T00:00:00"/>
    <s v="Story"/>
    <s v="Check out our latest story on twitter!"/>
    <n v="1957"/>
    <n v="877"/>
    <n v="238"/>
    <n v="17613"/>
    <n v="16865"/>
    <n v="297"/>
    <x v="0"/>
    <s v="FSDUpdate"/>
  </r>
  <r>
    <s v="P113"/>
    <s v="Twitter"/>
    <d v="2024-10-02T00:00:00"/>
    <s v="Carousel"/>
    <s v="Check out our latest carousel on twitter!"/>
    <n v="4419"/>
    <n v="236"/>
    <n v="369"/>
    <n v="44190"/>
    <n v="43582"/>
    <n v="10"/>
    <x v="4"/>
    <s v="CybertruckLaunch"/>
  </r>
  <r>
    <s v="P114"/>
    <s v="Twitter"/>
    <d v="2024-11-14T00:00:00"/>
    <s v="Story"/>
    <s v="Check out our latest story on twitter!"/>
    <n v="4000"/>
    <n v="689"/>
    <n v="488"/>
    <n v="40000"/>
    <n v="39569"/>
    <n v="44"/>
    <x v="0"/>
    <s v="CybertruckLaunch"/>
  </r>
  <r>
    <s v="P115"/>
    <s v="Twitter"/>
    <d v="2025-05-11T00:00:00"/>
    <s v="Image"/>
    <s v="Check out our latest image on twitter!"/>
    <n v="2493"/>
    <n v="97"/>
    <n v="44"/>
    <n v="42381"/>
    <n v="41991"/>
    <n v="242"/>
    <x v="2"/>
    <s v="SustainabilityDrive"/>
  </r>
  <r>
    <s v="P115"/>
    <s v="Twitter"/>
    <d v="2025-05-11T00:00:00"/>
    <s v="Image"/>
    <s v="Check out our latest image on twitter!"/>
    <n v="2493"/>
    <n v="97"/>
    <n v="44"/>
    <n v="42381"/>
    <n v="41991"/>
    <n v="242"/>
    <x v="1"/>
    <s v="SustainabilityDrive"/>
  </r>
  <r>
    <s v="P116"/>
    <s v="YouTube"/>
    <d v="2025-03-18T00:00:00"/>
    <s v="Reel"/>
    <s v="Check out our latest reel on youtube!"/>
    <n v="3704"/>
    <n v="186"/>
    <n v="458"/>
    <n v="25928"/>
    <n v="25081"/>
    <n v="131"/>
    <x v="2"/>
    <m/>
  </r>
  <r>
    <s v="P117"/>
    <s v="Twitter"/>
    <d v="2024-11-04T00:00:00"/>
    <s v="Image"/>
    <s v="Check out our latest image on twitter!"/>
    <n v="1606"/>
    <n v="451"/>
    <n v="405"/>
    <n v="20878"/>
    <n v="20190"/>
    <n v="219"/>
    <x v="4"/>
    <s v="SustainabilityDrive"/>
  </r>
  <r>
    <s v="P118"/>
    <s v="Facebook"/>
    <d v="2024-11-04T00:00:00"/>
    <s v="Image"/>
    <s v="Check out our latest image on facebook!"/>
    <n v="4551"/>
    <n v="714"/>
    <n v="207"/>
    <n v="68265"/>
    <n v="67754"/>
    <n v="57"/>
    <x v="0"/>
    <s v="FSDUpdate"/>
  </r>
  <r>
    <s v="P119"/>
    <s v="Instagram"/>
    <d v="2025-02-07T00:00:00"/>
    <s v="Reel"/>
    <s v="Check out our latest reel on instagram!"/>
    <n v="1970"/>
    <n v="675"/>
    <n v="478"/>
    <n v="9850"/>
    <n v="8924"/>
    <n v="117"/>
    <x v="0"/>
    <m/>
  </r>
  <r>
    <s v="P120"/>
    <s v="Facebook"/>
    <d v="2024-10-21T00:00:00"/>
    <s v="Story"/>
    <s v="Check out our latest story on facebook!"/>
    <n v="780"/>
    <n v="928"/>
    <n v="301"/>
    <n v="8580"/>
    <n v="8081"/>
    <n v="91"/>
    <x v="4"/>
    <s v="FSDUpdate"/>
  </r>
  <r>
    <s v="P121"/>
    <s v="Instagram"/>
    <d v="2024-07-29T00:00:00"/>
    <s v="Story"/>
    <s v="Check out our latest story on instagram!"/>
    <n v="498"/>
    <n v="701"/>
    <n v="412"/>
    <n v="4980"/>
    <n v="4185"/>
    <n v="185"/>
    <x v="0"/>
    <m/>
  </r>
  <r>
    <s v="P122"/>
    <s v="Instagram"/>
    <d v="2024-10-02T00:00:00"/>
    <s v="Text"/>
    <s v="Check out our latest text on instagram!"/>
    <n v="3432"/>
    <n v="869"/>
    <n v="123"/>
    <n v="54912"/>
    <n v="53916"/>
    <n v="264"/>
    <x v="4"/>
    <s v="ModelYCampaign"/>
  </r>
  <r>
    <s v="P123"/>
    <s v="Instagram"/>
    <d v="2024-06-14T00:00:00"/>
    <s v="Story"/>
    <s v="Check out our latest story on instagram!"/>
    <n v="4363"/>
    <n v="649"/>
    <n v="140"/>
    <n v="21815"/>
    <n v="21481"/>
    <n v="157"/>
    <x v="4"/>
    <s v="CybertruckLaunch"/>
  </r>
  <r>
    <s v="P124"/>
    <s v="YouTube"/>
    <d v="2025-04-06T00:00:00"/>
    <s v="Carousel"/>
    <s v="Check out our latest carousel on youtube!"/>
    <n v="736"/>
    <n v="771"/>
    <n v="225"/>
    <n v="5152"/>
    <n v="4706"/>
    <n v="19"/>
    <x v="4"/>
    <s v="CybertruckLaunch"/>
  </r>
  <r>
    <s v="P125"/>
    <s v="Twitter"/>
    <d v="2024-09-08T00:00:00"/>
    <s v="Carousel"/>
    <s v="Check out our latest carousel on twitter!"/>
    <n v="3811"/>
    <n v="866"/>
    <n v="216"/>
    <n v="34299"/>
    <n v="34088"/>
    <n v="233"/>
    <x v="2"/>
    <s v="SustainabilityDrive"/>
  </r>
  <r>
    <s v="P126"/>
    <s v="Instagram"/>
    <d v="2025-03-28T00:00:00"/>
    <s v="Carousel"/>
    <s v="Check out our latest carousel on instagram!"/>
    <n v="4158"/>
    <n v="167"/>
    <n v="241"/>
    <n v="45738"/>
    <n v="45183"/>
    <n v="142"/>
    <x v="0"/>
    <m/>
  </r>
  <r>
    <s v="P127"/>
    <s v="Facebook"/>
    <d v="2025-01-27T00:00:00"/>
    <s v="Reel"/>
    <s v="Check out our latest reel on facebook!"/>
    <n v="3452"/>
    <n v="652"/>
    <n v="442"/>
    <n v="65588"/>
    <n v="65049"/>
    <n v="158"/>
    <x v="0"/>
    <s v="FSDUpdate"/>
  </r>
  <r>
    <s v="P128"/>
    <s v="Twitter"/>
    <d v="2025-01-10T00:00:00"/>
    <s v="Image"/>
    <s v="Check out our latest image on twitter!"/>
    <n v="3092"/>
    <n v="106"/>
    <n v="291"/>
    <n v="27828"/>
    <n v="27217"/>
    <n v="102"/>
    <x v="0"/>
    <m/>
  </r>
  <r>
    <s v="P129"/>
    <s v="Twitter"/>
    <d v="2024-07-21T00:00:00"/>
    <s v="Text"/>
    <s v="Check out our latest text on twitter!"/>
    <n v="2147"/>
    <n v="430"/>
    <n v="393"/>
    <n v="17176"/>
    <n v="16483"/>
    <n v="170"/>
    <x v="2"/>
    <m/>
  </r>
  <r>
    <s v="P130"/>
    <s v="YouTube"/>
    <d v="2024-09-29T00:00:00"/>
    <s v="Reel"/>
    <s v="Check out our latest reel on youtube!"/>
    <n v="2936"/>
    <n v="439"/>
    <n v="44"/>
    <n v="38168"/>
    <n v="37571"/>
    <n v="22"/>
    <x v="4"/>
    <s v="SustainabilityDrive"/>
  </r>
  <r>
    <s v="P131"/>
    <s v="Instagram"/>
    <d v="2024-10-21T00:00:00"/>
    <s v="Reel"/>
    <s v="Check out our latest reel on instagram!"/>
    <n v="4840"/>
    <n v="658"/>
    <n v="211"/>
    <n v="43560"/>
    <n v="43225"/>
    <n v="57"/>
    <x v="0"/>
    <s v="FSDUpdate"/>
  </r>
  <r>
    <s v="P132"/>
    <s v="Instagram"/>
    <d v="2025-03-04T00:00:00"/>
    <s v="Story"/>
    <s v="Check out our latest story on instagram!"/>
    <n v="1947"/>
    <n v="842"/>
    <n v="101"/>
    <n v="21417"/>
    <n v="20967"/>
    <n v="186"/>
    <x v="0"/>
    <s v="ModelYCampaign"/>
  </r>
  <r>
    <s v="P133"/>
    <s v="Facebook"/>
    <d v="2025-02-06T00:00:00"/>
    <s v="Image"/>
    <s v="Check out our latest image on facebook!"/>
    <n v="2072"/>
    <n v="532"/>
    <n v="71"/>
    <n v="37296"/>
    <n v="36467"/>
    <n v="25"/>
    <x v="2"/>
    <s v="SustainabilityDrive"/>
  </r>
  <r>
    <s v="P134"/>
    <s v="Twitter"/>
    <d v="2025-04-24T00:00:00"/>
    <s v="Reel"/>
    <s v="Check out our latest reel on twitter!"/>
    <n v="3731"/>
    <n v="115"/>
    <n v="135"/>
    <n v="55965"/>
    <n v="55436"/>
    <n v="103"/>
    <x v="2"/>
    <s v="CybertruckLaunch"/>
  </r>
  <r>
    <s v="P135"/>
    <s v="Facebook"/>
    <d v="2024-11-28T00:00:00"/>
    <s v="Text"/>
    <s v="Check out our latest text on facebook!"/>
    <n v="4213"/>
    <n v="253"/>
    <n v="434"/>
    <n v="75834"/>
    <n v="75437"/>
    <n v="272"/>
    <x v="0"/>
    <s v="SustainabilityDrive"/>
  </r>
  <r>
    <s v="P136"/>
    <s v="Instagram"/>
    <d v="2024-07-11T00:00:00"/>
    <s v="Text"/>
    <s v="Check out our latest text on instagram!"/>
    <n v="3134"/>
    <n v="888"/>
    <n v="444"/>
    <n v="21938"/>
    <n v="21337"/>
    <n v="130"/>
    <x v="4"/>
    <s v="SustainabilityDrive"/>
  </r>
  <r>
    <s v="P137"/>
    <s v="Facebook"/>
    <d v="2024-07-31T00:00:00"/>
    <s v="Video"/>
    <s v="Check out our latest video on facebook!"/>
    <n v="3008"/>
    <n v="94"/>
    <n v="37"/>
    <n v="15040"/>
    <n v="14639"/>
    <n v="277"/>
    <x v="0"/>
    <m/>
  </r>
  <r>
    <s v="P138"/>
    <s v="Twitter"/>
    <d v="2025-03-29T00:00:00"/>
    <s v="Image"/>
    <s v="Check out our latest image on twitter!"/>
    <n v="305"/>
    <n v="187"/>
    <n v="243"/>
    <n v="4575"/>
    <n v="3704"/>
    <n v="234"/>
    <x v="0"/>
    <s v="FSDUpdate"/>
  </r>
  <r>
    <s v="P139"/>
    <s v="YouTube"/>
    <d v="2024-10-29T00:00:00"/>
    <s v="Text"/>
    <s v="Check out our latest text on youtube!"/>
    <n v="2746"/>
    <n v="156"/>
    <n v="203"/>
    <n v="32952"/>
    <n v="32147"/>
    <n v="147"/>
    <x v="4"/>
    <s v="CybertruckLaunch"/>
  </r>
  <r>
    <s v="P140"/>
    <s v="Facebook"/>
    <d v="2024-07-15T00:00:00"/>
    <s v="Image"/>
    <s v="Check out our latest image on facebook!"/>
    <n v="2291"/>
    <n v="78"/>
    <n v="485"/>
    <n v="18328"/>
    <n v="18101"/>
    <n v="10"/>
    <x v="4"/>
    <s v="ModelYCampaign"/>
  </r>
  <r>
    <s v="P140"/>
    <s v="Facebook"/>
    <d v="2024-07-15T00:00:00"/>
    <s v="Image"/>
    <s v="Check out our latest image on facebook!"/>
    <n v="2291"/>
    <n v="78"/>
    <n v="485"/>
    <n v="18328"/>
    <n v="18101"/>
    <n v="10"/>
    <x v="5"/>
    <s v="ModelYCampaign"/>
  </r>
  <r>
    <s v="P141"/>
    <s v="Twitter"/>
    <d v="2024-08-31T00:00:00"/>
    <s v="Image"/>
    <s v="Check out our latest image on twitter!"/>
    <n v="3170"/>
    <n v="857"/>
    <n v="379"/>
    <n v="19020"/>
    <n v="18559"/>
    <n v="240"/>
    <x v="0"/>
    <m/>
  </r>
  <r>
    <s v="P142"/>
    <s v="YouTube"/>
    <d v="2025-03-25T00:00:00"/>
    <s v="Story"/>
    <s v="Check out our latest story on youtube!"/>
    <n v="2070"/>
    <n v="275"/>
    <n v="386"/>
    <n v="39330"/>
    <n v="38627"/>
    <n v="114"/>
    <x v="0"/>
    <s v="SustainabilityDrive"/>
  </r>
  <r>
    <s v="P143"/>
    <s v="YouTube"/>
    <d v="2024-10-02T00:00:00"/>
    <s v="Carousel"/>
    <s v="Check out our latest carousel on youtube!"/>
    <n v="80"/>
    <n v="362"/>
    <n v="80"/>
    <n v="1040"/>
    <n v="349"/>
    <n v="117"/>
    <x v="2"/>
    <s v="FSDUpdate"/>
  </r>
  <r>
    <s v="P144"/>
    <s v="YouTube"/>
    <d v="2024-10-28T00:00:00"/>
    <s v="Story"/>
    <s v="Check out our latest story on youtube!"/>
    <n v="4929"/>
    <n v="749"/>
    <n v="452"/>
    <n v="93651"/>
    <n v="92810"/>
    <n v="66"/>
    <x v="4"/>
    <s v="SustainabilityDrive"/>
  </r>
  <r>
    <s v="P145"/>
    <s v="Instagram"/>
    <d v="2024-08-12T00:00:00"/>
    <s v="Carousel"/>
    <s v="Check out our latest carousel on instagram!"/>
    <n v="1878"/>
    <n v="62"/>
    <n v="179"/>
    <n v="37560"/>
    <n v="36874"/>
    <n v="142"/>
    <x v="2"/>
    <s v="SustainabilityDrive"/>
  </r>
  <r>
    <s v="P146"/>
    <s v="YouTube"/>
    <d v="2024-06-05T00:00:00"/>
    <s v="Reel"/>
    <s v="Check out our latest reel on youtube!"/>
    <n v="3065"/>
    <n v="772"/>
    <n v="142"/>
    <n v="18390"/>
    <n v="17875"/>
    <n v="200"/>
    <x v="4"/>
    <m/>
  </r>
  <r>
    <s v="P146"/>
    <s v="YouTube"/>
    <d v="2024-06-05T00:00:00"/>
    <s v="Reel"/>
    <s v="Check out our latest reel on youtube!"/>
    <n v="3065"/>
    <n v="772"/>
    <n v="142"/>
    <n v="18390"/>
    <n v="17875"/>
    <n v="200"/>
    <x v="1"/>
    <m/>
  </r>
  <r>
    <s v="P147"/>
    <s v="Instagram"/>
    <d v="2024-10-21T00:00:00"/>
    <s v="Reel"/>
    <s v="Check out our latest reel on instagram!"/>
    <n v="3256"/>
    <n v="459"/>
    <n v="266"/>
    <n v="26048"/>
    <n v="25529"/>
    <n v="143"/>
    <x v="2"/>
    <s v="ModelYCampaign"/>
  </r>
  <r>
    <s v="P148"/>
    <s v="Instagram"/>
    <d v="2025-04-15T00:00:00"/>
    <s v="Video"/>
    <s v="Check out our latest video on instagram!"/>
    <n v="4133"/>
    <n v="466"/>
    <n v="327"/>
    <n v="24798"/>
    <n v="24620"/>
    <n v="176"/>
    <x v="4"/>
    <s v="SustainabilityDrive"/>
  </r>
  <r>
    <s v="P149"/>
    <s v="Twitter"/>
    <d v="2024-06-16T00:00:00"/>
    <s v="Video"/>
    <s v="Check out our latest video on twitter!"/>
    <n v="1702"/>
    <n v="750"/>
    <n v="179"/>
    <n v="34040"/>
    <n v="33174"/>
    <n v="76"/>
    <x v="4"/>
    <s v="CybertruckLaunch"/>
  </r>
  <r>
    <s v="P150"/>
    <s v="YouTube"/>
    <d v="2024-08-22T00:00:00"/>
    <s v="Carousel"/>
    <s v="Check out our latest carousel on youtube!"/>
    <n v="4295"/>
    <n v="853"/>
    <n v="325"/>
    <n v="85900"/>
    <n v="85788"/>
    <n v="290"/>
    <x v="2"/>
    <s v="SustainabilityDrive"/>
  </r>
  <r>
    <s v="P151"/>
    <s v="Instagram"/>
    <d v="2024-07-26T00:00:00"/>
    <s v="Image"/>
    <s v="Check out our latest image on instagram!"/>
    <n v="3559"/>
    <n v="59"/>
    <n v="289"/>
    <n v="35590"/>
    <n v="35105"/>
    <n v="122"/>
    <x v="4"/>
    <s v="CybertruckLaunch"/>
  </r>
  <r>
    <s v="P152"/>
    <s v="Facebook"/>
    <d v="2025-04-22T00:00:00"/>
    <s v="Image"/>
    <s v="Check out our latest image on facebook!"/>
    <n v="4804"/>
    <n v="550"/>
    <n v="270"/>
    <n v="28824"/>
    <n v="28370"/>
    <n v="47"/>
    <x v="4"/>
    <s v="SustainabilityDrive"/>
  </r>
  <r>
    <s v="P153"/>
    <s v="Twitter"/>
    <d v="2025-01-01T00:00:00"/>
    <s v="Video"/>
    <s v="Check out our latest video on twitter!"/>
    <n v="754"/>
    <n v="197"/>
    <n v="257"/>
    <n v="6786"/>
    <n v="6221"/>
    <n v="212"/>
    <x v="2"/>
    <s v="FSDUpdate"/>
  </r>
  <r>
    <s v="P154"/>
    <s v="Instagram"/>
    <d v="2024-10-09T00:00:00"/>
    <s v="Carousel"/>
    <s v="Check out our latest carousel on instagram!"/>
    <n v="985"/>
    <n v="932"/>
    <n v="287"/>
    <n v="6895"/>
    <n v="6757"/>
    <n v="64"/>
    <x v="0"/>
    <s v="SustainabilityDrive"/>
  </r>
  <r>
    <s v="P155"/>
    <s v="YouTube"/>
    <d v="2024-12-21T00:00:00"/>
    <s v="Image"/>
    <s v="Check out our latest image on youtube!"/>
    <n v="2283"/>
    <n v="210"/>
    <n v="130"/>
    <n v="22830"/>
    <n v="22617"/>
    <n v="143"/>
    <x v="0"/>
    <s v="ModelYCampaign"/>
  </r>
  <r>
    <s v="P156"/>
    <s v="Facebook"/>
    <d v="2024-10-22T00:00:00"/>
    <s v="Carousel"/>
    <s v="Check out our latest carousel on facebook!"/>
    <n v="3352"/>
    <n v="941"/>
    <n v="482"/>
    <n v="43576"/>
    <n v="43338"/>
    <n v="240"/>
    <x v="0"/>
    <s v="ModelYCampaign"/>
  </r>
  <r>
    <s v="P157"/>
    <s v="YouTube"/>
    <d v="2024-07-23T00:00:00"/>
    <s v="Story"/>
    <s v="Check out our latest story on youtube!"/>
    <n v="4775"/>
    <n v="173"/>
    <n v="206"/>
    <n v="47750"/>
    <n v="47544"/>
    <n v="187"/>
    <x v="0"/>
    <s v="ModelYCampaign"/>
  </r>
  <r>
    <s v="P158"/>
    <s v="Instagram"/>
    <d v="2024-08-11T00:00:00"/>
    <s v="Story"/>
    <s v="Check out our latest story on instagram!"/>
    <n v="1762"/>
    <n v="405"/>
    <n v="423"/>
    <n v="22906"/>
    <n v="21925"/>
    <n v="25"/>
    <x v="2"/>
    <s v="CybertruckLaunch"/>
  </r>
  <r>
    <s v="P159"/>
    <s v="Facebook"/>
    <d v="2024-11-25T00:00:00"/>
    <s v="Story"/>
    <s v="Check out our latest story on facebook!"/>
    <n v="2120"/>
    <n v="158"/>
    <n v="488"/>
    <n v="12720"/>
    <n v="12085"/>
    <n v="17"/>
    <x v="0"/>
    <s v="ModelYCampaign"/>
  </r>
  <r>
    <s v="P160"/>
    <s v="Twitter"/>
    <d v="2024-08-24T00:00:00"/>
    <s v="Video"/>
    <s v="Check out our latest video on twitter!"/>
    <n v="1082"/>
    <n v="209"/>
    <n v="484"/>
    <n v="19476"/>
    <n v="18654"/>
    <n v="20"/>
    <x v="2"/>
    <m/>
  </r>
  <r>
    <s v="P161"/>
    <s v="Twitter"/>
    <d v="2025-02-19T00:00:00"/>
    <s v="Text"/>
    <s v="Check out our latest text on twitter!"/>
    <n v="4671"/>
    <n v="876"/>
    <n v="366"/>
    <n v="51381"/>
    <n v="50565"/>
    <n v="245"/>
    <x v="2"/>
    <s v="SustainabilityDrive"/>
  </r>
  <r>
    <s v="P162"/>
    <s v="Facebook"/>
    <d v="2025-04-01T00:00:00"/>
    <s v="Story"/>
    <s v="Check out our latest story on facebook!"/>
    <n v="3430"/>
    <n v="566"/>
    <n v="164"/>
    <n v="48020"/>
    <n v="47305"/>
    <n v="120"/>
    <x v="0"/>
    <m/>
  </r>
  <r>
    <s v="P163"/>
    <s v="Instagram"/>
    <d v="2025-04-08T00:00:00"/>
    <s v="Image"/>
    <s v="Check out our latest image on instagram!"/>
    <n v="4501"/>
    <n v="375"/>
    <n v="323"/>
    <n v="22505"/>
    <n v="21836"/>
    <n v="132"/>
    <x v="2"/>
    <s v="ModelYCampaign"/>
  </r>
  <r>
    <s v="P164"/>
    <s v="YouTube"/>
    <d v="2025-02-27T00:00:00"/>
    <s v="Text"/>
    <s v="Check out our latest text on youtube!"/>
    <n v="4934"/>
    <n v="971"/>
    <n v="156"/>
    <n v="39472"/>
    <n v="39025"/>
    <n v="169"/>
    <x v="2"/>
    <s v="SustainabilityDrive"/>
  </r>
  <r>
    <s v="P164"/>
    <s v="YouTube"/>
    <d v="2025-02-27T00:00:00"/>
    <s v="Text"/>
    <s v="Check out our latest text on youtube!"/>
    <n v="4934"/>
    <n v="971"/>
    <n v="156"/>
    <n v="39472"/>
    <n v="39025"/>
    <n v="169"/>
    <x v="1"/>
    <s v="SustainabilityDrive"/>
  </r>
  <r>
    <s v="P165"/>
    <s v="Twitter"/>
    <d v="2024-12-11T00:00:00"/>
    <s v="Text"/>
    <s v="Check out our latest text on twitter!"/>
    <n v="3239"/>
    <n v="43"/>
    <n v="211"/>
    <n v="22673"/>
    <n v="22171"/>
    <n v="230"/>
    <x v="2"/>
    <s v="ModelYCampaign"/>
  </r>
  <r>
    <s v="P166"/>
    <s v="Twitter"/>
    <d v="2025-02-16T00:00:00"/>
    <s v="Reel"/>
    <s v="Check out our latest reel on twitter!"/>
    <n v="1076"/>
    <n v="313"/>
    <n v="306"/>
    <n v="11836"/>
    <n v="11596"/>
    <n v="104"/>
    <x v="0"/>
    <s v="CybertruckLaunch"/>
  </r>
  <r>
    <s v="P167"/>
    <s v="Instagram"/>
    <d v="2024-11-28T00:00:00"/>
    <s v="Text"/>
    <s v="Check out our latest text on instagram!"/>
    <n v="4771"/>
    <n v="818"/>
    <n v="56"/>
    <n v="57252"/>
    <n v="56378"/>
    <n v="150"/>
    <x v="0"/>
    <m/>
  </r>
  <r>
    <s v="P168"/>
    <s v="Facebook"/>
    <d v="2024-11-12T00:00:00"/>
    <s v="Text"/>
    <s v="Check out our latest text on facebook!"/>
    <n v="2418"/>
    <n v="754"/>
    <n v="54"/>
    <n v="43524"/>
    <n v="42743"/>
    <n v="182"/>
    <x v="4"/>
    <s v="CybertruckLaunch"/>
  </r>
  <r>
    <s v="P169"/>
    <s v="YouTube"/>
    <d v="2024-12-03T00:00:00"/>
    <s v="Video"/>
    <s v="Check out our latest video on youtube!"/>
    <n v="3809"/>
    <n v="273"/>
    <n v="200"/>
    <n v="34281"/>
    <n v="33534"/>
    <n v="83"/>
    <x v="4"/>
    <s v="CybertruckLaunch"/>
  </r>
  <r>
    <s v="P170"/>
    <s v="Twitter"/>
    <d v="2025-04-28T00:00:00"/>
    <s v="Text"/>
    <s v="Check out our latest text on twitter!"/>
    <n v="3577"/>
    <n v="596"/>
    <n v="493"/>
    <n v="67963"/>
    <n v="67839"/>
    <n v="53"/>
    <x v="2"/>
    <s v="FSDUpdate"/>
  </r>
  <r>
    <s v="P171"/>
    <s v="YouTube"/>
    <d v="2024-12-31T00:00:00"/>
    <s v="Video"/>
    <s v="Check out our latest video on youtube!"/>
    <n v="1018"/>
    <n v="447"/>
    <n v="332"/>
    <n v="18324"/>
    <n v="18164"/>
    <n v="38"/>
    <x v="0"/>
    <s v="ModelYCampaign"/>
  </r>
  <r>
    <s v="P172"/>
    <s v="Facebook"/>
    <d v="2024-08-14T00:00:00"/>
    <s v="Carousel"/>
    <s v="Check out our latest carousel on facebook!"/>
    <n v="3073"/>
    <n v="553"/>
    <n v="174"/>
    <n v="52241"/>
    <n v="51605"/>
    <n v="246"/>
    <x v="4"/>
    <s v="FSDUpdate"/>
  </r>
  <r>
    <s v="P173"/>
    <s v="Twitter"/>
    <d v="2024-12-05T00:00:00"/>
    <s v="Video"/>
    <s v="Check out our latest video on twitter!"/>
    <n v="1330"/>
    <n v="925"/>
    <n v="35"/>
    <n v="15960"/>
    <n v="15379"/>
    <n v="229"/>
    <x v="0"/>
    <s v="FSDUpdate"/>
  </r>
  <r>
    <s v="P174"/>
    <s v="Facebook"/>
    <d v="2024-06-22T00:00:00"/>
    <s v="Text"/>
    <s v="Check out our latest text on facebook!"/>
    <n v="3828"/>
    <n v="148"/>
    <n v="253"/>
    <n v="30624"/>
    <n v="30229"/>
    <n v="235"/>
    <x v="4"/>
    <m/>
  </r>
  <r>
    <s v="P175"/>
    <s v="Instagram"/>
    <d v="2025-01-17T00:00:00"/>
    <s v="Reel"/>
    <s v="Check out our latest reel on instagram!"/>
    <n v="142"/>
    <n v="784"/>
    <n v="183"/>
    <n v="1704"/>
    <n v="995"/>
    <n v="154"/>
    <x v="0"/>
    <s v="SustainabilityDrive"/>
  </r>
  <r>
    <s v="P176"/>
    <s v="Facebook"/>
    <d v="2024-06-20T00:00:00"/>
    <s v="Video"/>
    <s v="Check out our latest video on facebook!"/>
    <n v="3798"/>
    <n v="31"/>
    <n v="279"/>
    <n v="75960"/>
    <n v="75813"/>
    <n v="266"/>
    <x v="2"/>
    <s v="CybertruckLaunch"/>
  </r>
  <r>
    <s v="P177"/>
    <s v="Instagram"/>
    <d v="2024-07-10T00:00:00"/>
    <s v="Carousel"/>
    <s v="Check out our latest carousel on instagram!"/>
    <n v="3099"/>
    <n v="694"/>
    <n v="171"/>
    <n v="43386"/>
    <n v="42921"/>
    <n v="52"/>
    <x v="2"/>
    <s v="FSDUpdate"/>
  </r>
  <r>
    <s v="P178"/>
    <s v="Instagram"/>
    <d v="2024-11-07T00:00:00"/>
    <s v="Video"/>
    <s v="Check out our latest video on instagram!"/>
    <n v="129"/>
    <n v="643"/>
    <n v="136"/>
    <n v="1290"/>
    <n v="839"/>
    <n v="238"/>
    <x v="2"/>
    <s v="SustainabilityDrive"/>
  </r>
  <r>
    <s v="P179"/>
    <s v="Facebook"/>
    <d v="2024-07-15T00:00:00"/>
    <s v="Carousel"/>
    <s v="Check out our latest carousel on facebook!"/>
    <n v="3796"/>
    <n v="667"/>
    <n v="395"/>
    <n v="64532"/>
    <n v="63550"/>
    <n v="292"/>
    <x v="2"/>
    <m/>
  </r>
  <r>
    <s v="P180"/>
    <s v="YouTube"/>
    <d v="2024-12-03T00:00:00"/>
    <s v="Text"/>
    <s v="Check out our latest text on youtube!"/>
    <n v="3711"/>
    <n v="352"/>
    <n v="290"/>
    <n v="48243"/>
    <n v="47579"/>
    <n v="11"/>
    <x v="2"/>
    <s v="CybertruckLaunch"/>
  </r>
  <r>
    <s v="P181"/>
    <s v="YouTube"/>
    <d v="2025-03-21T00:00:00"/>
    <s v="Image"/>
    <s v="Check out our latest image on youtube!"/>
    <n v="606"/>
    <n v="789"/>
    <n v="470"/>
    <n v="7878"/>
    <n v="7389"/>
    <n v="239"/>
    <x v="4"/>
    <s v="FSDUpdate"/>
  </r>
  <r>
    <s v="P182"/>
    <s v="Facebook"/>
    <d v="2024-07-31T00:00:00"/>
    <s v="Image"/>
    <s v="Check out our latest image on facebook!"/>
    <n v="4689"/>
    <n v="134"/>
    <n v="403"/>
    <n v="51579"/>
    <n v="50924"/>
    <n v="173"/>
    <x v="2"/>
    <s v="SustainabilityDrive"/>
  </r>
  <r>
    <s v="P183"/>
    <s v="Instagram"/>
    <d v="2024-12-17T00:00:00"/>
    <s v="Story"/>
    <s v="Check out our latest story on instagram!"/>
    <n v="360"/>
    <n v="590"/>
    <n v="393"/>
    <n v="4680"/>
    <n v="4322"/>
    <n v="208"/>
    <x v="0"/>
    <s v="ModelYCampaign"/>
  </r>
  <r>
    <s v="P184"/>
    <s v="Twitter"/>
    <d v="2024-07-28T00:00:00"/>
    <s v="Image"/>
    <s v="Check out our latest image on twitter!"/>
    <n v="3215"/>
    <n v="960"/>
    <n v="202"/>
    <n v="32150"/>
    <n v="31404"/>
    <n v="251"/>
    <x v="4"/>
    <s v="CybertruckLaunch"/>
  </r>
  <r>
    <s v="P185"/>
    <s v="Instagram"/>
    <d v="2025-01-11T00:00:00"/>
    <s v="Carousel"/>
    <s v="Check out our latest carousel on instagram!"/>
    <n v="4523"/>
    <n v="61"/>
    <n v="157"/>
    <n v="49753"/>
    <n v="49329"/>
    <n v="71"/>
    <x v="4"/>
    <m/>
  </r>
  <r>
    <s v="P186"/>
    <s v="Facebook"/>
    <d v="2024-08-24T00:00:00"/>
    <s v="Carousel"/>
    <s v="Check out our latest carousel on facebook!"/>
    <n v="4292"/>
    <n v="51"/>
    <n v="392"/>
    <n v="55796"/>
    <n v="54826"/>
    <n v="264"/>
    <x v="4"/>
    <s v="FSDUpdate"/>
  </r>
  <r>
    <s v="P187"/>
    <s v="Twitter"/>
    <d v="2024-12-22T00:00:00"/>
    <s v="Reel"/>
    <s v="Check out our latest reel on twitter!"/>
    <n v="1644"/>
    <n v="546"/>
    <n v="150"/>
    <n v="27948"/>
    <n v="27184"/>
    <n v="300"/>
    <x v="4"/>
    <s v="FSDUpdate"/>
  </r>
  <r>
    <s v="P188"/>
    <s v="YouTube"/>
    <d v="2024-06-06T00:00:00"/>
    <s v="Reel"/>
    <s v="Check out our latest reel on youtube!"/>
    <n v="2728"/>
    <n v="533"/>
    <n v="215"/>
    <n v="40920"/>
    <n v="40816"/>
    <n v="137"/>
    <x v="0"/>
    <s v="ModelYCampaign"/>
  </r>
  <r>
    <s v="P189"/>
    <s v="Facebook"/>
    <d v="2025-03-24T00:00:00"/>
    <s v="Reel"/>
    <s v="Check out our latest reel on facebook!"/>
    <n v="3360"/>
    <n v="525"/>
    <n v="500"/>
    <n v="60480"/>
    <n v="59610"/>
    <n v="192"/>
    <x v="2"/>
    <s v="CybertruckLaunch"/>
  </r>
  <r>
    <s v="P190"/>
    <s v="YouTube"/>
    <d v="2024-10-04T00:00:00"/>
    <s v="Text"/>
    <s v="Check out our latest text on youtube!"/>
    <n v="1963"/>
    <n v="213"/>
    <n v="19"/>
    <n v="39260"/>
    <n v="38771"/>
    <n v="145"/>
    <x v="0"/>
    <m/>
  </r>
  <r>
    <s v="P191"/>
    <s v="YouTube"/>
    <d v="2024-12-03T00:00:00"/>
    <s v="Story"/>
    <s v="Check out our latest story on youtube!"/>
    <n v="4285"/>
    <n v="886"/>
    <n v="376"/>
    <n v="55705"/>
    <n v="55556"/>
    <n v="51"/>
    <x v="0"/>
    <s v="FSDUpdate"/>
  </r>
  <r>
    <s v="P192"/>
    <s v="Instagram"/>
    <d v="2024-11-29T00:00:00"/>
    <s v="Video"/>
    <s v="Check out our latest video on instagram!"/>
    <n v="1176"/>
    <n v="464"/>
    <n v="394"/>
    <n v="14112"/>
    <n v="13588"/>
    <n v="272"/>
    <x v="4"/>
    <m/>
  </r>
  <r>
    <s v="P193"/>
    <s v="Twitter"/>
    <d v="2024-09-11T00:00:00"/>
    <s v="Image"/>
    <s v="Check out our latest image on twitter!"/>
    <n v="4858"/>
    <n v="317"/>
    <n v="129"/>
    <n v="53438"/>
    <n v="52687"/>
    <n v="223"/>
    <x v="4"/>
    <s v="FSDUpdate"/>
  </r>
  <r>
    <s v="P194"/>
    <s v="YouTube"/>
    <d v="2024-10-02T00:00:00"/>
    <s v="Story"/>
    <s v="Check out our latest story on youtube!"/>
    <n v="4350"/>
    <n v="771"/>
    <n v="7"/>
    <n v="60900"/>
    <n v="60592"/>
    <n v="195"/>
    <x v="4"/>
    <s v="CybertruckLaunch"/>
  </r>
  <r>
    <s v="P195"/>
    <s v="Instagram"/>
    <d v="2024-08-15T00:00:00"/>
    <s v="Carousel"/>
    <s v="Check out our latest carousel on instagram!"/>
    <n v="914"/>
    <n v="464"/>
    <n v="246"/>
    <n v="11882"/>
    <n v="11500"/>
    <n v="282"/>
    <x v="0"/>
    <s v="SustainabilityDrive"/>
  </r>
  <r>
    <s v="P195"/>
    <s v="Instagram"/>
    <d v="2024-08-15T00:00:00"/>
    <s v="Carousel"/>
    <s v="Check out our latest carousel on instagram!"/>
    <n v="914"/>
    <n v="464"/>
    <n v="246"/>
    <n v="11882"/>
    <n v="11500"/>
    <n v="282"/>
    <x v="2"/>
    <s v="SustainabilityDrive"/>
  </r>
  <r>
    <s v="P195"/>
    <s v="Instagram"/>
    <d v="2024-08-15T00:00:00"/>
    <s v="Carousel"/>
    <s v="Check out our latest carousel on instagram!"/>
    <n v="914"/>
    <n v="464"/>
    <n v="246"/>
    <n v="11882"/>
    <n v="11500"/>
    <n v="282"/>
    <x v="1"/>
    <s v="SustainabilityDrive"/>
  </r>
  <r>
    <s v="P196"/>
    <s v="Instagram"/>
    <d v="2024-12-19T00:00:00"/>
    <s v="Text"/>
    <s v="Check out our latest text on instagram!"/>
    <n v="1813"/>
    <n v="623"/>
    <n v="72"/>
    <n v="19943"/>
    <n v="18959"/>
    <n v="85"/>
    <x v="4"/>
    <s v="FSDUpdate"/>
  </r>
  <r>
    <s v="P197"/>
    <s v="Twitter"/>
    <d v="2024-10-22T00:00:00"/>
    <s v="Reel"/>
    <s v="Check out our latest reel on twitter!"/>
    <n v="4782"/>
    <n v="721"/>
    <n v="82"/>
    <n v="86076"/>
    <n v="85339"/>
    <n v="19"/>
    <x v="4"/>
    <s v="CybertruckLaunch"/>
  </r>
  <r>
    <s v="P198"/>
    <s v="Twitter"/>
    <d v="2024-09-14T00:00:00"/>
    <s v="Image"/>
    <s v="Check out our latest image on twitter!"/>
    <n v="1048"/>
    <n v="374"/>
    <n v="450"/>
    <n v="9432"/>
    <n v="8882"/>
    <n v="158"/>
    <x v="2"/>
    <s v="FSDUpdate"/>
  </r>
  <r>
    <s v="P199"/>
    <s v="YouTube"/>
    <d v="2024-11-30T00:00:00"/>
    <s v="Carousel"/>
    <s v="Check out our latest carousel on youtube!"/>
    <n v="2509"/>
    <n v="324"/>
    <n v="171"/>
    <n v="35126"/>
    <n v="34685"/>
    <n v="277"/>
    <x v="2"/>
    <s v="ModelYCampaign"/>
  </r>
  <r>
    <s v="P200"/>
    <s v="Facebook"/>
    <d v="2025-04-07T00:00:00"/>
    <s v="Reel"/>
    <s v="Check out our latest reel on facebook!"/>
    <n v="3718"/>
    <n v="385"/>
    <n v="310"/>
    <n v="70642"/>
    <n v="69749"/>
    <n v="233"/>
    <x v="2"/>
    <s v="ModelYCampaign"/>
  </r>
  <r>
    <s v="P201"/>
    <s v="Twitter"/>
    <d v="2025-01-15T00:00:00"/>
    <s v="Reel"/>
    <s v="Check out our latest reel on twitter!"/>
    <n v="802"/>
    <n v="262"/>
    <n v="244"/>
    <n v="14436"/>
    <n v="14280"/>
    <n v="49"/>
    <x v="4"/>
    <s v="CybertruckLaunch"/>
  </r>
  <r>
    <s v="P202"/>
    <s v="Facebook"/>
    <d v="2024-06-02T00:00:00"/>
    <s v="Image"/>
    <s v="Check out our latest image on facebook!"/>
    <n v="1871"/>
    <n v="252"/>
    <n v="335"/>
    <n v="29936"/>
    <n v="29576"/>
    <n v="288"/>
    <x v="4"/>
    <s v="FSDUpdate"/>
  </r>
  <r>
    <s v="P203"/>
    <s v="Instagram"/>
    <d v="2024-11-21T00:00:00"/>
    <s v="Carousel"/>
    <s v="Check out our latest carousel on instagram!"/>
    <n v="3773"/>
    <n v="299"/>
    <n v="38"/>
    <n v="71687"/>
    <n v="71447"/>
    <n v="286"/>
    <x v="0"/>
    <s v="CybertruckLaunch"/>
  </r>
  <r>
    <s v="P204"/>
    <s v="Instagram"/>
    <d v="2025-01-01T00:00:00"/>
    <s v="Carousel"/>
    <s v="Check out our latest carousel on instagram!"/>
    <n v="2234"/>
    <n v="653"/>
    <n v="432"/>
    <n v="11170"/>
    <n v="10569"/>
    <n v="198"/>
    <x v="0"/>
    <s v="FSDUpdate"/>
  </r>
  <r>
    <s v="P205"/>
    <s v="Twitter"/>
    <d v="2025-04-24T00:00:00"/>
    <s v="Video"/>
    <s v="Check out our latest video on twitter!"/>
    <n v="3820"/>
    <n v="697"/>
    <n v="268"/>
    <n v="45840"/>
    <n v="45631"/>
    <n v="171"/>
    <x v="2"/>
    <s v="SustainabilityDrive"/>
  </r>
  <r>
    <s v="P205"/>
    <s v="Twitter"/>
    <d v="2025-04-24T00:00:00"/>
    <s v="Video"/>
    <s v="Check out our latest video on twitter!"/>
    <n v="3820"/>
    <n v="697"/>
    <n v="268"/>
    <n v="45840"/>
    <n v="45631"/>
    <n v="171"/>
    <x v="5"/>
    <s v="SustainabilityDrive"/>
  </r>
  <r>
    <s v="P206"/>
    <s v="Twitter"/>
    <d v="2024-06-24T00:00:00"/>
    <s v="Text"/>
    <s v="Check out our latest text on twitter!"/>
    <n v="941"/>
    <n v="121"/>
    <n v="458"/>
    <n v="14115"/>
    <n v="13838"/>
    <n v="87"/>
    <x v="4"/>
    <s v="CybertruckLaunch"/>
  </r>
  <r>
    <s v="P207"/>
    <s v="Twitter"/>
    <d v="2024-12-29T00:00:00"/>
    <s v="Carousel"/>
    <s v="Check out our latest carousel on twitter!"/>
    <n v="4274"/>
    <n v="340"/>
    <n v="281"/>
    <n v="34192"/>
    <n v="33446"/>
    <n v="129"/>
    <x v="2"/>
    <s v="FSDUpdate"/>
  </r>
  <r>
    <s v="P207"/>
    <s v="Twitter"/>
    <d v="2024-12-29T00:00:00"/>
    <s v="Carousel"/>
    <s v="Check out our latest carousel on twitter!"/>
    <n v="4274"/>
    <n v="340"/>
    <n v="281"/>
    <n v="34192"/>
    <n v="33446"/>
    <n v="129"/>
    <x v="5"/>
    <s v="FSDUpdate"/>
  </r>
  <r>
    <s v="P208"/>
    <s v="YouTube"/>
    <d v="2024-06-24T00:00:00"/>
    <s v="Video"/>
    <s v="Check out our latest video on youtube!"/>
    <n v="2949"/>
    <n v="476"/>
    <n v="403"/>
    <n v="44235"/>
    <n v="43705"/>
    <n v="135"/>
    <x v="2"/>
    <s v="ModelYCampaign"/>
  </r>
  <r>
    <s v="P209"/>
    <s v="Twitter"/>
    <d v="2025-03-19T00:00:00"/>
    <s v="Video"/>
    <s v="Check out our latest video on twitter!"/>
    <n v="3160"/>
    <n v="204"/>
    <n v="297"/>
    <n v="44240"/>
    <n v="43666"/>
    <n v="49"/>
    <x v="0"/>
    <s v="SustainabilityDrive"/>
  </r>
  <r>
    <s v="P209"/>
    <s v="Twitter"/>
    <d v="2025-03-19T00:00:00"/>
    <s v="Video"/>
    <s v="Check out our latest video on twitter!"/>
    <n v="3160"/>
    <n v="204"/>
    <n v="297"/>
    <n v="44240"/>
    <n v="43666"/>
    <n v="49"/>
    <x v="1"/>
    <s v="SustainabilityDrive"/>
  </r>
  <r>
    <s v="P210"/>
    <s v="YouTube"/>
    <d v="2025-02-19T00:00:00"/>
    <s v="Image"/>
    <s v="Check out our latest image on youtube!"/>
    <n v="257"/>
    <n v="966"/>
    <n v="398"/>
    <n v="3341"/>
    <n v="2753"/>
    <n v="287"/>
    <x v="0"/>
    <s v="CybertruckLaunch"/>
  </r>
  <r>
    <s v="P211"/>
    <s v="Twitter"/>
    <d v="2024-07-18T00:00:00"/>
    <s v="Carousel"/>
    <s v="Check out our latest carousel on twitter!"/>
    <n v="2120"/>
    <n v="38"/>
    <n v="212"/>
    <n v="12720"/>
    <n v="12564"/>
    <n v="21"/>
    <x v="0"/>
    <s v="SustainabilityDrive"/>
  </r>
  <r>
    <s v="P212"/>
    <s v="YouTube"/>
    <d v="2025-03-03T00:00:00"/>
    <s v="Video"/>
    <s v="Check out our latest video on youtube!"/>
    <n v="3874"/>
    <n v="884"/>
    <n v="19"/>
    <n v="38740"/>
    <n v="38552"/>
    <n v="219"/>
    <x v="2"/>
    <s v="ModelYCampaign"/>
  </r>
  <r>
    <s v="P213"/>
    <s v="Facebook"/>
    <d v="2025-05-01T00:00:00"/>
    <s v="Carousel"/>
    <s v="Check out our latest carousel on facebook!"/>
    <n v="2696"/>
    <n v="628"/>
    <n v="443"/>
    <n v="45832"/>
    <n v="45632"/>
    <n v="248"/>
    <x v="4"/>
    <s v="SustainabilityDrive"/>
  </r>
  <r>
    <s v="P214"/>
    <s v="Instagram"/>
    <d v="2024-12-23T00:00:00"/>
    <s v="Image"/>
    <s v="Check out our latest image on instagram!"/>
    <n v="521"/>
    <n v="746"/>
    <n v="315"/>
    <n v="4168"/>
    <n v="3399"/>
    <n v="282"/>
    <x v="0"/>
    <s v="ModelYCampaign"/>
  </r>
  <r>
    <s v="P215"/>
    <s v="Facebook"/>
    <d v="2025-05-06T00:00:00"/>
    <s v="Image"/>
    <s v="Check out our latest image on facebook!"/>
    <n v="4872"/>
    <n v="925"/>
    <n v="176"/>
    <n v="82824"/>
    <n v="82543"/>
    <n v="89"/>
    <x v="4"/>
    <s v="ModelYCampaign"/>
  </r>
  <r>
    <s v="P216"/>
    <s v="YouTube"/>
    <d v="2024-07-29T00:00:00"/>
    <s v="Story"/>
    <s v="Check out our latest story on youtube!"/>
    <n v="1509"/>
    <n v="88"/>
    <n v="163"/>
    <n v="30180"/>
    <n v="29689"/>
    <n v="119"/>
    <x v="4"/>
    <s v="ModelYCampaign"/>
  </r>
  <r>
    <s v="P217"/>
    <s v="Facebook"/>
    <d v="2024-12-03T00:00:00"/>
    <s v="Image"/>
    <s v="Check out our latest image on facebook!"/>
    <n v="4606"/>
    <n v="931"/>
    <n v="230"/>
    <n v="92120"/>
    <n v="91440"/>
    <n v="56"/>
    <x v="2"/>
    <m/>
  </r>
  <r>
    <s v="P218"/>
    <s v="Facebook"/>
    <d v="2024-06-11T00:00:00"/>
    <s v="Carousel"/>
    <s v="Check out our latest carousel on facebook!"/>
    <n v="1869"/>
    <n v="453"/>
    <n v="490"/>
    <n v="14952"/>
    <n v="14309"/>
    <n v="275"/>
    <x v="2"/>
    <s v="SustainabilityDrive"/>
  </r>
  <r>
    <s v="P219"/>
    <s v="Twitter"/>
    <d v="2025-01-28T00:00:00"/>
    <s v="Reel"/>
    <s v="Check out our latest reel on twitter!"/>
    <n v="1188"/>
    <n v="470"/>
    <n v="174"/>
    <n v="7128"/>
    <n v="6145"/>
    <n v="270"/>
    <x v="2"/>
    <s v="SustainabilityDrive"/>
  </r>
  <r>
    <s v="P220"/>
    <s v="Instagram"/>
    <d v="2024-06-02T00:00:00"/>
    <s v="Story"/>
    <s v="Check out our latest story on instagram!"/>
    <n v="84"/>
    <n v="897"/>
    <n v="85"/>
    <n v="588"/>
    <n v="8"/>
    <n v="12"/>
    <x v="4"/>
    <m/>
  </r>
  <r>
    <s v="P221"/>
    <s v="Facebook"/>
    <d v="2025-03-23T00:00:00"/>
    <s v="Video"/>
    <s v="Check out our latest video on facebook!"/>
    <n v="4453"/>
    <n v="111"/>
    <n v="420"/>
    <n v="31171"/>
    <n v="30565"/>
    <n v="23"/>
    <x v="2"/>
    <m/>
  </r>
  <r>
    <s v="P222"/>
    <s v="Facebook"/>
    <d v="2024-10-08T00:00:00"/>
    <s v="Reel"/>
    <s v="Check out our latest reel on facebook!"/>
    <n v="1814"/>
    <n v="653"/>
    <n v="363"/>
    <n v="25396"/>
    <n v="25286"/>
    <n v="39"/>
    <x v="0"/>
    <s v="CybertruckLaunch"/>
  </r>
  <r>
    <s v="P222"/>
    <s v="Facebook"/>
    <d v="2024-10-08T00:00:00"/>
    <s v="Reel"/>
    <s v="Check out our latest reel on facebook!"/>
    <n v="1814"/>
    <n v="653"/>
    <n v="363"/>
    <n v="25396"/>
    <n v="25286"/>
    <n v="39"/>
    <x v="5"/>
    <s v="CybertruckLaunch"/>
  </r>
  <r>
    <s v="P223"/>
    <s v="Twitter"/>
    <d v="2024-11-12T00:00:00"/>
    <s v="Image"/>
    <s v="Check out our latest image on twitter!"/>
    <n v="3338"/>
    <n v="277"/>
    <n v="118"/>
    <n v="60084"/>
    <n v="59842"/>
    <n v="252"/>
    <x v="2"/>
    <m/>
  </r>
  <r>
    <s v="P224"/>
    <s v="Facebook"/>
    <d v="2025-05-13T00:00:00"/>
    <s v="Image"/>
    <s v="Check out our latest image on facebook!"/>
    <n v="602"/>
    <n v="594"/>
    <n v="156"/>
    <n v="4214"/>
    <n v="3363"/>
    <n v="164"/>
    <x v="2"/>
    <s v="FSDUpdate"/>
  </r>
  <r>
    <s v="P225"/>
    <s v="Twitter"/>
    <d v="2024-06-20T00:00:00"/>
    <s v="Carousel"/>
    <s v="Check out our latest carousel on twitter!"/>
    <n v="4672"/>
    <n v="325"/>
    <n v="32"/>
    <n v="88768"/>
    <n v="87833"/>
    <n v="118"/>
    <x v="4"/>
    <m/>
  </r>
  <r>
    <s v="P226"/>
    <s v="Instagram"/>
    <d v="2024-08-07T00:00:00"/>
    <s v="Carousel"/>
    <s v="Check out our latest carousel on instagram!"/>
    <n v="1741"/>
    <n v="164"/>
    <n v="318"/>
    <n v="8705"/>
    <n v="8272"/>
    <n v="121"/>
    <x v="2"/>
    <m/>
  </r>
  <r>
    <s v="P227"/>
    <s v="Instagram"/>
    <d v="2024-06-12T00:00:00"/>
    <s v="Text"/>
    <s v="Check out our latest text on instagram!"/>
    <n v="246"/>
    <n v="149"/>
    <n v="130"/>
    <n v="4674"/>
    <n v="4390"/>
    <n v="217"/>
    <x v="0"/>
    <s v="FSDUpdate"/>
  </r>
  <r>
    <s v="P228"/>
    <s v="Instagram"/>
    <d v="2024-07-01T00:00:00"/>
    <s v="Story"/>
    <s v="Check out our latest story on instagram!"/>
    <n v="4808"/>
    <n v="772"/>
    <n v="320"/>
    <n v="72120"/>
    <n v="71696"/>
    <n v="195"/>
    <x v="4"/>
    <s v="CybertruckLaunch"/>
  </r>
  <r>
    <s v="P229"/>
    <s v="Instagram"/>
    <d v="2024-07-03T00:00:00"/>
    <s v="Carousel"/>
    <s v="Check out our latest carousel on instagram!"/>
    <n v="4799"/>
    <n v="694"/>
    <n v="289"/>
    <n v="43191"/>
    <n v="42228"/>
    <n v="118"/>
    <x v="2"/>
    <m/>
  </r>
  <r>
    <s v="P230"/>
    <s v="Facebook"/>
    <d v="2024-07-15T00:00:00"/>
    <s v="Reel"/>
    <s v="Check out our latest reel on facebook!"/>
    <n v="3663"/>
    <n v="17"/>
    <n v="295"/>
    <n v="51282"/>
    <n v="50567"/>
    <n v="84"/>
    <x v="4"/>
    <s v="FSDUpdate"/>
  </r>
  <r>
    <s v="P231"/>
    <s v="Instagram"/>
    <d v="2025-05-01T00:00:00"/>
    <s v="Text"/>
    <s v="Check out our latest text on instagram!"/>
    <n v="1430"/>
    <n v="376"/>
    <n v="33"/>
    <n v="21450"/>
    <n v="20509"/>
    <n v="251"/>
    <x v="0"/>
    <s v="CybertruckLaunch"/>
  </r>
  <r>
    <s v="P232"/>
    <s v="Twitter"/>
    <d v="2025-04-29T00:00:00"/>
    <s v="Story"/>
    <s v="Check out our latest story on twitter!"/>
    <n v="249"/>
    <n v="592"/>
    <n v="230"/>
    <n v="1494"/>
    <n v="1044"/>
    <n v="201"/>
    <x v="4"/>
    <s v="SustainabilityDrive"/>
  </r>
  <r>
    <s v="P233"/>
    <s v="Facebook"/>
    <d v="2025-03-08T00:00:00"/>
    <s v="Image"/>
    <s v="Check out our latest image on facebook!"/>
    <n v="2382"/>
    <n v="265"/>
    <n v="134"/>
    <n v="38112"/>
    <n v="37437"/>
    <n v="249"/>
    <x v="0"/>
    <s v="SustainabilityDrive"/>
  </r>
  <r>
    <s v="P234"/>
    <s v="Facebook"/>
    <d v="2024-06-01T00:00:00"/>
    <s v="Text"/>
    <s v="Check out our latest text on facebook!"/>
    <n v="1272"/>
    <n v="465"/>
    <n v="99"/>
    <n v="24168"/>
    <n v="23719"/>
    <n v="42"/>
    <x v="2"/>
    <m/>
  </r>
  <r>
    <s v="P235"/>
    <s v="Facebook"/>
    <d v="2024-12-22T00:00:00"/>
    <s v="Image"/>
    <s v="Check out our latest image on facebook!"/>
    <n v="3196"/>
    <n v="941"/>
    <n v="376"/>
    <n v="35156"/>
    <n v="34444"/>
    <n v="241"/>
    <x v="2"/>
    <s v="FSDUpdate"/>
  </r>
  <r>
    <s v="P236"/>
    <s v="Facebook"/>
    <d v="2024-08-19T00:00:00"/>
    <s v="Text"/>
    <s v="Check out our latest text on facebook!"/>
    <n v="1257"/>
    <n v="19"/>
    <n v="351"/>
    <n v="12570"/>
    <n v="11660"/>
    <n v="194"/>
    <x v="0"/>
    <s v="ModelYCampaign"/>
  </r>
  <r>
    <s v="P236"/>
    <s v="Facebook"/>
    <d v="2024-08-19T00:00:00"/>
    <s v="Text"/>
    <s v="Check out our latest text on facebook!"/>
    <n v="1257"/>
    <n v="19"/>
    <n v="351"/>
    <n v="12570"/>
    <n v="11660"/>
    <n v="194"/>
    <x v="1"/>
    <s v="ModelYCampaign"/>
  </r>
  <r>
    <s v="P236"/>
    <s v="Facebook"/>
    <d v="2024-08-19T00:00:00"/>
    <s v="Text"/>
    <s v="Check out our latest text on facebook!"/>
    <n v="1257"/>
    <n v="19"/>
    <n v="351"/>
    <n v="12570"/>
    <n v="11660"/>
    <n v="194"/>
    <x v="4"/>
    <s v="ModelYCampaign"/>
  </r>
  <r>
    <s v="P237"/>
    <s v="Instagram"/>
    <d v="2024-10-22T00:00:00"/>
    <s v="Story"/>
    <s v="Check out our latest story on instagram!"/>
    <n v="3770"/>
    <n v="917"/>
    <n v="129"/>
    <n v="71630"/>
    <n v="71322"/>
    <n v="76"/>
    <x v="0"/>
    <s v="CybertruckLaunch"/>
  </r>
  <r>
    <s v="P238"/>
    <s v="Twitter"/>
    <d v="2024-07-16T00:00:00"/>
    <s v="Text"/>
    <s v="Check out our latest text on twitter!"/>
    <n v="4725"/>
    <n v="400"/>
    <n v="362"/>
    <n v="75600"/>
    <n v="74927"/>
    <n v="43"/>
    <x v="0"/>
    <s v="SustainabilityDrive"/>
  </r>
  <r>
    <s v="P239"/>
    <s v="YouTube"/>
    <d v="2025-02-24T00:00:00"/>
    <s v="Text"/>
    <s v="Check out our latest text on youtube!"/>
    <n v="4188"/>
    <n v="942"/>
    <n v="118"/>
    <n v="20940"/>
    <n v="20471"/>
    <n v="102"/>
    <x v="0"/>
    <m/>
  </r>
  <r>
    <s v="P240"/>
    <s v="Twitter"/>
    <d v="2024-08-26T00:00:00"/>
    <s v="Carousel"/>
    <s v="Check out our latest carousel on twitter!"/>
    <n v="929"/>
    <n v="192"/>
    <n v="322"/>
    <n v="16722"/>
    <n v="15996"/>
    <n v="145"/>
    <x v="4"/>
    <s v="FSDUpdate"/>
  </r>
  <r>
    <s v="P240"/>
    <s v="Twitter"/>
    <d v="2024-08-26T00:00:00"/>
    <s v="Carousel"/>
    <s v="Check out our latest carousel on twitter!"/>
    <n v="929"/>
    <n v="192"/>
    <n v="322"/>
    <n v="16722"/>
    <n v="15996"/>
    <n v="145"/>
    <x v="2"/>
    <s v="FSDUpdate"/>
  </r>
  <r>
    <s v="P240"/>
    <s v="Twitter"/>
    <d v="2024-08-26T00:00:00"/>
    <s v="Carousel"/>
    <s v="Check out our latest carousel on twitter!"/>
    <n v="929"/>
    <n v="192"/>
    <n v="322"/>
    <n v="16722"/>
    <n v="15996"/>
    <n v="145"/>
    <x v="1"/>
    <s v="FSDUpdate"/>
  </r>
  <r>
    <s v="P241"/>
    <s v="Facebook"/>
    <d v="2025-01-18T00:00:00"/>
    <s v="Story"/>
    <s v="Check out our latest story on facebook!"/>
    <n v="4321"/>
    <n v="874"/>
    <n v="172"/>
    <n v="30247"/>
    <n v="29254"/>
    <n v="122"/>
    <x v="2"/>
    <s v="SustainabilityDrive"/>
  </r>
  <r>
    <s v="P242"/>
    <s v="Facebook"/>
    <d v="2024-07-07T00:00:00"/>
    <s v="Reel"/>
    <s v="Check out our latest reel on facebook!"/>
    <n v="4767"/>
    <n v="190"/>
    <n v="340"/>
    <n v="28602"/>
    <n v="28044"/>
    <n v="210"/>
    <x v="4"/>
    <s v="FSDUpdate"/>
  </r>
  <r>
    <s v="P243"/>
    <s v="Twitter"/>
    <d v="2025-03-06T00:00:00"/>
    <s v="Image"/>
    <s v="Check out our latest image on twitter!"/>
    <n v="3592"/>
    <n v="911"/>
    <n v="375"/>
    <n v="50288"/>
    <n v="49490"/>
    <n v="32"/>
    <x v="0"/>
    <s v="SustainabilityDrive"/>
  </r>
  <r>
    <s v="P244"/>
    <s v="YouTube"/>
    <d v="2024-10-25T00:00:00"/>
    <s v="Video"/>
    <s v="Check out our latest video on youtube!"/>
    <n v="4661"/>
    <n v="935"/>
    <n v="433"/>
    <n v="23305"/>
    <n v="22583"/>
    <n v="63"/>
    <x v="0"/>
    <s v="FSDUpdate"/>
  </r>
  <r>
    <s v="P245"/>
    <s v="Facebook"/>
    <d v="2025-01-12T00:00:00"/>
    <s v="Reel"/>
    <s v="Check out our latest reel on facebook!"/>
    <n v="4134"/>
    <n v="824"/>
    <n v="99"/>
    <n v="41340"/>
    <n v="41050"/>
    <n v="177"/>
    <x v="4"/>
    <s v="CybertruckLaunch"/>
  </r>
  <r>
    <s v="P246"/>
    <s v="Facebook"/>
    <d v="2024-10-11T00:00:00"/>
    <s v="Image"/>
    <s v="Check out our latest image on facebook!"/>
    <n v="400"/>
    <n v="680"/>
    <n v="434"/>
    <n v="6400"/>
    <n v="5472"/>
    <n v="160"/>
    <x v="0"/>
    <s v="ModelYCampaign"/>
  </r>
  <r>
    <s v="P247"/>
    <s v="Facebook"/>
    <d v="2024-08-27T00:00:00"/>
    <s v="Reel"/>
    <s v="Check out our latest reel on facebook!"/>
    <n v="3960"/>
    <n v="266"/>
    <n v="8"/>
    <n v="35640"/>
    <n v="34850"/>
    <n v="208"/>
    <x v="0"/>
    <m/>
  </r>
  <r>
    <s v="P247"/>
    <s v="Facebook"/>
    <d v="2024-08-27T00:00:00"/>
    <s v="Reel"/>
    <s v="Check out our latest reel on facebook!"/>
    <n v="3960"/>
    <n v="266"/>
    <n v="8"/>
    <n v="35640"/>
    <n v="34850"/>
    <n v="208"/>
    <x v="4"/>
    <m/>
  </r>
  <r>
    <s v="P247"/>
    <s v="Facebook"/>
    <d v="2024-08-27T00:00:00"/>
    <s v="Reel"/>
    <s v="Check out our latest reel on facebook!"/>
    <n v="3960"/>
    <n v="266"/>
    <n v="8"/>
    <n v="35640"/>
    <n v="34850"/>
    <n v="208"/>
    <x v="3"/>
    <m/>
  </r>
  <r>
    <s v="P248"/>
    <s v="Facebook"/>
    <d v="2025-02-02T00:00:00"/>
    <s v="Story"/>
    <s v="Check out our latest story on facebook!"/>
    <n v="886"/>
    <n v="126"/>
    <n v="153"/>
    <n v="4430"/>
    <n v="4037"/>
    <n v="212"/>
    <x v="4"/>
    <m/>
  </r>
  <r>
    <s v="P249"/>
    <s v="Twitter"/>
    <d v="2024-07-18T00:00:00"/>
    <s v="Image"/>
    <s v="Check out our latest image on twitter!"/>
    <n v="827"/>
    <n v="77"/>
    <n v="402"/>
    <n v="14886"/>
    <n v="14129"/>
    <n v="254"/>
    <x v="4"/>
    <s v="ModelYCampaign"/>
  </r>
  <r>
    <s v="P250"/>
    <s v="Facebook"/>
    <d v="2024-06-22T00:00:00"/>
    <s v="Reel"/>
    <s v="Check out our latest reel on facebook!"/>
    <n v="3813"/>
    <n v="935"/>
    <n v="274"/>
    <n v="68634"/>
    <n v="68488"/>
    <n v="251"/>
    <x v="0"/>
    <m/>
  </r>
  <r>
    <s v="P251"/>
    <s v="Instagram"/>
    <d v="2025-03-27T00:00:00"/>
    <s v="Carousel"/>
    <s v="Check out our latest carousel on instagram!"/>
    <n v="1377"/>
    <n v="796"/>
    <n v="387"/>
    <n v="22032"/>
    <n v="21869"/>
    <n v="189"/>
    <x v="0"/>
    <m/>
  </r>
  <r>
    <s v="P252"/>
    <s v="Facebook"/>
    <d v="2025-04-28T00:00:00"/>
    <s v="Carousel"/>
    <s v="Check out our latest carousel on facebook!"/>
    <n v="2089"/>
    <n v="476"/>
    <n v="69"/>
    <n v="16712"/>
    <n v="16309"/>
    <n v="64"/>
    <x v="0"/>
    <s v="FSDUpdate"/>
  </r>
  <r>
    <s v="P253"/>
    <s v="Twitter"/>
    <d v="2024-08-03T00:00:00"/>
    <s v="Reel"/>
    <s v="Check out our latest reel on twitter!"/>
    <n v="3791"/>
    <n v="593"/>
    <n v="228"/>
    <n v="53074"/>
    <n v="52613"/>
    <n v="205"/>
    <x v="4"/>
    <m/>
  </r>
  <r>
    <s v="P254"/>
    <s v="Twitter"/>
    <d v="2025-01-14T00:00:00"/>
    <s v="Image"/>
    <s v="Check out our latest image on twitter!"/>
    <n v="2692"/>
    <n v="115"/>
    <n v="64"/>
    <n v="21536"/>
    <n v="21120"/>
    <n v="224"/>
    <x v="0"/>
    <s v="ModelYCampaign"/>
  </r>
  <r>
    <s v="P255"/>
    <s v="Facebook"/>
    <d v="2025-04-03T00:00:00"/>
    <s v="Story"/>
    <s v="Check out our latest story on facebook!"/>
    <n v="3767"/>
    <n v="514"/>
    <n v="238"/>
    <n v="37670"/>
    <n v="36807"/>
    <n v="226"/>
    <x v="0"/>
    <s v="SustainabilityDrive"/>
  </r>
  <r>
    <s v="P256"/>
    <s v="YouTube"/>
    <d v="2024-09-18T00:00:00"/>
    <s v="Carousel"/>
    <s v="Check out our latest carousel on youtube!"/>
    <n v="2143"/>
    <n v="12"/>
    <n v="204"/>
    <n v="40717"/>
    <n v="40125"/>
    <n v="248"/>
    <x v="4"/>
    <s v="ModelYCampaign"/>
  </r>
  <r>
    <s v="P257"/>
    <s v="Facebook"/>
    <d v="2025-04-06T00:00:00"/>
    <s v="Image"/>
    <s v="Check out our latest image on facebook!"/>
    <n v="3090"/>
    <n v="697"/>
    <n v="164"/>
    <n v="49440"/>
    <n v="48524"/>
    <n v="25"/>
    <x v="4"/>
    <s v="ModelYCampaign"/>
  </r>
  <r>
    <s v="P257"/>
    <s v="Facebook"/>
    <d v="2025-04-06T00:00:00"/>
    <s v="Image"/>
    <s v="Check out our latest image on facebook!"/>
    <n v="3090"/>
    <n v="697"/>
    <n v="164"/>
    <n v="49440"/>
    <n v="48524"/>
    <n v="25"/>
    <x v="4"/>
    <s v="ModelYCampaign"/>
  </r>
  <r>
    <s v="P257"/>
    <s v="Facebook"/>
    <d v="2025-04-06T00:00:00"/>
    <s v="Image"/>
    <s v="Check out our latest image on facebook!"/>
    <n v="3090"/>
    <n v="697"/>
    <n v="164"/>
    <n v="49440"/>
    <n v="48524"/>
    <n v="25"/>
    <x v="3"/>
    <s v="ModelYCampaign"/>
  </r>
  <r>
    <s v="P258"/>
    <s v="Instagram"/>
    <d v="2024-08-05T00:00:00"/>
    <s v="Story"/>
    <s v="Check out our latest story on instagram!"/>
    <n v="3601"/>
    <n v="695"/>
    <n v="75"/>
    <n v="21606"/>
    <n v="21454"/>
    <n v="172"/>
    <x v="4"/>
    <s v="ModelYCampaign"/>
  </r>
  <r>
    <s v="P259"/>
    <s v="Facebook"/>
    <d v="2025-02-10T00:00:00"/>
    <s v="Text"/>
    <s v="Check out our latest text on facebook!"/>
    <n v="562"/>
    <n v="158"/>
    <n v="149"/>
    <n v="3372"/>
    <n v="2940"/>
    <n v="93"/>
    <x v="2"/>
    <s v="CybertruckLaunch"/>
  </r>
  <r>
    <s v="P260"/>
    <s v="Instagram"/>
    <d v="2025-02-12T00:00:00"/>
    <s v="Story"/>
    <s v="Check out our latest story on instagram!"/>
    <n v="4332"/>
    <n v="771"/>
    <n v="219"/>
    <n v="60648"/>
    <n v="60397"/>
    <n v="10"/>
    <x v="2"/>
    <s v="FSDUpdate"/>
  </r>
  <r>
    <s v="P260"/>
    <s v="Instagram"/>
    <d v="2025-02-12T00:00:00"/>
    <s v="Story"/>
    <s v="Check out our latest story on instagram!"/>
    <n v="4332"/>
    <n v="771"/>
    <n v="219"/>
    <n v="60648"/>
    <n v="60397"/>
    <n v="10"/>
    <x v="4"/>
    <s v="FSDUpdate"/>
  </r>
  <r>
    <s v="P260"/>
    <s v="Instagram"/>
    <d v="2025-02-12T00:00:00"/>
    <s v="Story"/>
    <s v="Check out our latest story on instagram!"/>
    <n v="4332"/>
    <n v="771"/>
    <n v="219"/>
    <n v="60648"/>
    <n v="60397"/>
    <n v="10"/>
    <x v="3"/>
    <s v="FSDUpdate"/>
  </r>
  <r>
    <s v="P261"/>
    <s v="Instagram"/>
    <d v="2024-10-27T00:00:00"/>
    <s v="Image"/>
    <s v="Check out our latest image on instagram!"/>
    <n v="4853"/>
    <n v="837"/>
    <n v="340"/>
    <n v="72795"/>
    <n v="72237"/>
    <n v="170"/>
    <x v="4"/>
    <s v="CybertruckLaunch"/>
  </r>
  <r>
    <s v="P262"/>
    <s v="YouTube"/>
    <d v="2025-01-18T00:00:00"/>
    <s v="Image"/>
    <s v="Check out our latest image on youtube!"/>
    <n v="1206"/>
    <n v="238"/>
    <n v="36"/>
    <n v="9648"/>
    <n v="9417"/>
    <n v="237"/>
    <x v="2"/>
    <m/>
  </r>
  <r>
    <s v="P263"/>
    <s v="Instagram"/>
    <d v="2024-08-20T00:00:00"/>
    <s v="Reel"/>
    <s v="Check out our latest reel on instagram!"/>
    <n v="2603"/>
    <n v="690"/>
    <n v="205"/>
    <n v="13015"/>
    <n v="12130"/>
    <n v="20"/>
    <x v="0"/>
    <s v="ModelYCampaign"/>
  </r>
  <r>
    <s v="P264"/>
    <s v="Twitter"/>
    <d v="2025-01-30T00:00:00"/>
    <s v="Image"/>
    <s v="Check out our latest image on twitter!"/>
    <n v="59"/>
    <n v="163"/>
    <n v="93"/>
    <n v="590"/>
    <n v="475"/>
    <n v="293"/>
    <x v="2"/>
    <s v="ModelYCampaign"/>
  </r>
  <r>
    <s v="P265"/>
    <s v="Twitter"/>
    <d v="2025-02-20T00:00:00"/>
    <s v="Carousel"/>
    <s v="Check out our latest carousel on twitter!"/>
    <n v="1877"/>
    <n v="745"/>
    <n v="225"/>
    <n v="11262"/>
    <n v="10967"/>
    <n v="41"/>
    <x v="4"/>
    <s v="SustainabilityDrive"/>
  </r>
  <r>
    <s v="P266"/>
    <s v="Facebook"/>
    <d v="2024-11-25T00:00:00"/>
    <s v="Story"/>
    <s v="Check out our latest story on facebook!"/>
    <n v="4182"/>
    <n v="640"/>
    <n v="240"/>
    <n v="50184"/>
    <n v="49351"/>
    <n v="10"/>
    <x v="2"/>
    <s v="FSDUpdate"/>
  </r>
  <r>
    <s v="P267"/>
    <s v="Twitter"/>
    <d v="2024-10-04T00:00:00"/>
    <s v="Reel"/>
    <s v="Check out our latest reel on twitter!"/>
    <n v="4187"/>
    <n v="66"/>
    <n v="31"/>
    <n v="66992"/>
    <n v="66614"/>
    <n v="62"/>
    <x v="0"/>
    <m/>
  </r>
  <r>
    <s v="P268"/>
    <s v="Instagram"/>
    <d v="2025-04-13T00:00:00"/>
    <s v="Reel"/>
    <s v="Check out our latest reel on instagram!"/>
    <n v="4579"/>
    <n v="125"/>
    <n v="300"/>
    <n v="59527"/>
    <n v="59400"/>
    <n v="269"/>
    <x v="4"/>
    <s v="CybertruckLaunch"/>
  </r>
  <r>
    <s v="P269"/>
    <s v="Instagram"/>
    <d v="2024-11-05T00:00:00"/>
    <s v="Video"/>
    <s v="Check out our latest video on instagram!"/>
    <n v="4561"/>
    <n v="51"/>
    <n v="441"/>
    <n v="22805"/>
    <n v="21890"/>
    <n v="45"/>
    <x v="2"/>
    <s v="ModelYCampaign"/>
  </r>
  <r>
    <s v="P270"/>
    <s v="YouTube"/>
    <d v="2025-01-15T00:00:00"/>
    <s v="Reel"/>
    <s v="Check out our latest reel on youtube!"/>
    <n v="3774"/>
    <n v="239"/>
    <n v="39"/>
    <n v="60384"/>
    <n v="59490"/>
    <n v="241"/>
    <x v="2"/>
    <s v="FSDUpdate"/>
  </r>
  <r>
    <s v="P271"/>
    <s v="Instagram"/>
    <d v="2024-10-17T00:00:00"/>
    <s v="Video"/>
    <s v="Check out our latest video on instagram!"/>
    <n v="3575"/>
    <n v="749"/>
    <n v="111"/>
    <n v="21450"/>
    <n v="20785"/>
    <n v="195"/>
    <x v="4"/>
    <s v="ModelYCampaign"/>
  </r>
  <r>
    <s v="P272"/>
    <s v="Instagram"/>
    <d v="2025-03-27T00:00:00"/>
    <s v="Text"/>
    <s v="Check out our latest text on instagram!"/>
    <n v="4941"/>
    <n v="414"/>
    <n v="266"/>
    <n v="39528"/>
    <n v="39154"/>
    <n v="217"/>
    <x v="2"/>
    <s v="FSDUpdate"/>
  </r>
  <r>
    <s v="P273"/>
    <s v="YouTube"/>
    <d v="2024-10-12T00:00:00"/>
    <s v="Story"/>
    <s v="Check out our latest story on youtube!"/>
    <n v="3641"/>
    <n v="226"/>
    <n v="46"/>
    <n v="40051"/>
    <n v="39319"/>
    <n v="296"/>
    <x v="4"/>
    <s v="SustainabilityDrive"/>
  </r>
  <r>
    <s v="P274"/>
    <s v="Twitter"/>
    <d v="2025-01-01T00:00:00"/>
    <s v="Carousel"/>
    <s v="Check out our latest carousel on twitter!"/>
    <n v="3535"/>
    <n v="494"/>
    <n v="152"/>
    <n v="53025"/>
    <n v="52791"/>
    <n v="44"/>
    <x v="2"/>
    <s v="SustainabilityDrive"/>
  </r>
  <r>
    <s v="P275"/>
    <s v="Facebook"/>
    <d v="2024-08-05T00:00:00"/>
    <s v="Reel"/>
    <s v="Check out our latest reel on facebook!"/>
    <n v="1741"/>
    <n v="831"/>
    <n v="345"/>
    <n v="17410"/>
    <n v="16844"/>
    <n v="58"/>
    <x v="4"/>
    <s v="FSDUpdate"/>
  </r>
  <r>
    <s v="P276"/>
    <s v="Twitter"/>
    <d v="2024-06-07T00:00:00"/>
    <s v="Carousel"/>
    <s v="Check out our latest carousel on twitter!"/>
    <n v="1556"/>
    <n v="195"/>
    <n v="131"/>
    <n v="9336"/>
    <n v="8875"/>
    <n v="137"/>
    <x v="2"/>
    <s v="ModelYCampaign"/>
  </r>
  <r>
    <s v="P277"/>
    <s v="Facebook"/>
    <d v="2025-04-06T00:00:00"/>
    <s v="Image"/>
    <s v="Check out our latest image on facebook!"/>
    <n v="4236"/>
    <n v="711"/>
    <n v="298"/>
    <n v="21180"/>
    <n v="20516"/>
    <n v="238"/>
    <x v="0"/>
    <s v="CybertruckLaunch"/>
  </r>
  <r>
    <s v="P278"/>
    <s v="Twitter"/>
    <d v="2024-11-26T00:00:00"/>
    <s v="Text"/>
    <s v="Check out our latest text on twitter!"/>
    <n v="4516"/>
    <n v="836"/>
    <n v="169"/>
    <n v="49676"/>
    <n v="49257"/>
    <n v="282"/>
    <x v="4"/>
    <s v="SustainabilityDrive"/>
  </r>
  <r>
    <s v="P279"/>
    <s v="YouTube"/>
    <d v="2024-09-02T00:00:00"/>
    <s v="Image"/>
    <s v="Check out our latest image on youtube!"/>
    <n v="4905"/>
    <n v="845"/>
    <n v="129"/>
    <n v="98100"/>
    <n v="97772"/>
    <n v="279"/>
    <x v="2"/>
    <s v="ModelYCampaign"/>
  </r>
  <r>
    <s v="P280"/>
    <s v="YouTube"/>
    <d v="2024-10-21T00:00:00"/>
    <s v="Video"/>
    <s v="Check out our latest video on youtube!"/>
    <n v="4275"/>
    <n v="680"/>
    <n v="385"/>
    <n v="64125"/>
    <n v="63650"/>
    <n v="104"/>
    <x v="4"/>
    <s v="SustainabilityDrive"/>
  </r>
  <r>
    <s v="P280"/>
    <s v="YouTube"/>
    <d v="2024-10-21T00:00:00"/>
    <s v="Video"/>
    <s v="Check out our latest video on youtube!"/>
    <n v="4275"/>
    <n v="680"/>
    <n v="385"/>
    <n v="64125"/>
    <n v="63650"/>
    <n v="104"/>
    <x v="2"/>
    <s v="SustainabilityDrive"/>
  </r>
  <r>
    <s v="P280"/>
    <s v="YouTube"/>
    <d v="2024-10-21T00:00:00"/>
    <s v="Video"/>
    <s v="Check out our latest video on youtube!"/>
    <n v="4275"/>
    <n v="680"/>
    <n v="385"/>
    <n v="64125"/>
    <n v="63650"/>
    <n v="104"/>
    <x v="1"/>
    <s v="SustainabilityDrive"/>
  </r>
  <r>
    <s v="P281"/>
    <s v="YouTube"/>
    <d v="2025-03-22T00:00:00"/>
    <s v="Image"/>
    <s v="Check out our latest image on youtube!"/>
    <n v="3166"/>
    <n v="90"/>
    <n v="341"/>
    <n v="56988"/>
    <n v="56125"/>
    <n v="135"/>
    <x v="4"/>
    <s v="ModelYCampaign"/>
  </r>
  <r>
    <s v="P282"/>
    <s v="Instagram"/>
    <d v="2024-10-03T00:00:00"/>
    <s v="Video"/>
    <s v="Check out our latest video on instagram!"/>
    <n v="1488"/>
    <n v="417"/>
    <n v="168"/>
    <n v="19344"/>
    <n v="18395"/>
    <n v="30"/>
    <x v="0"/>
    <s v="FSDUpdate"/>
  </r>
  <r>
    <s v="P283"/>
    <s v="Twitter"/>
    <d v="2025-05-09T00:00:00"/>
    <s v="Reel"/>
    <s v="Check out our latest reel on twitter!"/>
    <n v="3367"/>
    <n v="302"/>
    <n v="57"/>
    <n v="63973"/>
    <n v="63789"/>
    <n v="157"/>
    <x v="0"/>
    <s v="ModelYCampaign"/>
  </r>
  <r>
    <s v="P284"/>
    <s v="Twitter"/>
    <d v="2024-09-17T00:00:00"/>
    <s v="Text"/>
    <s v="Check out our latest text on twitter!"/>
    <n v="571"/>
    <n v="190"/>
    <n v="352"/>
    <n v="9707"/>
    <n v="9418"/>
    <n v="231"/>
    <x v="2"/>
    <s v="SustainabilityDrive"/>
  </r>
  <r>
    <s v="P285"/>
    <s v="YouTube"/>
    <d v="2024-07-18T00:00:00"/>
    <s v="Text"/>
    <s v="Check out our latest text on youtube!"/>
    <n v="4021"/>
    <n v="794"/>
    <n v="77"/>
    <n v="36189"/>
    <n v="35505"/>
    <n v="174"/>
    <x v="4"/>
    <m/>
  </r>
  <r>
    <s v="P286"/>
    <s v="YouTube"/>
    <d v="2024-09-25T00:00:00"/>
    <s v="Video"/>
    <s v="Check out our latest video on youtube!"/>
    <n v="3389"/>
    <n v="344"/>
    <n v="229"/>
    <n v="20334"/>
    <n v="19443"/>
    <n v="228"/>
    <x v="0"/>
    <s v="FSDUpdate"/>
  </r>
  <r>
    <s v="P287"/>
    <s v="Instagram"/>
    <d v="2024-08-15T00:00:00"/>
    <s v="Reel"/>
    <s v="Check out our latest reel on instagram!"/>
    <n v="1164"/>
    <n v="616"/>
    <n v="324"/>
    <n v="6984"/>
    <n v="6636"/>
    <n v="82"/>
    <x v="4"/>
    <s v="CybertruckLaunch"/>
  </r>
  <r>
    <s v="P288"/>
    <s v="YouTube"/>
    <d v="2025-04-17T00:00:00"/>
    <s v="Carousel"/>
    <s v="Check out our latest carousel on youtube!"/>
    <n v="4780"/>
    <n v="691"/>
    <n v="380"/>
    <n v="86040"/>
    <n v="85743"/>
    <n v="262"/>
    <x v="0"/>
    <s v="FSDUpdate"/>
  </r>
  <r>
    <s v="P289"/>
    <s v="Facebook"/>
    <d v="2024-11-28T00:00:00"/>
    <s v="Carousel"/>
    <s v="Check out our latest carousel on facebook!"/>
    <n v="2751"/>
    <n v="33"/>
    <n v="430"/>
    <n v="44016"/>
    <n v="43415"/>
    <n v="129"/>
    <x v="0"/>
    <m/>
  </r>
  <r>
    <s v="P290"/>
    <s v="Instagram"/>
    <d v="2024-12-20T00:00:00"/>
    <s v="Carousel"/>
    <s v="Check out our latest carousel on instagram!"/>
    <n v="2107"/>
    <n v="550"/>
    <n v="349"/>
    <n v="35819"/>
    <n v="35340"/>
    <n v="191"/>
    <x v="4"/>
    <s v="SustainabilityDrive"/>
  </r>
  <r>
    <s v="P291"/>
    <s v="Facebook"/>
    <d v="2024-11-06T00:00:00"/>
    <s v="Video"/>
    <s v="Check out our latest video on facebook!"/>
    <n v="4663"/>
    <n v="145"/>
    <n v="225"/>
    <n v="69945"/>
    <n v="69596"/>
    <n v="35"/>
    <x v="4"/>
    <s v="SustainabilityDrive"/>
  </r>
  <r>
    <s v="P292"/>
    <s v="Facebook"/>
    <d v="2024-11-17T00:00:00"/>
    <s v="Text"/>
    <s v="Check out our latest text on facebook!"/>
    <n v="880"/>
    <n v="297"/>
    <n v="345"/>
    <n v="12320"/>
    <n v="11978"/>
    <n v="238"/>
    <x v="2"/>
    <m/>
  </r>
  <r>
    <s v="P292"/>
    <s v="Facebook"/>
    <d v="2024-11-17T00:00:00"/>
    <s v="Text"/>
    <s v="Check out our latest text on facebook!"/>
    <n v="880"/>
    <n v="297"/>
    <n v="345"/>
    <n v="12320"/>
    <n v="11978"/>
    <n v="238"/>
    <x v="1"/>
    <m/>
  </r>
  <r>
    <s v="P293"/>
    <s v="Facebook"/>
    <d v="2025-05-14T00:00:00"/>
    <s v="Text"/>
    <s v="Check out our latest text on facebook!"/>
    <n v="2634"/>
    <n v="726"/>
    <n v="241"/>
    <n v="28974"/>
    <n v="28102"/>
    <n v="277"/>
    <x v="4"/>
    <s v="CybertruckLaunch"/>
  </r>
  <r>
    <s v="P294"/>
    <s v="Facebook"/>
    <d v="2024-06-19T00:00:00"/>
    <s v="Carousel"/>
    <s v="Check out our latest carousel on facebook!"/>
    <n v="4731"/>
    <n v="173"/>
    <n v="276"/>
    <n v="28386"/>
    <n v="28185"/>
    <n v="89"/>
    <x v="4"/>
    <s v="FSDUpdate"/>
  </r>
  <r>
    <s v="P295"/>
    <s v="Twitter"/>
    <d v="2025-05-06T00:00:00"/>
    <s v="Image"/>
    <s v="Check out our latest image on twitter!"/>
    <n v="1952"/>
    <n v="344"/>
    <n v="287"/>
    <n v="15616"/>
    <n v="15403"/>
    <n v="235"/>
    <x v="0"/>
    <s v="ModelYCampaign"/>
  </r>
  <r>
    <s v="P295"/>
    <s v="Twitter"/>
    <d v="2025-05-06T00:00:00"/>
    <s v="Image"/>
    <s v="Check out our latest image on twitter!"/>
    <n v="1952"/>
    <n v="344"/>
    <n v="287"/>
    <n v="15616"/>
    <n v="15403"/>
    <n v="235"/>
    <x v="2"/>
    <s v="ModelYCampaign"/>
  </r>
  <r>
    <s v="P295"/>
    <s v="Twitter"/>
    <d v="2025-05-06T00:00:00"/>
    <s v="Image"/>
    <s v="Check out our latest image on twitter!"/>
    <n v="1952"/>
    <n v="344"/>
    <n v="287"/>
    <n v="15616"/>
    <n v="15403"/>
    <n v="235"/>
    <x v="1"/>
    <s v="ModelYCampaign"/>
  </r>
  <r>
    <s v="P296"/>
    <s v="Twitter"/>
    <d v="2025-02-11T00:00:00"/>
    <s v="Video"/>
    <s v="Check out our latest video on twitter!"/>
    <n v="3440"/>
    <n v="13"/>
    <n v="20"/>
    <n v="58480"/>
    <n v="58146"/>
    <n v="210"/>
    <x v="2"/>
    <s v="SustainabilityDrive"/>
  </r>
  <r>
    <s v="P296"/>
    <s v="Twitter"/>
    <d v="2025-02-11T00:00:00"/>
    <s v="Video"/>
    <s v="Check out our latest video on twitter!"/>
    <n v="3440"/>
    <n v="13"/>
    <n v="20"/>
    <n v="58480"/>
    <n v="58146"/>
    <n v="210"/>
    <x v="5"/>
    <s v="SustainabilityDrive"/>
  </r>
  <r>
    <s v="P297"/>
    <s v="Twitter"/>
    <d v="2024-12-24T00:00:00"/>
    <s v="Text"/>
    <s v="Check out our latest text on twitter!"/>
    <n v="2166"/>
    <n v="354"/>
    <n v="117"/>
    <n v="10830"/>
    <n v="10245"/>
    <n v="24"/>
    <x v="4"/>
    <s v="SustainabilityDrive"/>
  </r>
  <r>
    <s v="P298"/>
    <s v="Facebook"/>
    <d v="2024-10-24T00:00:00"/>
    <s v="Image"/>
    <s v="Check out our latest image on facebook!"/>
    <n v="4303"/>
    <n v="451"/>
    <n v="286"/>
    <n v="86060"/>
    <n v="85823"/>
    <n v="14"/>
    <x v="2"/>
    <s v="FSDUpdate"/>
  </r>
  <r>
    <s v="P299"/>
    <s v="Facebook"/>
    <d v="2024-08-26T00:00:00"/>
    <s v="Image"/>
    <s v="Check out our latest image on facebook!"/>
    <n v="2581"/>
    <n v="517"/>
    <n v="117"/>
    <n v="23229"/>
    <n v="22331"/>
    <n v="70"/>
    <x v="0"/>
    <s v="FSDUpdate"/>
  </r>
  <r>
    <s v="P300"/>
    <s v="Twitter"/>
    <d v="2024-08-31T00:00:00"/>
    <s v="Carousel"/>
    <s v="Check out our latest carousel on twitter!"/>
    <n v="4494"/>
    <n v="717"/>
    <n v="45"/>
    <n v="62916"/>
    <n v="62688"/>
    <n v="191"/>
    <x v="2"/>
    <s v="CybertruckLaunch"/>
  </r>
  <r>
    <s v="P300"/>
    <s v="Twitter"/>
    <d v="2024-08-31T00:00:00"/>
    <s v="Carousel"/>
    <s v="Check out our latest carousel on twitter!"/>
    <n v="4494"/>
    <n v="717"/>
    <n v="45"/>
    <n v="62916"/>
    <n v="62688"/>
    <n v="191"/>
    <x v="4"/>
    <s v="CybertruckLaunch"/>
  </r>
  <r>
    <s v="P300"/>
    <s v="Twitter"/>
    <d v="2024-08-31T00:00:00"/>
    <s v="Carousel"/>
    <s v="Check out our latest carousel on twitter!"/>
    <n v="4494"/>
    <n v="717"/>
    <n v="45"/>
    <n v="62916"/>
    <n v="62688"/>
    <n v="191"/>
    <x v="3"/>
    <s v="CybertruckLaunch"/>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370DFB-FF44-4E5D-AD7F-8FE1183A1881}" name="PivotTable4" cacheId="2"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rowHeaderCaption="Content Type" colHeaderCaption="Platform">
  <location ref="A6:D15" firstHeaderRow="1" firstDataRow="3" firstDataCol="1"/>
  <pivotFields count="14">
    <pivotField showAll="0"/>
    <pivotField axis="axisCol" showAll="0">
      <items count="5">
        <item h="1" x="3"/>
        <item h="1" x="2"/>
        <item h="1" x="0"/>
        <item x="1"/>
        <item t="default"/>
      </items>
    </pivotField>
    <pivotField numFmtId="14" showAll="0"/>
    <pivotField axis="axisRow" showAll="0">
      <items count="7">
        <item x="3"/>
        <item x="4"/>
        <item x="0"/>
        <item x="2"/>
        <item x="1"/>
        <item x="5"/>
        <item t="default"/>
      </items>
    </pivotField>
    <pivotField showAll="0"/>
    <pivotField dataField="1" showAll="0"/>
    <pivotField dataField="1" showAll="0"/>
    <pivotField dataField="1" showAll="0"/>
    <pivotField showAll="0"/>
    <pivotField showAll="0"/>
    <pivotField showAll="0"/>
    <pivotField showAll="0"/>
    <pivotField showAll="0"/>
    <pivotField numFmtId="164" showAll="0"/>
  </pivotFields>
  <rowFields count="1">
    <field x="3"/>
  </rowFields>
  <rowItems count="7">
    <i>
      <x/>
    </i>
    <i>
      <x v="1"/>
    </i>
    <i>
      <x v="2"/>
    </i>
    <i>
      <x v="3"/>
    </i>
    <i>
      <x v="4"/>
    </i>
    <i>
      <x v="5"/>
    </i>
    <i t="grand">
      <x/>
    </i>
  </rowItems>
  <colFields count="2">
    <field x="1"/>
    <field x="-2"/>
  </colFields>
  <colItems count="3">
    <i>
      <x v="3"/>
      <x/>
    </i>
    <i r="1" i="1">
      <x v="1"/>
    </i>
    <i r="1" i="2">
      <x v="2"/>
    </i>
  </colItems>
  <dataFields count="3">
    <dataField name="Total Likes" fld="5" baseField="3" baseItem="0"/>
    <dataField name="Total Shares" fld="6" baseField="3" baseItem="0"/>
    <dataField name="Total Comments" fld="7"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E5184FE-65D7-4989-AA35-E23DA9E678A6}" name="PivotTable3"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Hashtags">
  <location ref="A3:B9" firstHeaderRow="1" firstDataRow="1" firstDataCol="1"/>
  <pivotFields count="13">
    <pivotField showAll="0"/>
    <pivotField showAll="0"/>
    <pivotField numFmtId="14" showAll="0"/>
    <pivotField showAll="0"/>
    <pivotField showAll="0"/>
    <pivotField showAll="0"/>
    <pivotField showAll="0"/>
    <pivotField showAll="0"/>
    <pivotField showAll="0"/>
    <pivotField showAll="0"/>
    <pivotField dataField="1" showAll="0"/>
    <pivotField axis="axisRow" showAll="0" sortType="descending">
      <items count="7">
        <item x="1"/>
        <item x="3"/>
        <item x="4"/>
        <item x="0"/>
        <item x="5"/>
        <item x="2"/>
        <item t="default"/>
      </items>
      <autoSortScope>
        <pivotArea dataOnly="0" outline="0" fieldPosition="0">
          <references count="1">
            <reference field="4294967294" count="1" selected="0">
              <x v="0"/>
            </reference>
          </references>
        </pivotArea>
      </autoSortScope>
    </pivotField>
    <pivotField showAll="0"/>
  </pivotFields>
  <rowFields count="1">
    <field x="11"/>
  </rowFields>
  <rowItems count="6">
    <i>
      <x/>
    </i>
    <i>
      <x v="5"/>
    </i>
    <i>
      <x v="2"/>
    </i>
    <i>
      <x v="3"/>
    </i>
    <i>
      <x v="1"/>
    </i>
    <i>
      <x v="4"/>
    </i>
  </rowItems>
  <colItems count="1">
    <i/>
  </colItems>
  <dataFields count="1">
    <dataField name="Average Clicks" fld="10" subtotal="average" baseField="1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FE80262-696B-4046-87B4-7BF15054AE33}" name="PivotTable5"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Hashtags">
  <location ref="A3:B9" firstHeaderRow="1" firstDataRow="1" firstDataCol="1"/>
  <pivotFields count="14">
    <pivotField showAll="0"/>
    <pivotField showAll="0"/>
    <pivotField numFmtId="14" showAll="0"/>
    <pivotField showAll="0"/>
    <pivotField showAll="0"/>
    <pivotField showAll="0"/>
    <pivotField showAll="0"/>
    <pivotField showAll="0"/>
    <pivotField showAll="0"/>
    <pivotField showAll="0"/>
    <pivotField showAll="0"/>
    <pivotField axis="axisRow" showAll="0" sortType="descending">
      <items count="7">
        <item x="1"/>
        <item x="3"/>
        <item x="4"/>
        <item x="0"/>
        <item x="5"/>
        <item x="2"/>
        <item t="default"/>
      </items>
      <autoSortScope>
        <pivotArea dataOnly="0" outline="0" fieldPosition="0">
          <references count="1">
            <reference field="4294967294" count="1" selected="0">
              <x v="0"/>
            </reference>
          </references>
        </pivotArea>
      </autoSortScope>
    </pivotField>
    <pivotField showAll="0"/>
    <pivotField dataField="1" numFmtId="164" showAll="0"/>
  </pivotFields>
  <rowFields count="1">
    <field x="11"/>
  </rowFields>
  <rowItems count="6">
    <i>
      <x v="2"/>
    </i>
    <i>
      <x v="5"/>
    </i>
    <i>
      <x v="3"/>
    </i>
    <i>
      <x v="1"/>
    </i>
    <i>
      <x/>
    </i>
    <i>
      <x v="4"/>
    </i>
  </rowItems>
  <colItems count="1">
    <i/>
  </colItems>
  <dataFields count="1">
    <dataField name="Average Engagement Rate" fld="13" subtotal="average" baseField="11" baseItem="2"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2CF8910-EFA5-48AD-B0D6-3848F05C1EDC}" name="PivotTable8"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Platform" colHeaderCaption="Content Objective">
  <location ref="A3:E8" firstHeaderRow="1" firstDataRow="2" firstDataCol="1"/>
  <pivotFields count="16">
    <pivotField showAll="0"/>
    <pivotField axis="axisRow" showAll="0">
      <items count="5">
        <item x="2"/>
        <item x="0"/>
        <item x="1"/>
        <item x="3"/>
        <item t="default"/>
      </items>
    </pivotField>
    <pivotField numFmtId="14" showAll="0"/>
    <pivotField showAll="0"/>
    <pivotField showAll="0"/>
    <pivotField showAll="0"/>
    <pivotField showAll="0"/>
    <pivotField showAll="0"/>
    <pivotField showAll="0"/>
    <pivotField showAll="0"/>
    <pivotField showAll="0"/>
    <pivotField showAll="0"/>
    <pivotField showAll="0"/>
    <pivotField dataField="1" numFmtId="164" showAll="0"/>
    <pivotField axis="axisCol" showAll="0">
      <items count="6">
        <item x="3"/>
        <item x="2"/>
        <item x="0"/>
        <item x="1"/>
        <item h="1" x="4"/>
        <item t="default"/>
      </items>
    </pivotField>
    <pivotField showAll="0"/>
  </pivotFields>
  <rowFields count="1">
    <field x="1"/>
  </rowFields>
  <rowItems count="4">
    <i>
      <x/>
    </i>
    <i>
      <x v="1"/>
    </i>
    <i>
      <x v="2"/>
    </i>
    <i>
      <x v="3"/>
    </i>
  </rowItems>
  <colFields count="1">
    <field x="14"/>
  </colFields>
  <colItems count="4">
    <i>
      <x/>
    </i>
    <i>
      <x v="1"/>
    </i>
    <i>
      <x v="2"/>
    </i>
    <i>
      <x v="3"/>
    </i>
  </colItems>
  <dataFields count="1">
    <dataField name="Average of Engagement Rate" fld="13" subtotal="average" baseField="1" baseItem="0" numFmtId="164"/>
  </dataField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F33623C-819D-460B-9715-B5579AE772C7}"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rowHeaderCaption="Week Start Date" colHeaderCaption="Platform">
  <location ref="A1:B52" firstHeaderRow="1" firstDataRow="2" firstDataCol="1"/>
  <pivotFields count="14">
    <pivotField axis="axisRow"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axis="axisCol" showAll="0">
      <items count="5">
        <item x="0"/>
        <item h="1" x="1"/>
        <item h="1" x="2"/>
        <item h="1" x="3"/>
        <item t="default"/>
      </items>
    </pivotField>
    <pivotField showAll="0"/>
    <pivotField showAll="0"/>
    <pivotField showAll="0"/>
    <pivotField showAll="0"/>
    <pivotField showAll="0"/>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dragToRow="0" dragToCol="0" dragToPage="0" showAll="0" defaultSubtotal="0"/>
  </pivotFields>
  <rowFields count="1">
    <field x="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rowItems>
  <colFields count="1">
    <field x="1"/>
  </colFields>
  <colItems count="1">
    <i>
      <x/>
    </i>
  </colItems>
  <dataFields count="1">
    <dataField name="Sum of Net follower growth rate" fld="8" baseField="0" baseItem="0"/>
  </dataFields>
  <formats count="1">
    <format dxfId="4">
      <pivotArea outline="0" collapsedLevelsAreSubtotals="1" fieldPosition="0"/>
    </format>
  </formats>
  <chartFormats count="105">
    <chartFormat chart="8" format="4" series="1">
      <pivotArea type="data" outline="0" fieldPosition="0">
        <references count="1">
          <reference field="1" count="1" selected="0">
            <x v="0"/>
          </reference>
        </references>
      </pivotArea>
    </chartFormat>
    <chartFormat chart="8" format="5" series="1">
      <pivotArea type="data" outline="0" fieldPosition="0">
        <references count="1">
          <reference field="1" count="1" selected="0">
            <x v="2"/>
          </reference>
        </references>
      </pivotArea>
    </chartFormat>
    <chartFormat chart="8" format="6" series="1">
      <pivotArea type="data" outline="0" fieldPosition="0">
        <references count="2">
          <reference field="4294967294" count="1" selected="0">
            <x v="0"/>
          </reference>
          <reference field="1" count="1" selected="0">
            <x v="0"/>
          </reference>
        </references>
      </pivotArea>
    </chartFormat>
    <chartFormat chart="8" format="7" series="1">
      <pivotArea type="data" outline="0" fieldPosition="0">
        <references count="2">
          <reference field="4294967294" count="1" selected="0">
            <x v="0"/>
          </reference>
          <reference field="1" count="1" selected="0">
            <x v="2"/>
          </reference>
        </references>
      </pivotArea>
    </chartFormat>
    <chartFormat chart="8" format="8" series="1">
      <pivotArea type="data" outline="0" fieldPosition="0">
        <references count="1">
          <reference field="4294967294" count="1" selected="0">
            <x v="0"/>
          </reference>
        </references>
      </pivotArea>
    </chartFormat>
    <chartFormat chart="8" format="9" series="1">
      <pivotArea type="data" outline="0" fieldPosition="0">
        <references count="2">
          <reference field="4294967294" count="1" selected="0">
            <x v="0"/>
          </reference>
          <reference field="1" count="1" selected="0">
            <x v="1"/>
          </reference>
        </references>
      </pivotArea>
    </chartFormat>
    <chartFormat chart="8" format="10" series="1">
      <pivotArea type="data" outline="0" fieldPosition="0">
        <references count="2">
          <reference field="4294967294" count="1" selected="0">
            <x v="0"/>
          </reference>
          <reference field="1" count="1" selected="0">
            <x v="3"/>
          </reference>
        </references>
      </pivotArea>
    </chartFormat>
    <chartFormat chart="8" format="11" series="1">
      <pivotArea type="data" outline="0" fieldPosition="0">
        <references count="3">
          <reference field="4294967294" count="1" selected="0">
            <x v="0"/>
          </reference>
          <reference field="0" count="1" selected="0">
            <x v="2"/>
          </reference>
          <reference field="1" count="1" selected="0">
            <x v="2"/>
          </reference>
        </references>
      </pivotArea>
    </chartFormat>
    <chartFormat chart="8" format="12" series="1">
      <pivotArea type="data" outline="0" fieldPosition="0">
        <references count="3">
          <reference field="4294967294" count="1" selected="0">
            <x v="0"/>
          </reference>
          <reference field="0" count="1" selected="0">
            <x v="3"/>
          </reference>
          <reference field="1" count="1" selected="0">
            <x v="2"/>
          </reference>
        </references>
      </pivotArea>
    </chartFormat>
    <chartFormat chart="8" format="13" series="1">
      <pivotArea type="data" outline="0" fieldPosition="0">
        <references count="3">
          <reference field="4294967294" count="1" selected="0">
            <x v="0"/>
          </reference>
          <reference field="0" count="1" selected="0">
            <x v="4"/>
          </reference>
          <reference field="1" count="1" selected="0">
            <x v="2"/>
          </reference>
        </references>
      </pivotArea>
    </chartFormat>
    <chartFormat chart="8" format="14" series="1">
      <pivotArea type="data" outline="0" fieldPosition="0">
        <references count="3">
          <reference field="4294967294" count="1" selected="0">
            <x v="0"/>
          </reference>
          <reference field="0" count="1" selected="0">
            <x v="5"/>
          </reference>
          <reference field="1" count="1" selected="0">
            <x v="2"/>
          </reference>
        </references>
      </pivotArea>
    </chartFormat>
    <chartFormat chart="8" format="15" series="1">
      <pivotArea type="data" outline="0" fieldPosition="0">
        <references count="3">
          <reference field="4294967294" count="1" selected="0">
            <x v="0"/>
          </reference>
          <reference field="0" count="1" selected="0">
            <x v="6"/>
          </reference>
          <reference field="1" count="1" selected="0">
            <x v="2"/>
          </reference>
        </references>
      </pivotArea>
    </chartFormat>
    <chartFormat chart="8" format="16" series="1">
      <pivotArea type="data" outline="0" fieldPosition="0">
        <references count="3">
          <reference field="4294967294" count="1" selected="0">
            <x v="0"/>
          </reference>
          <reference field="0" count="1" selected="0">
            <x v="7"/>
          </reference>
          <reference field="1" count="1" selected="0">
            <x v="2"/>
          </reference>
        </references>
      </pivotArea>
    </chartFormat>
    <chartFormat chart="8" format="17" series="1">
      <pivotArea type="data" outline="0" fieldPosition="0">
        <references count="3">
          <reference field="4294967294" count="1" selected="0">
            <x v="0"/>
          </reference>
          <reference field="0" count="1" selected="0">
            <x v="8"/>
          </reference>
          <reference field="1" count="1" selected="0">
            <x v="2"/>
          </reference>
        </references>
      </pivotArea>
    </chartFormat>
    <chartFormat chart="8" format="18" series="1">
      <pivotArea type="data" outline="0" fieldPosition="0">
        <references count="3">
          <reference field="4294967294" count="1" selected="0">
            <x v="0"/>
          </reference>
          <reference field="0" count="1" selected="0">
            <x v="9"/>
          </reference>
          <reference field="1" count="1" selected="0">
            <x v="2"/>
          </reference>
        </references>
      </pivotArea>
    </chartFormat>
    <chartFormat chart="8" format="19" series="1">
      <pivotArea type="data" outline="0" fieldPosition="0">
        <references count="3">
          <reference field="4294967294" count="1" selected="0">
            <x v="0"/>
          </reference>
          <reference field="0" count="1" selected="0">
            <x v="10"/>
          </reference>
          <reference field="1" count="1" selected="0">
            <x v="2"/>
          </reference>
        </references>
      </pivotArea>
    </chartFormat>
    <chartFormat chart="8" format="20" series="1">
      <pivotArea type="data" outline="0" fieldPosition="0">
        <references count="3">
          <reference field="4294967294" count="1" selected="0">
            <x v="0"/>
          </reference>
          <reference field="0" count="1" selected="0">
            <x v="11"/>
          </reference>
          <reference field="1" count="1" selected="0">
            <x v="2"/>
          </reference>
        </references>
      </pivotArea>
    </chartFormat>
    <chartFormat chart="8" format="21" series="1">
      <pivotArea type="data" outline="0" fieldPosition="0">
        <references count="3">
          <reference field="4294967294" count="1" selected="0">
            <x v="0"/>
          </reference>
          <reference field="0" count="1" selected="0">
            <x v="12"/>
          </reference>
          <reference field="1" count="1" selected="0">
            <x v="2"/>
          </reference>
        </references>
      </pivotArea>
    </chartFormat>
    <chartFormat chart="8" format="22" series="1">
      <pivotArea type="data" outline="0" fieldPosition="0">
        <references count="3">
          <reference field="4294967294" count="1" selected="0">
            <x v="0"/>
          </reference>
          <reference field="0" count="1" selected="0">
            <x v="13"/>
          </reference>
          <reference field="1" count="1" selected="0">
            <x v="2"/>
          </reference>
        </references>
      </pivotArea>
    </chartFormat>
    <chartFormat chart="8" format="23" series="1">
      <pivotArea type="data" outline="0" fieldPosition="0">
        <references count="3">
          <reference field="4294967294" count="1" selected="0">
            <x v="0"/>
          </reference>
          <reference field="0" count="1" selected="0">
            <x v="14"/>
          </reference>
          <reference field="1" count="1" selected="0">
            <x v="2"/>
          </reference>
        </references>
      </pivotArea>
    </chartFormat>
    <chartFormat chart="8" format="24" series="1">
      <pivotArea type="data" outline="0" fieldPosition="0">
        <references count="3">
          <reference field="4294967294" count="1" selected="0">
            <x v="0"/>
          </reference>
          <reference field="0" count="1" selected="0">
            <x v="15"/>
          </reference>
          <reference field="1" count="1" selected="0">
            <x v="2"/>
          </reference>
        </references>
      </pivotArea>
    </chartFormat>
    <chartFormat chart="8" format="25" series="1">
      <pivotArea type="data" outline="0" fieldPosition="0">
        <references count="3">
          <reference field="4294967294" count="1" selected="0">
            <x v="0"/>
          </reference>
          <reference field="0" count="1" selected="0">
            <x v="16"/>
          </reference>
          <reference field="1" count="1" selected="0">
            <x v="2"/>
          </reference>
        </references>
      </pivotArea>
    </chartFormat>
    <chartFormat chart="8" format="26" series="1">
      <pivotArea type="data" outline="0" fieldPosition="0">
        <references count="3">
          <reference field="4294967294" count="1" selected="0">
            <x v="0"/>
          </reference>
          <reference field="0" count="1" selected="0">
            <x v="17"/>
          </reference>
          <reference field="1" count="1" selected="0">
            <x v="2"/>
          </reference>
        </references>
      </pivotArea>
    </chartFormat>
    <chartFormat chart="8" format="27" series="1">
      <pivotArea type="data" outline="0" fieldPosition="0">
        <references count="3">
          <reference field="4294967294" count="1" selected="0">
            <x v="0"/>
          </reference>
          <reference field="0" count="1" selected="0">
            <x v="18"/>
          </reference>
          <reference field="1" count="1" selected="0">
            <x v="2"/>
          </reference>
        </references>
      </pivotArea>
    </chartFormat>
    <chartFormat chart="8" format="28" series="1">
      <pivotArea type="data" outline="0" fieldPosition="0">
        <references count="3">
          <reference field="4294967294" count="1" selected="0">
            <x v="0"/>
          </reference>
          <reference field="0" count="1" selected="0">
            <x v="19"/>
          </reference>
          <reference field="1" count="1" selected="0">
            <x v="2"/>
          </reference>
        </references>
      </pivotArea>
    </chartFormat>
    <chartFormat chart="8" format="29" series="1">
      <pivotArea type="data" outline="0" fieldPosition="0">
        <references count="3">
          <reference field="4294967294" count="1" selected="0">
            <x v="0"/>
          </reference>
          <reference field="0" count="1" selected="0">
            <x v="20"/>
          </reference>
          <reference field="1" count="1" selected="0">
            <x v="2"/>
          </reference>
        </references>
      </pivotArea>
    </chartFormat>
    <chartFormat chart="8" format="30" series="1">
      <pivotArea type="data" outline="0" fieldPosition="0">
        <references count="3">
          <reference field="4294967294" count="1" selected="0">
            <x v="0"/>
          </reference>
          <reference field="0" count="1" selected="0">
            <x v="21"/>
          </reference>
          <reference field="1" count="1" selected="0">
            <x v="2"/>
          </reference>
        </references>
      </pivotArea>
    </chartFormat>
    <chartFormat chart="8" format="31" series="1">
      <pivotArea type="data" outline="0" fieldPosition="0">
        <references count="3">
          <reference field="4294967294" count="1" selected="0">
            <x v="0"/>
          </reference>
          <reference field="0" count="1" selected="0">
            <x v="22"/>
          </reference>
          <reference field="1" count="1" selected="0">
            <x v="2"/>
          </reference>
        </references>
      </pivotArea>
    </chartFormat>
    <chartFormat chart="8" format="32" series="1">
      <pivotArea type="data" outline="0" fieldPosition="0">
        <references count="3">
          <reference field="4294967294" count="1" selected="0">
            <x v="0"/>
          </reference>
          <reference field="0" count="1" selected="0">
            <x v="23"/>
          </reference>
          <reference field="1" count="1" selected="0">
            <x v="2"/>
          </reference>
        </references>
      </pivotArea>
    </chartFormat>
    <chartFormat chart="8" format="33" series="1">
      <pivotArea type="data" outline="0" fieldPosition="0">
        <references count="3">
          <reference field="4294967294" count="1" selected="0">
            <x v="0"/>
          </reference>
          <reference field="0" count="1" selected="0">
            <x v="24"/>
          </reference>
          <reference field="1" count="1" selected="0">
            <x v="2"/>
          </reference>
        </references>
      </pivotArea>
    </chartFormat>
    <chartFormat chart="8" format="34" series="1">
      <pivotArea type="data" outline="0" fieldPosition="0">
        <references count="3">
          <reference field="4294967294" count="1" selected="0">
            <x v="0"/>
          </reference>
          <reference field="0" count="1" selected="0">
            <x v="25"/>
          </reference>
          <reference field="1" count="1" selected="0">
            <x v="2"/>
          </reference>
        </references>
      </pivotArea>
    </chartFormat>
    <chartFormat chart="8" format="35" series="1">
      <pivotArea type="data" outline="0" fieldPosition="0">
        <references count="3">
          <reference field="4294967294" count="1" selected="0">
            <x v="0"/>
          </reference>
          <reference field="0" count="1" selected="0">
            <x v="26"/>
          </reference>
          <reference field="1" count="1" selected="0">
            <x v="2"/>
          </reference>
        </references>
      </pivotArea>
    </chartFormat>
    <chartFormat chart="8" format="36" series="1">
      <pivotArea type="data" outline="0" fieldPosition="0">
        <references count="3">
          <reference field="4294967294" count="1" selected="0">
            <x v="0"/>
          </reference>
          <reference field="0" count="1" selected="0">
            <x v="27"/>
          </reference>
          <reference field="1" count="1" selected="0">
            <x v="2"/>
          </reference>
        </references>
      </pivotArea>
    </chartFormat>
    <chartFormat chart="8" format="37" series="1">
      <pivotArea type="data" outline="0" fieldPosition="0">
        <references count="3">
          <reference field="4294967294" count="1" selected="0">
            <x v="0"/>
          </reference>
          <reference field="0" count="1" selected="0">
            <x v="28"/>
          </reference>
          <reference field="1" count="1" selected="0">
            <x v="2"/>
          </reference>
        </references>
      </pivotArea>
    </chartFormat>
    <chartFormat chart="8" format="38" series="1">
      <pivotArea type="data" outline="0" fieldPosition="0">
        <references count="3">
          <reference field="4294967294" count="1" selected="0">
            <x v="0"/>
          </reference>
          <reference field="0" count="1" selected="0">
            <x v="29"/>
          </reference>
          <reference field="1" count="1" selected="0">
            <x v="2"/>
          </reference>
        </references>
      </pivotArea>
    </chartFormat>
    <chartFormat chart="8" format="39" series="1">
      <pivotArea type="data" outline="0" fieldPosition="0">
        <references count="3">
          <reference field="4294967294" count="1" selected="0">
            <x v="0"/>
          </reference>
          <reference field="0" count="1" selected="0">
            <x v="30"/>
          </reference>
          <reference field="1" count="1" selected="0">
            <x v="2"/>
          </reference>
        </references>
      </pivotArea>
    </chartFormat>
    <chartFormat chart="8" format="40" series="1">
      <pivotArea type="data" outline="0" fieldPosition="0">
        <references count="3">
          <reference field="4294967294" count="1" selected="0">
            <x v="0"/>
          </reference>
          <reference field="0" count="1" selected="0">
            <x v="31"/>
          </reference>
          <reference field="1" count="1" selected="0">
            <x v="2"/>
          </reference>
        </references>
      </pivotArea>
    </chartFormat>
    <chartFormat chart="8" format="41" series="1">
      <pivotArea type="data" outline="0" fieldPosition="0">
        <references count="3">
          <reference field="4294967294" count="1" selected="0">
            <x v="0"/>
          </reference>
          <reference field="0" count="1" selected="0">
            <x v="32"/>
          </reference>
          <reference field="1" count="1" selected="0">
            <x v="2"/>
          </reference>
        </references>
      </pivotArea>
    </chartFormat>
    <chartFormat chart="8" format="42" series="1">
      <pivotArea type="data" outline="0" fieldPosition="0">
        <references count="3">
          <reference field="4294967294" count="1" selected="0">
            <x v="0"/>
          </reference>
          <reference field="0" count="1" selected="0">
            <x v="33"/>
          </reference>
          <reference field="1" count="1" selected="0">
            <x v="2"/>
          </reference>
        </references>
      </pivotArea>
    </chartFormat>
    <chartFormat chart="8" format="43" series="1">
      <pivotArea type="data" outline="0" fieldPosition="0">
        <references count="3">
          <reference field="4294967294" count="1" selected="0">
            <x v="0"/>
          </reference>
          <reference field="0" count="1" selected="0">
            <x v="34"/>
          </reference>
          <reference field="1" count="1" selected="0">
            <x v="2"/>
          </reference>
        </references>
      </pivotArea>
    </chartFormat>
    <chartFormat chart="8" format="44" series="1">
      <pivotArea type="data" outline="0" fieldPosition="0">
        <references count="3">
          <reference field="4294967294" count="1" selected="0">
            <x v="0"/>
          </reference>
          <reference field="0" count="1" selected="0">
            <x v="35"/>
          </reference>
          <reference field="1" count="1" selected="0">
            <x v="2"/>
          </reference>
        </references>
      </pivotArea>
    </chartFormat>
    <chartFormat chart="8" format="45" series="1">
      <pivotArea type="data" outline="0" fieldPosition="0">
        <references count="3">
          <reference field="4294967294" count="1" selected="0">
            <x v="0"/>
          </reference>
          <reference field="0" count="1" selected="0">
            <x v="36"/>
          </reference>
          <reference field="1" count="1" selected="0">
            <x v="2"/>
          </reference>
        </references>
      </pivotArea>
    </chartFormat>
    <chartFormat chart="8" format="46" series="1">
      <pivotArea type="data" outline="0" fieldPosition="0">
        <references count="3">
          <reference field="4294967294" count="1" selected="0">
            <x v="0"/>
          </reference>
          <reference field="0" count="1" selected="0">
            <x v="37"/>
          </reference>
          <reference field="1" count="1" selected="0">
            <x v="2"/>
          </reference>
        </references>
      </pivotArea>
    </chartFormat>
    <chartFormat chart="8" format="47" series="1">
      <pivotArea type="data" outline="0" fieldPosition="0">
        <references count="3">
          <reference field="4294967294" count="1" selected="0">
            <x v="0"/>
          </reference>
          <reference field="0" count="1" selected="0">
            <x v="38"/>
          </reference>
          <reference field="1" count="1" selected="0">
            <x v="2"/>
          </reference>
        </references>
      </pivotArea>
    </chartFormat>
    <chartFormat chart="8" format="48" series="1">
      <pivotArea type="data" outline="0" fieldPosition="0">
        <references count="3">
          <reference field="4294967294" count="1" selected="0">
            <x v="0"/>
          </reference>
          <reference field="0" count="1" selected="0">
            <x v="39"/>
          </reference>
          <reference field="1" count="1" selected="0">
            <x v="2"/>
          </reference>
        </references>
      </pivotArea>
    </chartFormat>
    <chartFormat chart="8" format="49" series="1">
      <pivotArea type="data" outline="0" fieldPosition="0">
        <references count="3">
          <reference field="4294967294" count="1" selected="0">
            <x v="0"/>
          </reference>
          <reference field="0" count="1" selected="0">
            <x v="40"/>
          </reference>
          <reference field="1" count="1" selected="0">
            <x v="2"/>
          </reference>
        </references>
      </pivotArea>
    </chartFormat>
    <chartFormat chart="8" format="50" series="1">
      <pivotArea type="data" outline="0" fieldPosition="0">
        <references count="3">
          <reference field="4294967294" count="1" selected="0">
            <x v="0"/>
          </reference>
          <reference field="0" count="1" selected="0">
            <x v="41"/>
          </reference>
          <reference field="1" count="1" selected="0">
            <x v="2"/>
          </reference>
        </references>
      </pivotArea>
    </chartFormat>
    <chartFormat chart="8" format="51" series="1">
      <pivotArea type="data" outline="0" fieldPosition="0">
        <references count="3">
          <reference field="4294967294" count="1" selected="0">
            <x v="0"/>
          </reference>
          <reference field="0" count="1" selected="0">
            <x v="42"/>
          </reference>
          <reference field="1" count="1" selected="0">
            <x v="2"/>
          </reference>
        </references>
      </pivotArea>
    </chartFormat>
    <chartFormat chart="8" format="52" series="1">
      <pivotArea type="data" outline="0" fieldPosition="0">
        <references count="3">
          <reference field="4294967294" count="1" selected="0">
            <x v="0"/>
          </reference>
          <reference field="0" count="1" selected="0">
            <x v="43"/>
          </reference>
          <reference field="1" count="1" selected="0">
            <x v="2"/>
          </reference>
        </references>
      </pivotArea>
    </chartFormat>
    <chartFormat chart="8" format="53" series="1">
      <pivotArea type="data" outline="0" fieldPosition="0">
        <references count="3">
          <reference field="4294967294" count="1" selected="0">
            <x v="0"/>
          </reference>
          <reference field="0" count="1" selected="0">
            <x v="44"/>
          </reference>
          <reference field="1" count="1" selected="0">
            <x v="2"/>
          </reference>
        </references>
      </pivotArea>
    </chartFormat>
    <chartFormat chart="8" format="54" series="1">
      <pivotArea type="data" outline="0" fieldPosition="0">
        <references count="3">
          <reference field="4294967294" count="1" selected="0">
            <x v="0"/>
          </reference>
          <reference field="0" count="1" selected="0">
            <x v="45"/>
          </reference>
          <reference field="1" count="1" selected="0">
            <x v="2"/>
          </reference>
        </references>
      </pivotArea>
    </chartFormat>
    <chartFormat chart="8" format="55" series="1">
      <pivotArea type="data" outline="0" fieldPosition="0">
        <references count="3">
          <reference field="4294967294" count="1" selected="0">
            <x v="0"/>
          </reference>
          <reference field="0" count="1" selected="0">
            <x v="46"/>
          </reference>
          <reference field="1" count="1" selected="0">
            <x v="2"/>
          </reference>
        </references>
      </pivotArea>
    </chartFormat>
    <chartFormat chart="8" format="56" series="1">
      <pivotArea type="data" outline="0" fieldPosition="0">
        <references count="3">
          <reference field="4294967294" count="1" selected="0">
            <x v="0"/>
          </reference>
          <reference field="0" count="1" selected="0">
            <x v="47"/>
          </reference>
          <reference field="1" count="1" selected="0">
            <x v="2"/>
          </reference>
        </references>
      </pivotArea>
    </chartFormat>
    <chartFormat chart="8" format="57" series="1">
      <pivotArea type="data" outline="0" fieldPosition="0">
        <references count="3">
          <reference field="4294967294" count="1" selected="0">
            <x v="0"/>
          </reference>
          <reference field="0" count="1" selected="0">
            <x v="48"/>
          </reference>
          <reference field="1" count="1" selected="0">
            <x v="2"/>
          </reference>
        </references>
      </pivotArea>
    </chartFormat>
    <chartFormat chart="8" format="58" series="1">
      <pivotArea type="data" outline="0" fieldPosition="0">
        <references count="3">
          <reference field="4294967294" count="1" selected="0">
            <x v="0"/>
          </reference>
          <reference field="0" count="1" selected="0">
            <x v="49"/>
          </reference>
          <reference field="1" count="1" selected="0">
            <x v="2"/>
          </reference>
        </references>
      </pivotArea>
    </chartFormat>
    <chartFormat chart="8" format="59" series="1">
      <pivotArea type="data" outline="0" fieldPosition="0">
        <references count="3">
          <reference field="4294967294" count="1" selected="0">
            <x v="0"/>
          </reference>
          <reference field="0" count="1" selected="0">
            <x v="0"/>
          </reference>
          <reference field="1" count="1" selected="0">
            <x v="3"/>
          </reference>
        </references>
      </pivotArea>
    </chartFormat>
    <chartFormat chart="8" format="60" series="1">
      <pivotArea type="data" outline="0" fieldPosition="0">
        <references count="3">
          <reference field="4294967294" count="1" selected="0">
            <x v="0"/>
          </reference>
          <reference field="0" count="1" selected="0">
            <x v="1"/>
          </reference>
          <reference field="1" count="1" selected="0">
            <x v="3"/>
          </reference>
        </references>
      </pivotArea>
    </chartFormat>
    <chartFormat chart="8" format="61" series="1">
      <pivotArea type="data" outline="0" fieldPosition="0">
        <references count="3">
          <reference field="4294967294" count="1" selected="0">
            <x v="0"/>
          </reference>
          <reference field="0" count="1" selected="0">
            <x v="2"/>
          </reference>
          <reference field="1" count="1" selected="0">
            <x v="3"/>
          </reference>
        </references>
      </pivotArea>
    </chartFormat>
    <chartFormat chart="8" format="62" series="1">
      <pivotArea type="data" outline="0" fieldPosition="0">
        <references count="3">
          <reference field="4294967294" count="1" selected="0">
            <x v="0"/>
          </reference>
          <reference field="0" count="1" selected="0">
            <x v="3"/>
          </reference>
          <reference field="1" count="1" selected="0">
            <x v="3"/>
          </reference>
        </references>
      </pivotArea>
    </chartFormat>
    <chartFormat chart="8" format="63" series="1">
      <pivotArea type="data" outline="0" fieldPosition="0">
        <references count="3">
          <reference field="4294967294" count="1" selected="0">
            <x v="0"/>
          </reference>
          <reference field="0" count="1" selected="0">
            <x v="4"/>
          </reference>
          <reference field="1" count="1" selected="0">
            <x v="3"/>
          </reference>
        </references>
      </pivotArea>
    </chartFormat>
    <chartFormat chart="8" format="64" series="1">
      <pivotArea type="data" outline="0" fieldPosition="0">
        <references count="3">
          <reference field="4294967294" count="1" selected="0">
            <x v="0"/>
          </reference>
          <reference field="0" count="1" selected="0">
            <x v="5"/>
          </reference>
          <reference field="1" count="1" selected="0">
            <x v="3"/>
          </reference>
        </references>
      </pivotArea>
    </chartFormat>
    <chartFormat chart="8" format="65" series="1">
      <pivotArea type="data" outline="0" fieldPosition="0">
        <references count="3">
          <reference field="4294967294" count="1" selected="0">
            <x v="0"/>
          </reference>
          <reference field="0" count="1" selected="0">
            <x v="6"/>
          </reference>
          <reference field="1" count="1" selected="0">
            <x v="3"/>
          </reference>
        </references>
      </pivotArea>
    </chartFormat>
    <chartFormat chart="8" format="66" series="1">
      <pivotArea type="data" outline="0" fieldPosition="0">
        <references count="3">
          <reference field="4294967294" count="1" selected="0">
            <x v="0"/>
          </reference>
          <reference field="0" count="1" selected="0">
            <x v="7"/>
          </reference>
          <reference field="1" count="1" selected="0">
            <x v="3"/>
          </reference>
        </references>
      </pivotArea>
    </chartFormat>
    <chartFormat chart="8" format="67" series="1">
      <pivotArea type="data" outline="0" fieldPosition="0">
        <references count="3">
          <reference field="4294967294" count="1" selected="0">
            <x v="0"/>
          </reference>
          <reference field="0" count="1" selected="0">
            <x v="8"/>
          </reference>
          <reference field="1" count="1" selected="0">
            <x v="3"/>
          </reference>
        </references>
      </pivotArea>
    </chartFormat>
    <chartFormat chart="8" format="68" series="1">
      <pivotArea type="data" outline="0" fieldPosition="0">
        <references count="3">
          <reference field="4294967294" count="1" selected="0">
            <x v="0"/>
          </reference>
          <reference field="0" count="1" selected="0">
            <x v="9"/>
          </reference>
          <reference field="1" count="1" selected="0">
            <x v="3"/>
          </reference>
        </references>
      </pivotArea>
    </chartFormat>
    <chartFormat chart="8" format="69" series="1">
      <pivotArea type="data" outline="0" fieldPosition="0">
        <references count="3">
          <reference field="4294967294" count="1" selected="0">
            <x v="0"/>
          </reference>
          <reference field="0" count="1" selected="0">
            <x v="10"/>
          </reference>
          <reference field="1" count="1" selected="0">
            <x v="3"/>
          </reference>
        </references>
      </pivotArea>
    </chartFormat>
    <chartFormat chart="8" format="70" series="1">
      <pivotArea type="data" outline="0" fieldPosition="0">
        <references count="3">
          <reference field="4294967294" count="1" selected="0">
            <x v="0"/>
          </reference>
          <reference field="0" count="1" selected="0">
            <x v="11"/>
          </reference>
          <reference field="1" count="1" selected="0">
            <x v="3"/>
          </reference>
        </references>
      </pivotArea>
    </chartFormat>
    <chartFormat chart="8" format="71" series="1">
      <pivotArea type="data" outline="0" fieldPosition="0">
        <references count="3">
          <reference field="4294967294" count="1" selected="0">
            <x v="0"/>
          </reference>
          <reference field="0" count="1" selected="0">
            <x v="12"/>
          </reference>
          <reference field="1" count="1" selected="0">
            <x v="3"/>
          </reference>
        </references>
      </pivotArea>
    </chartFormat>
    <chartFormat chart="8" format="72" series="1">
      <pivotArea type="data" outline="0" fieldPosition="0">
        <references count="3">
          <reference field="4294967294" count="1" selected="0">
            <x v="0"/>
          </reference>
          <reference field="0" count="1" selected="0">
            <x v="13"/>
          </reference>
          <reference field="1" count="1" selected="0">
            <x v="3"/>
          </reference>
        </references>
      </pivotArea>
    </chartFormat>
    <chartFormat chart="8" format="73" series="1">
      <pivotArea type="data" outline="0" fieldPosition="0">
        <references count="3">
          <reference field="4294967294" count="1" selected="0">
            <x v="0"/>
          </reference>
          <reference field="0" count="1" selected="0">
            <x v="14"/>
          </reference>
          <reference field="1" count="1" selected="0">
            <x v="3"/>
          </reference>
        </references>
      </pivotArea>
    </chartFormat>
    <chartFormat chart="8" format="74" series="1">
      <pivotArea type="data" outline="0" fieldPosition="0">
        <references count="3">
          <reference field="4294967294" count="1" selected="0">
            <x v="0"/>
          </reference>
          <reference field="0" count="1" selected="0">
            <x v="15"/>
          </reference>
          <reference field="1" count="1" selected="0">
            <x v="3"/>
          </reference>
        </references>
      </pivotArea>
    </chartFormat>
    <chartFormat chart="8" format="75" series="1">
      <pivotArea type="data" outline="0" fieldPosition="0">
        <references count="3">
          <reference field="4294967294" count="1" selected="0">
            <x v="0"/>
          </reference>
          <reference field="0" count="1" selected="0">
            <x v="16"/>
          </reference>
          <reference field="1" count="1" selected="0">
            <x v="3"/>
          </reference>
        </references>
      </pivotArea>
    </chartFormat>
    <chartFormat chart="8" format="76" series="1">
      <pivotArea type="data" outline="0" fieldPosition="0">
        <references count="3">
          <reference field="4294967294" count="1" selected="0">
            <x v="0"/>
          </reference>
          <reference field="0" count="1" selected="0">
            <x v="17"/>
          </reference>
          <reference field="1" count="1" selected="0">
            <x v="3"/>
          </reference>
        </references>
      </pivotArea>
    </chartFormat>
    <chartFormat chart="8" format="77" series="1">
      <pivotArea type="data" outline="0" fieldPosition="0">
        <references count="3">
          <reference field="4294967294" count="1" selected="0">
            <x v="0"/>
          </reference>
          <reference field="0" count="1" selected="0">
            <x v="18"/>
          </reference>
          <reference field="1" count="1" selected="0">
            <x v="3"/>
          </reference>
        </references>
      </pivotArea>
    </chartFormat>
    <chartFormat chart="8" format="78" series="1">
      <pivotArea type="data" outline="0" fieldPosition="0">
        <references count="3">
          <reference field="4294967294" count="1" selected="0">
            <x v="0"/>
          </reference>
          <reference field="0" count="1" selected="0">
            <x v="19"/>
          </reference>
          <reference field="1" count="1" selected="0">
            <x v="3"/>
          </reference>
        </references>
      </pivotArea>
    </chartFormat>
    <chartFormat chart="8" format="79" series="1">
      <pivotArea type="data" outline="0" fieldPosition="0">
        <references count="3">
          <reference field="4294967294" count="1" selected="0">
            <x v="0"/>
          </reference>
          <reference field="0" count="1" selected="0">
            <x v="20"/>
          </reference>
          <reference field="1" count="1" selected="0">
            <x v="3"/>
          </reference>
        </references>
      </pivotArea>
    </chartFormat>
    <chartFormat chart="8" format="80" series="1">
      <pivotArea type="data" outline="0" fieldPosition="0">
        <references count="3">
          <reference field="4294967294" count="1" selected="0">
            <x v="0"/>
          </reference>
          <reference field="0" count="1" selected="0">
            <x v="21"/>
          </reference>
          <reference field="1" count="1" selected="0">
            <x v="3"/>
          </reference>
        </references>
      </pivotArea>
    </chartFormat>
    <chartFormat chart="8" format="81" series="1">
      <pivotArea type="data" outline="0" fieldPosition="0">
        <references count="3">
          <reference field="4294967294" count="1" selected="0">
            <x v="0"/>
          </reference>
          <reference field="0" count="1" selected="0">
            <x v="22"/>
          </reference>
          <reference field="1" count="1" selected="0">
            <x v="3"/>
          </reference>
        </references>
      </pivotArea>
    </chartFormat>
    <chartFormat chart="8" format="82" series="1">
      <pivotArea type="data" outline="0" fieldPosition="0">
        <references count="3">
          <reference field="4294967294" count="1" selected="0">
            <x v="0"/>
          </reference>
          <reference field="0" count="1" selected="0">
            <x v="23"/>
          </reference>
          <reference field="1" count="1" selected="0">
            <x v="3"/>
          </reference>
        </references>
      </pivotArea>
    </chartFormat>
    <chartFormat chart="8" format="83" series="1">
      <pivotArea type="data" outline="0" fieldPosition="0">
        <references count="3">
          <reference field="4294967294" count="1" selected="0">
            <x v="0"/>
          </reference>
          <reference field="0" count="1" selected="0">
            <x v="24"/>
          </reference>
          <reference field="1" count="1" selected="0">
            <x v="3"/>
          </reference>
        </references>
      </pivotArea>
    </chartFormat>
    <chartFormat chart="8" format="84" series="1">
      <pivotArea type="data" outline="0" fieldPosition="0">
        <references count="3">
          <reference field="4294967294" count="1" selected="0">
            <x v="0"/>
          </reference>
          <reference field="0" count="1" selected="0">
            <x v="25"/>
          </reference>
          <reference field="1" count="1" selected="0">
            <x v="3"/>
          </reference>
        </references>
      </pivotArea>
    </chartFormat>
    <chartFormat chart="8" format="85" series="1">
      <pivotArea type="data" outline="0" fieldPosition="0">
        <references count="3">
          <reference field="4294967294" count="1" selected="0">
            <x v="0"/>
          </reference>
          <reference field="0" count="1" selected="0">
            <x v="26"/>
          </reference>
          <reference field="1" count="1" selected="0">
            <x v="3"/>
          </reference>
        </references>
      </pivotArea>
    </chartFormat>
    <chartFormat chart="8" format="86" series="1">
      <pivotArea type="data" outline="0" fieldPosition="0">
        <references count="3">
          <reference field="4294967294" count="1" selected="0">
            <x v="0"/>
          </reference>
          <reference field="0" count="1" selected="0">
            <x v="27"/>
          </reference>
          <reference field="1" count="1" selected="0">
            <x v="3"/>
          </reference>
        </references>
      </pivotArea>
    </chartFormat>
    <chartFormat chart="8" format="87" series="1">
      <pivotArea type="data" outline="0" fieldPosition="0">
        <references count="3">
          <reference field="4294967294" count="1" selected="0">
            <x v="0"/>
          </reference>
          <reference field="0" count="1" selected="0">
            <x v="28"/>
          </reference>
          <reference field="1" count="1" selected="0">
            <x v="3"/>
          </reference>
        </references>
      </pivotArea>
    </chartFormat>
    <chartFormat chart="8" format="88" series="1">
      <pivotArea type="data" outline="0" fieldPosition="0">
        <references count="3">
          <reference field="4294967294" count="1" selected="0">
            <x v="0"/>
          </reference>
          <reference field="0" count="1" selected="0">
            <x v="29"/>
          </reference>
          <reference field="1" count="1" selected="0">
            <x v="3"/>
          </reference>
        </references>
      </pivotArea>
    </chartFormat>
    <chartFormat chart="8" format="89" series="1">
      <pivotArea type="data" outline="0" fieldPosition="0">
        <references count="3">
          <reference field="4294967294" count="1" selected="0">
            <x v="0"/>
          </reference>
          <reference field="0" count="1" selected="0">
            <x v="30"/>
          </reference>
          <reference field="1" count="1" selected="0">
            <x v="3"/>
          </reference>
        </references>
      </pivotArea>
    </chartFormat>
    <chartFormat chart="8" format="90" series="1">
      <pivotArea type="data" outline="0" fieldPosition="0">
        <references count="3">
          <reference field="4294967294" count="1" selected="0">
            <x v="0"/>
          </reference>
          <reference field="0" count="1" selected="0">
            <x v="31"/>
          </reference>
          <reference field="1" count="1" selected="0">
            <x v="3"/>
          </reference>
        </references>
      </pivotArea>
    </chartFormat>
    <chartFormat chart="8" format="91" series="1">
      <pivotArea type="data" outline="0" fieldPosition="0">
        <references count="3">
          <reference field="4294967294" count="1" selected="0">
            <x v="0"/>
          </reference>
          <reference field="0" count="1" selected="0">
            <x v="32"/>
          </reference>
          <reference field="1" count="1" selected="0">
            <x v="3"/>
          </reference>
        </references>
      </pivotArea>
    </chartFormat>
    <chartFormat chart="8" format="92" series="1">
      <pivotArea type="data" outline="0" fieldPosition="0">
        <references count="3">
          <reference field="4294967294" count="1" selected="0">
            <x v="0"/>
          </reference>
          <reference field="0" count="1" selected="0">
            <x v="33"/>
          </reference>
          <reference field="1" count="1" selected="0">
            <x v="3"/>
          </reference>
        </references>
      </pivotArea>
    </chartFormat>
    <chartFormat chart="8" format="93" series="1">
      <pivotArea type="data" outline="0" fieldPosition="0">
        <references count="3">
          <reference field="4294967294" count="1" selected="0">
            <x v="0"/>
          </reference>
          <reference field="0" count="1" selected="0">
            <x v="34"/>
          </reference>
          <reference field="1" count="1" selected="0">
            <x v="3"/>
          </reference>
        </references>
      </pivotArea>
    </chartFormat>
    <chartFormat chart="8" format="94" series="1">
      <pivotArea type="data" outline="0" fieldPosition="0">
        <references count="3">
          <reference field="4294967294" count="1" selected="0">
            <x v="0"/>
          </reference>
          <reference field="0" count="1" selected="0">
            <x v="35"/>
          </reference>
          <reference field="1" count="1" selected="0">
            <x v="3"/>
          </reference>
        </references>
      </pivotArea>
    </chartFormat>
    <chartFormat chart="8" format="95" series="1">
      <pivotArea type="data" outline="0" fieldPosition="0">
        <references count="3">
          <reference field="4294967294" count="1" selected="0">
            <x v="0"/>
          </reference>
          <reference field="0" count="1" selected="0">
            <x v="36"/>
          </reference>
          <reference field="1" count="1" selected="0">
            <x v="3"/>
          </reference>
        </references>
      </pivotArea>
    </chartFormat>
    <chartFormat chart="8" format="96" series="1">
      <pivotArea type="data" outline="0" fieldPosition="0">
        <references count="3">
          <reference field="4294967294" count="1" selected="0">
            <x v="0"/>
          </reference>
          <reference field="0" count="1" selected="0">
            <x v="37"/>
          </reference>
          <reference field="1" count="1" selected="0">
            <x v="3"/>
          </reference>
        </references>
      </pivotArea>
    </chartFormat>
    <chartFormat chart="8" format="97" series="1">
      <pivotArea type="data" outline="0" fieldPosition="0">
        <references count="3">
          <reference field="4294967294" count="1" selected="0">
            <x v="0"/>
          </reference>
          <reference field="0" count="1" selected="0">
            <x v="38"/>
          </reference>
          <reference field="1" count="1" selected="0">
            <x v="3"/>
          </reference>
        </references>
      </pivotArea>
    </chartFormat>
    <chartFormat chart="8" format="98" series="1">
      <pivotArea type="data" outline="0" fieldPosition="0">
        <references count="3">
          <reference field="4294967294" count="1" selected="0">
            <x v="0"/>
          </reference>
          <reference field="0" count="1" selected="0">
            <x v="39"/>
          </reference>
          <reference field="1" count="1" selected="0">
            <x v="3"/>
          </reference>
        </references>
      </pivotArea>
    </chartFormat>
    <chartFormat chart="8" format="99" series="1">
      <pivotArea type="data" outline="0" fieldPosition="0">
        <references count="3">
          <reference field="4294967294" count="1" selected="0">
            <x v="0"/>
          </reference>
          <reference field="0" count="1" selected="0">
            <x v="40"/>
          </reference>
          <reference field="1" count="1" selected="0">
            <x v="3"/>
          </reference>
        </references>
      </pivotArea>
    </chartFormat>
    <chartFormat chart="8" format="100" series="1">
      <pivotArea type="data" outline="0" fieldPosition="0">
        <references count="3">
          <reference field="4294967294" count="1" selected="0">
            <x v="0"/>
          </reference>
          <reference field="0" count="1" selected="0">
            <x v="41"/>
          </reference>
          <reference field="1" count="1" selected="0">
            <x v="3"/>
          </reference>
        </references>
      </pivotArea>
    </chartFormat>
    <chartFormat chart="8" format="101" series="1">
      <pivotArea type="data" outline="0" fieldPosition="0">
        <references count="3">
          <reference field="4294967294" count="1" selected="0">
            <x v="0"/>
          </reference>
          <reference field="0" count="1" selected="0">
            <x v="42"/>
          </reference>
          <reference field="1" count="1" selected="0">
            <x v="3"/>
          </reference>
        </references>
      </pivotArea>
    </chartFormat>
    <chartFormat chart="8" format="102" series="1">
      <pivotArea type="data" outline="0" fieldPosition="0">
        <references count="3">
          <reference field="4294967294" count="1" selected="0">
            <x v="0"/>
          </reference>
          <reference field="0" count="1" selected="0">
            <x v="43"/>
          </reference>
          <reference field="1" count="1" selected="0">
            <x v="3"/>
          </reference>
        </references>
      </pivotArea>
    </chartFormat>
    <chartFormat chart="8" format="103" series="1">
      <pivotArea type="data" outline="0" fieldPosition="0">
        <references count="3">
          <reference field="4294967294" count="1" selected="0">
            <x v="0"/>
          </reference>
          <reference field="0" count="1" selected="0">
            <x v="44"/>
          </reference>
          <reference field="1" count="1" selected="0">
            <x v="3"/>
          </reference>
        </references>
      </pivotArea>
    </chartFormat>
    <chartFormat chart="8" format="104" series="1">
      <pivotArea type="data" outline="0" fieldPosition="0">
        <references count="3">
          <reference field="4294967294" count="1" selected="0">
            <x v="0"/>
          </reference>
          <reference field="0" count="1" selected="0">
            <x v="45"/>
          </reference>
          <reference field="1" count="1" selected="0">
            <x v="3"/>
          </reference>
        </references>
      </pivotArea>
    </chartFormat>
    <chartFormat chart="8" format="105" series="1">
      <pivotArea type="data" outline="0" fieldPosition="0">
        <references count="3">
          <reference field="4294967294" count="1" selected="0">
            <x v="0"/>
          </reference>
          <reference field="0" count="1" selected="0">
            <x v="46"/>
          </reference>
          <reference field="1" count="1" selected="0">
            <x v="3"/>
          </reference>
        </references>
      </pivotArea>
    </chartFormat>
    <chartFormat chart="8" format="106" series="1">
      <pivotArea type="data" outline="0" fieldPosition="0">
        <references count="3">
          <reference field="4294967294" count="1" selected="0">
            <x v="0"/>
          </reference>
          <reference field="0" count="1" selected="0">
            <x v="47"/>
          </reference>
          <reference field="1" count="1" selected="0">
            <x v="3"/>
          </reference>
        </references>
      </pivotArea>
    </chartFormat>
    <chartFormat chart="8" format="107" series="1">
      <pivotArea type="data" outline="0" fieldPosition="0">
        <references count="3">
          <reference field="4294967294" count="1" selected="0">
            <x v="0"/>
          </reference>
          <reference field="0" count="1" selected="0">
            <x v="48"/>
          </reference>
          <reference field="1" count="1" selected="0">
            <x v="3"/>
          </reference>
        </references>
      </pivotArea>
    </chartFormat>
    <chartFormat chart="8" format="108" series="1">
      <pivotArea type="data" outline="0" fieldPosition="0">
        <references count="3">
          <reference field="4294967294" count="1" selected="0">
            <x v="0"/>
          </reference>
          <reference field="0" count="1" selected="0">
            <x v="49"/>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32372A0-B2B0-4EAB-91A0-574B0AD4033E}"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2" rowHeaderCaption="Month">
  <location ref="A3:C15" firstHeaderRow="0" firstDataRow="1" firstDataCol="1"/>
  <pivotFields count="14">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items count="5">
        <item x="0"/>
        <item h="1" x="1"/>
        <item h="1" x="2"/>
        <item h="1" x="3"/>
        <item t="default"/>
      </items>
    </pivotField>
    <pivotField showAll="0"/>
    <pivotField showAll="0"/>
    <pivotField showAll="0"/>
    <pivotField dataField="1"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 dragToRow="0" dragToCol="0" dragToPage="0" showAll="0" defaultSubtotal="0"/>
  </pivotFields>
  <rowFields count="1">
    <field x="10"/>
  </rowFields>
  <rowItems count="12">
    <i>
      <x v="1"/>
    </i>
    <i>
      <x v="2"/>
    </i>
    <i>
      <x v="3"/>
    </i>
    <i>
      <x v="4"/>
    </i>
    <i>
      <x v="5"/>
    </i>
    <i>
      <x v="6"/>
    </i>
    <i>
      <x v="7"/>
    </i>
    <i>
      <x v="8"/>
    </i>
    <i>
      <x v="9"/>
    </i>
    <i>
      <x v="10"/>
    </i>
    <i>
      <x v="11"/>
    </i>
    <i>
      <x v="12"/>
    </i>
  </rowItems>
  <colFields count="1">
    <field x="-2"/>
  </colFields>
  <colItems count="2">
    <i>
      <x/>
    </i>
    <i i="1">
      <x v="1"/>
    </i>
  </colItems>
  <dataFields count="2">
    <dataField name="Average of Engagement_Rate" fld="5" subtotal="average" baseField="0" baseItem="1"/>
    <dataField name="Average of Ad_Spend" fld="6" subtotal="average" baseField="0" baseItem="1"/>
  </dataFields>
  <chartFormats count="2">
    <chartFormat chart="53" format="0" series="1">
      <pivotArea type="data" outline="0" fieldPosition="0">
        <references count="1">
          <reference field="4294967294" count="1" selected="0">
            <x v="0"/>
          </reference>
        </references>
      </pivotArea>
    </chartFormat>
    <chartFormat chart="53" format="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85BFC02-2D9C-4AF7-A90B-74C265FB3EEF}" name="PivotTable1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Content Type" colHeaderCaption="Platform">
  <location ref="A3:E7" firstHeaderRow="1" firstDataRow="2" firstDataCol="1"/>
  <pivotFields count="16">
    <pivotField showAll="0"/>
    <pivotField axis="axisCol" showAll="0">
      <items count="5">
        <item x="2"/>
        <item x="0"/>
        <item x="1"/>
        <item x="3"/>
        <item t="default"/>
      </items>
    </pivotField>
    <pivotField numFmtId="14" showAll="0"/>
    <pivotField axis="axisRow" showAll="0">
      <items count="7">
        <item x="0"/>
        <item x="5"/>
        <item h="1" x="4"/>
        <item h="1" x="1"/>
        <item h="1" x="3"/>
        <item x="2"/>
        <item t="default"/>
      </items>
    </pivotField>
    <pivotField showAll="0"/>
    <pivotField showAll="0"/>
    <pivotField showAll="0"/>
    <pivotField showAll="0"/>
    <pivotField showAll="0"/>
    <pivotField showAll="0"/>
    <pivotField showAll="0"/>
    <pivotField showAll="0"/>
    <pivotField showAll="0"/>
    <pivotField dataField="1" numFmtId="164" showAll="0"/>
    <pivotField showAll="0"/>
    <pivotField showAll="0"/>
  </pivotFields>
  <rowFields count="1">
    <field x="3"/>
  </rowFields>
  <rowItems count="3">
    <i>
      <x/>
    </i>
    <i>
      <x v="1"/>
    </i>
    <i>
      <x v="5"/>
    </i>
  </rowItems>
  <colFields count="1">
    <field x="1"/>
  </colFields>
  <colItems count="4">
    <i>
      <x/>
    </i>
    <i>
      <x v="1"/>
    </i>
    <i>
      <x v="2"/>
    </i>
    <i>
      <x v="3"/>
    </i>
  </colItems>
  <dataFields count="1">
    <dataField name="Performance" fld="13" subtotal="average" baseField="3" baseItem="0" numFmtId="9"/>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95CF4E7-4E4E-440A-8EAA-5889424D23D4}" name="PivotTable13" cacheId="1" dataOnRows="1" applyNumberFormats="0" applyBorderFormats="0" applyFontFormats="0" applyPatternFormats="0" applyAlignmentFormats="0" applyWidthHeightFormats="1" dataCaption="Campaign Effectiveness" updatedVersion="8" minRefreshableVersion="3" useAutoFormatting="1" rowGrandTotals="0" colGrandTotals="0" itemPrintTitles="1" createdVersion="8" indent="0" outline="1" outlineData="1" multipleFieldFilters="0" colHeaderCaption="Campaign">
  <location ref="A3:E10" firstHeaderRow="1" firstDataRow="2" firstDataCol="1"/>
  <pivotFields count="16">
    <pivotField showAll="0"/>
    <pivotField showAll="0"/>
    <pivotField numFmtId="14" showAll="0"/>
    <pivotField showAll="0"/>
    <pivotField showAll="0"/>
    <pivotField dataField="1" showAll="0"/>
    <pivotField showAll="0"/>
    <pivotField showAll="0"/>
    <pivotField dataField="1" showAll="0"/>
    <pivotField showAll="0"/>
    <pivotField dataField="1" showAll="0"/>
    <pivotField showAll="0"/>
    <pivotField axis="axisCol" showAll="0">
      <items count="6">
        <item x="0"/>
        <item x="1"/>
        <item x="2"/>
        <item x="3"/>
        <item h="1" x="4"/>
        <item t="default"/>
      </items>
    </pivotField>
    <pivotField numFmtId="164" showAll="0"/>
    <pivotField showAll="0"/>
    <pivotField showAll="0"/>
  </pivotFields>
  <rowFields count="1">
    <field x="-2"/>
  </rowFields>
  <rowItems count="6">
    <i>
      <x/>
    </i>
    <i i="1">
      <x v="1"/>
    </i>
    <i i="2">
      <x v="2"/>
    </i>
    <i i="3">
      <x v="3"/>
    </i>
    <i i="4">
      <x v="4"/>
    </i>
    <i i="5">
      <x v="5"/>
    </i>
  </rowItems>
  <colFields count="1">
    <field x="12"/>
  </colFields>
  <colItems count="4">
    <i>
      <x/>
    </i>
    <i>
      <x v="1"/>
    </i>
    <i>
      <x v="2"/>
    </i>
    <i>
      <x v="3"/>
    </i>
  </colItems>
  <dataFields count="6">
    <dataField name="Total Likes" fld="5" baseField="12" baseItem="0"/>
    <dataField name="Total Clicks" fld="10" baseField="12" baseItem="0"/>
    <dataField name="Total Impressions" fld="8" baseField="12" baseItem="0"/>
    <dataField name="Average Likes" fld="5" subtotal="average" baseField="12" baseItem="0"/>
    <dataField name="Average Clicks" fld="10" subtotal="average" baseField="12" baseItem="0"/>
    <dataField name="Average Impressions" fld="8" subtotal="average" baseField="1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DA6E2DD-FEFF-4BD2-A8AF-5CD363F902DA}"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Campaign Name" colHeaderCaption="Campaign Period">
  <location ref="A3:C8" firstHeaderRow="1" firstDataRow="2" firstDataCol="1"/>
  <pivotFields count="16">
    <pivotField showAll="0"/>
    <pivotField showAll="0"/>
    <pivotField numFmtId="14" showAll="0"/>
    <pivotField showAll="0"/>
    <pivotField showAll="0"/>
    <pivotField showAll="0"/>
    <pivotField showAll="0"/>
    <pivotField showAll="0"/>
    <pivotField showAll="0"/>
    <pivotField showAll="0"/>
    <pivotField showAll="0"/>
    <pivotField showAll="0"/>
    <pivotField axis="axisRow" showAll="0">
      <items count="6">
        <item x="0"/>
        <item x="1"/>
        <item x="2"/>
        <item x="3"/>
        <item x="4"/>
        <item t="default"/>
      </items>
    </pivotField>
    <pivotField dataField="1" numFmtId="164" showAll="0"/>
    <pivotField showAll="0"/>
    <pivotField axis="axisCol" showAll="0">
      <items count="4">
        <item x="0"/>
        <item x="1"/>
        <item h="1" x="2"/>
        <item t="default"/>
      </items>
    </pivotField>
  </pivotFields>
  <rowFields count="1">
    <field x="12"/>
  </rowFields>
  <rowItems count="4">
    <i>
      <x/>
    </i>
    <i>
      <x v="1"/>
    </i>
    <i>
      <x v="2"/>
    </i>
    <i>
      <x v="3"/>
    </i>
  </rowItems>
  <colFields count="1">
    <field x="15"/>
  </colFields>
  <colItems count="2">
    <i>
      <x/>
    </i>
    <i>
      <x v="1"/>
    </i>
  </colItems>
  <dataFields count="1">
    <dataField name="Avg Engagement Rate" fld="13" subtotal="average" baseField="12" baseItem="0" numFmtId="164"/>
  </dataFields>
  <formats count="1">
    <format dxfId="2">
      <pivotArea type="origin" dataOnly="0" labelOnly="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7B25B34-293A-44B4-8E00-88B5F4515CBE}"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Campaign Name">
  <location ref="A3:B7" firstHeaderRow="1" firstDataRow="1" firstDataCol="1"/>
  <pivotFields count="14">
    <pivotField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showAll="0"/>
    <pivotField showAll="0"/>
    <pivotField showAll="0"/>
    <pivotField showAll="0"/>
    <pivotField dataField="1" showAll="0"/>
    <pivotField showAll="0"/>
    <pivotField axis="axisRow" showAll="0" sortType="descending">
      <items count="6">
        <item x="1"/>
        <item x="3"/>
        <item x="2"/>
        <item h="1" x="0"/>
        <item x="4"/>
        <item t="default"/>
      </items>
      <autoSortScope>
        <pivotArea dataOnly="0" outline="0" fieldPosition="0">
          <references count="1">
            <reference field="4294967294" count="1" selected="0">
              <x v="0"/>
            </reference>
          </references>
        </pivotArea>
      </autoSortScope>
    </pivotField>
    <pivotField showAll="0" defaultSubtotal="0"/>
    <pivotField showAll="0" defaultSubtotal="0"/>
    <pivotField showAll="0" defaultSubtotal="0">
      <items count="4">
        <item x="0"/>
        <item x="1"/>
        <item x="2"/>
        <item x="3"/>
      </items>
    </pivotField>
    <pivotField dragToRow="0" dragToCol="0" dragToPage="0" showAll="0" defaultSubtotal="0"/>
  </pivotFields>
  <rowFields count="1">
    <field x="9"/>
  </rowFields>
  <rowItems count="4">
    <i>
      <x v="4"/>
    </i>
    <i>
      <x/>
    </i>
    <i>
      <x v="2"/>
    </i>
    <i>
      <x v="1"/>
    </i>
  </rowItems>
  <colItems count="1">
    <i/>
  </colItems>
  <dataFields count="1">
    <dataField name="Sum of Net new follower"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83E467-ADB1-4AF4-A01C-F1DC9E0FE852}" name="PivotTable4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week start date">
  <location ref="A3:B54" firstHeaderRow="1" firstDataRow="1" firstDataCol="1"/>
  <pivotFields count="14">
    <pivotField axis="axisRow"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items count="5">
        <item h="1" x="0"/>
        <item x="1"/>
        <item h="1" x="2"/>
        <item h="1" x="3"/>
        <item t="default"/>
      </items>
    </pivotField>
    <pivotField showAll="0"/>
    <pivotField showAll="0"/>
    <pivotField showAll="0"/>
    <pivotField showAll="0"/>
    <pivotField showAll="0"/>
    <pivotField dataField="1"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 dragToRow="0" dragToCol="0" dragToPage="0" showAll="0" defaultSubtotal="0"/>
  </pivotFields>
  <rowFields count="1">
    <field x="0"/>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Net new followers" fld="7"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8" xr16:uid="{AEE1A400-287A-4C4D-9228-3E69C017E452}" autoFormatId="16" applyNumberFormats="0" applyBorderFormats="0" applyFontFormats="0" applyPatternFormats="0" applyAlignmentFormats="0" applyWidthHeightFormats="0">
  <queryTableRefresh nextId="24" unboundColumnsRight="3">
    <queryTableFields count="16">
      <queryTableField id="1" name="Post ID" tableColumnId="1"/>
      <queryTableField id="2" name="Platform" tableColumnId="2"/>
      <queryTableField id="3" name="Date" tableColumnId="3"/>
      <queryTableField id="4" name="Content Type" tableColumnId="4"/>
      <queryTableField id="5" name="Post Text" tableColumnId="5"/>
      <queryTableField id="6" name="Likes" tableColumnId="6"/>
      <queryTableField id="7" name="Shares" tableColumnId="7"/>
      <queryTableField id="8" name="Comments" tableColumnId="8"/>
      <queryTableField id="9" name="Impressions" tableColumnId="9"/>
      <queryTableField id="10" name="Reach" tableColumnId="10"/>
      <queryTableField id="11" name="Clicks" tableColumnId="11"/>
      <queryTableField id="18" name="Hashtags Used" tableColumnId="18"/>
      <queryTableField id="15" name="Campaign_Name" tableColumnId="15"/>
      <queryTableField id="16" dataBound="0" tableColumnId="16"/>
      <queryTableField id="20" dataBound="0" tableColumnId="19"/>
      <queryTableField id="23" dataBound="0" tableColumnId="1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A2961AA0-B229-4969-8AFB-7911408822A1}" autoFormatId="16" applyNumberFormats="0" applyBorderFormats="0" applyFontFormats="0" applyPatternFormats="0" applyAlignmentFormats="0" applyWidthHeightFormats="0">
  <queryTableRefresh nextId="8">
    <queryTableFields count="7">
      <queryTableField id="1" name="Campaign_Name" tableColumnId="1"/>
      <queryTableField id="2" name="Start_Date" tableColumnId="2"/>
      <queryTableField id="3" name="End_Date" tableColumnId="3"/>
      <queryTableField id="4" name="Objective" tableColumnId="4"/>
      <queryTableField id="5" name="Total_Budget" tableColumnId="5"/>
      <queryTableField id="6" name="Target_Platforms" tableColumnId="6"/>
      <queryTableField id="7" name="Primary_Hashtags"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 xr16:uid="{2B1A1D2F-97B3-4EFB-A340-7ED1AA696507}" autoFormatId="16" applyNumberFormats="0" applyBorderFormats="0" applyFontFormats="0" applyPatternFormats="0" applyAlignmentFormats="0" applyWidthHeightFormats="0">
  <queryTableRefresh nextId="16" unboundColumnsRight="3">
    <queryTableFields count="10">
      <queryTableField id="1" name="Week_Start_Date" tableColumnId="1"/>
      <queryTableField id="2" name="Platform" tableColumnId="2"/>
      <queryTableField id="3" name="New_Followers" tableColumnId="3"/>
      <queryTableField id="4" name="Unfollows" tableColumnId="4"/>
      <queryTableField id="5" name="Total_Followers" tableColumnId="5"/>
      <queryTableField id="6" name="Engagement_Rate" tableColumnId="6"/>
      <queryTableField id="7" name="Ad_Spend" tableColumnId="7"/>
      <queryTableField id="8" dataBound="0" tableColumnId="8"/>
      <queryTableField id="9" dataBound="0" tableColumnId="9"/>
      <queryTableField id="13" dataBound="0" tableColumnId="1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3" xr16:uid="{7E8A4C99-681A-4C95-84F8-B562EA0E866C}" autoFormatId="16" applyNumberFormats="0" applyBorderFormats="0" applyFontFormats="0" applyPatternFormats="0" applyAlignmentFormats="0" applyWidthHeightFormats="0">
  <queryTableRefresh nextId="20">
    <queryTableFields count="13">
      <queryTableField id="1" name="Post ID" tableColumnId="1"/>
      <queryTableField id="2" name="Platform" tableColumnId="2"/>
      <queryTableField id="3" name="Date" tableColumnId="3"/>
      <queryTableField id="4" name="Content Type" tableColumnId="4"/>
      <queryTableField id="5" name="Post Text" tableColumnId="5"/>
      <queryTableField id="6" name="Likes" tableColumnId="6"/>
      <queryTableField id="7" name="Shares" tableColumnId="7"/>
      <queryTableField id="8" name="Comments" tableColumnId="8"/>
      <queryTableField id="9" name="Impressions" tableColumnId="9"/>
      <queryTableField id="10" name="Reach" tableColumnId="10"/>
      <queryTableField id="11" name="Clicks" tableColumnId="11"/>
      <queryTableField id="18" name="Hashtags Used" tableColumnId="18"/>
      <queryTableField id="15" name="Campaign_Name" tableColumnId="15"/>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6" xr16:uid="{4A5835E4-6200-4C16-B226-79488BD6E992}" autoFormatId="16" applyNumberFormats="0" applyBorderFormats="0" applyFontFormats="0" applyPatternFormats="0" applyAlignmentFormats="0" applyWidthHeightFormats="0">
  <queryTableRefresh nextId="20" unboundColumnsRight="1">
    <queryTableFields count="14">
      <queryTableField id="1" name="Post ID" tableColumnId="1"/>
      <queryTableField id="2" name="Platform" tableColumnId="2"/>
      <queryTableField id="3" name="Date" tableColumnId="3"/>
      <queryTableField id="4" name="Content Type" tableColumnId="4"/>
      <queryTableField id="5" name="Post Text" tableColumnId="5"/>
      <queryTableField id="6" name="Likes" tableColumnId="6"/>
      <queryTableField id="7" name="Shares" tableColumnId="7"/>
      <queryTableField id="8" name="Comments" tableColumnId="8"/>
      <queryTableField id="9" name="Impressions" tableColumnId="9"/>
      <queryTableField id="10" name="Reach" tableColumnId="10"/>
      <queryTableField id="11" name="Clicks" tableColumnId="11"/>
      <queryTableField id="18" name="Hashtags Used" tableColumnId="18"/>
      <queryTableField id="15" name="Campaign_Name" tableColumnId="15"/>
      <queryTableField id="16" dataBound="0" tableColumnId="16"/>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3" connectionId="7" xr16:uid="{A1B572B8-629F-4A04-9E04-A4A6A3663299}" autoFormatId="16" applyNumberFormats="0" applyBorderFormats="0" applyFontFormats="0" applyPatternFormats="0" applyAlignmentFormats="0" applyWidthHeightFormats="0">
  <queryTableRefresh nextId="20" unboundColumnsRight="1">
    <queryTableFields count="14">
      <queryTableField id="1" name="Post ID" tableColumnId="1"/>
      <queryTableField id="2" name="Platform" tableColumnId="2"/>
      <queryTableField id="3" name="Date" tableColumnId="3"/>
      <queryTableField id="4" name="Content Type" tableColumnId="4"/>
      <queryTableField id="5" name="Post Text" tableColumnId="5"/>
      <queryTableField id="6" name="Likes" tableColumnId="6"/>
      <queryTableField id="7" name="Shares" tableColumnId="7"/>
      <queryTableField id="8" name="Comments" tableColumnId="8"/>
      <queryTableField id="9" name="Impressions" tableColumnId="9"/>
      <queryTableField id="10" name="Reach" tableColumnId="10"/>
      <queryTableField id="11" name="Clicks" tableColumnId="11"/>
      <queryTableField id="18" name="Hashtags Used" tableColumnId="18"/>
      <queryTableField id="15" name="Campaign_Name" tableColumnId="15"/>
      <queryTableField id="16" dataBound="0"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8676EF97-39FA-4D3C-A80F-DD99922D48C5}" sourceName="Platform">
  <pivotTables>
    <pivotTable tabId="12" name="PivotTable4"/>
  </pivotTables>
  <data>
    <tabular pivotCacheId="432779526">
      <items count="4">
        <i x="3"/>
        <i x="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1" xr10:uid="{5744D750-B9C1-4E0E-BA94-6C6EBE576F96}" sourceName="Platform">
  <pivotTables>
    <pivotTable tabId="18" name="PivotTable10"/>
  </pivotTables>
  <data>
    <tabular pivotCacheId="1895907708">
      <items count="4">
        <i x="0" s="1"/>
        <i x="1"/>
        <i x="2"/>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2" xr10:uid="{C465C6E4-1130-4D4E-8648-49EA5B2A7C5F}" sourceName="Platform">
  <pivotTables>
    <pivotTable tabId="19" name="PivotTable11"/>
  </pivotTables>
  <data>
    <tabular pivotCacheId="1895907708">
      <items count="4">
        <i x="0" s="1"/>
        <i x="1"/>
        <i x="2"/>
        <i x="3"/>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3" xr10:uid="{F59FA4E7-FB80-4A88-9AC0-13CE99607F25}" sourceName="Platform">
  <pivotTables>
    <pivotTable tabId="28" name="PivotTable46"/>
  </pivotTables>
  <data>
    <tabular pivotCacheId="1895907708">
      <items count="4">
        <i x="0"/>
        <i x="1" s="1"/>
        <i x="2"/>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xr10:uid="{F13B83D2-EF48-4F7F-AFFF-E0D74821993C}" cache="Slicer_Platform" caption="Platform" columnCount="4"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1" xr10:uid="{B709CAF3-DA42-4C61-A156-9C8743FA59D3}" cache="Slicer_Platform1" caption="Platform"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2" xr10:uid="{F94C21E2-F9A7-4E69-A3C4-CE3A77942555}" cache="Slicer_Platform2" caption="Platform"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3" xr10:uid="{5403D766-04F9-4139-8D5F-9F903F36170C}" cache="Slicer_Platform3" caption="Platform"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21F45732-9227-4DF4-A713-8F854C568F39}" name="Posts1116" displayName="Posts1116" ref="A1:P340" tableType="queryTable" totalsRowShown="0">
  <autoFilter ref="A1:P340" xr:uid="{21F45732-9227-4DF4-A713-8F854C568F39}"/>
  <sortState xmlns:xlrd2="http://schemas.microsoft.com/office/spreadsheetml/2017/richdata2" ref="A2:P340">
    <sortCondition ref="M2:M340"/>
    <sortCondition ref="C2:C340"/>
  </sortState>
  <tableColumns count="16">
    <tableColumn id="1" xr3:uid="{5C7BF1FB-3286-4218-BB83-FA27088ACC5A}" uniqueName="1" name="Post ID" queryTableFieldId="1" dataDxfId="72"/>
    <tableColumn id="2" xr3:uid="{3A9EB7F8-F467-469F-B833-015FB843B84B}" uniqueName="2" name="Platform" queryTableFieldId="2" dataDxfId="71"/>
    <tableColumn id="3" xr3:uid="{0F3519C8-5DC1-407C-8D7D-0F49B9448432}" uniqueName="3" name="Date" queryTableFieldId="3" dataDxfId="70"/>
    <tableColumn id="4" xr3:uid="{F41B9E98-6E30-4B09-AA57-20EC09D7A14F}" uniqueName="4" name="Content Type" queryTableFieldId="4" dataDxfId="69"/>
    <tableColumn id="5" xr3:uid="{8F1BE738-F090-48BA-AA87-945A47BCBE9A}" uniqueName="5" name="Post Text" queryTableFieldId="5" dataDxfId="68"/>
    <tableColumn id="6" xr3:uid="{7A684F00-1ECA-43E7-8C62-3F5DA28F3D9C}" uniqueName="6" name="Likes" queryTableFieldId="6" dataDxfId="67"/>
    <tableColumn id="7" xr3:uid="{25C15059-BDEB-4C84-8BAB-34D64E237894}" uniqueName="7" name="Shares" queryTableFieldId="7" dataDxfId="66"/>
    <tableColumn id="8" xr3:uid="{F6E3259A-5DA5-4245-97F1-FFCADDC9CB42}" uniqueName="8" name="Comments" queryTableFieldId="8" dataDxfId="65"/>
    <tableColumn id="9" xr3:uid="{BCED420D-15F7-4BB1-8F74-D799B0DB5486}" uniqueName="9" name="Impressions" queryTableFieldId="9" dataDxfId="64"/>
    <tableColumn id="10" xr3:uid="{B59F81D1-8FDE-4687-8AB9-1F64D1AC4854}" uniqueName="10" name="Reach" queryTableFieldId="10" dataDxfId="63"/>
    <tableColumn id="11" xr3:uid="{792EA289-F5B9-4695-868F-AFED10556D3D}" uniqueName="11" name="Clicks" queryTableFieldId="11" dataDxfId="62"/>
    <tableColumn id="18" xr3:uid="{3AE2ED33-98C6-4DBD-AAAC-67D453713D9C}" uniqueName="18" name="Hashtags Used" queryTableFieldId="18" dataDxfId="61"/>
    <tableColumn id="15" xr3:uid="{0881C78E-59BB-4A6A-930C-65DBF5EC30F4}" uniqueName="15" name="Campaign_Name" queryTableFieldId="15" dataDxfId="60"/>
    <tableColumn id="16" xr3:uid="{BD7CE0CB-2A70-4D0D-BF7D-020CCCC00F23}" uniqueName="16" name="Engagement Rate" queryTableFieldId="16" dataDxfId="59">
      <calculatedColumnFormula>(Posts1116[[#This Row],[Likes]]+Posts1116[[#This Row],[Shares]]+Posts1116[[#This Row],[Comments]])/Posts1116[[#This Row],[Impressions]]</calculatedColumnFormula>
    </tableColumn>
    <tableColumn id="19" xr3:uid="{3193DD7B-38EA-4D92-8E39-52AE2A2768DC}" uniqueName="19" name="Content Objective" queryTableFieldId="20" dataDxfId="58">
      <calculatedColumnFormula>_xlfn.XLOOKUP(Posts1116[[#This Row],[Campaign_Name]],Campaign_Metadata[Campaign_Name],Campaign_Metadata[Objective])</calculatedColumnFormula>
    </tableColumn>
    <tableColumn id="13" xr3:uid="{E6FAA3C9-3B05-4DE9-8B45-7B24B35790F3}" uniqueName="13" name="Campaign Period" queryTableFieldId="23" dataDxfId="57">
      <calculatedColumnFormula>IF(AND(Posts1116[[#This Row],[Date]]&gt;=DATE(2024,6,15), Posts1116[[#This Row],[Date]]&lt;=DATE(2024,7,15)),"During", "Before")</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6709117-7077-4D7B-BB37-56FF56475C3B}" name="Campaign_Metadata" displayName="Campaign_Metadata" ref="A1:G5" tableType="queryTable" totalsRowShown="0">
  <autoFilter ref="A1:G5" xr:uid="{26709117-7077-4D7B-BB37-56FF56475C3B}"/>
  <tableColumns count="7">
    <tableColumn id="1" xr3:uid="{AAC7569C-EA98-4D8E-A465-0E5DD6A748CD}" uniqueName="1" name="Campaign_Name" queryTableFieldId="1" dataDxfId="56"/>
    <tableColumn id="2" xr3:uid="{E9DD5FAF-D626-4918-A04C-82EA6982B532}" uniqueName="2" name="Start_Date" queryTableFieldId="2" dataDxfId="55"/>
    <tableColumn id="3" xr3:uid="{AC78AA27-2461-4FCF-B4E3-87064E2427DB}" uniqueName="3" name="End_Date" queryTableFieldId="3" dataDxfId="54"/>
    <tableColumn id="4" xr3:uid="{9F71D2F8-C989-457A-93F0-2CB96616B186}" uniqueName="4" name="Objective" queryTableFieldId="4" dataDxfId="53"/>
    <tableColumn id="5" xr3:uid="{EB78C431-278F-4A03-AA12-03344A54DF97}" uniqueName="5" name="Total_Budget" queryTableFieldId="5"/>
    <tableColumn id="6" xr3:uid="{DC061A37-9E4C-4578-9275-E0EFE5384E87}" uniqueName="6" name="Target_Platforms" queryTableFieldId="6" dataDxfId="52"/>
    <tableColumn id="7" xr3:uid="{ADAF392D-0DE3-4CAF-948B-E5DF74DA6307}" uniqueName="7" name="Primary_Hashtags" queryTableFieldId="7" dataDxfId="5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1581FDB-DFCE-44D5-B56D-C1FE0E7737B8}" name="Engagement_Summary" displayName="Engagement_Summary" ref="A1:J201" tableType="queryTable" totalsRowShown="0">
  <autoFilter ref="A1:J201" xr:uid="{61581FDB-DFCE-44D5-B56D-C1FE0E7737B8}"/>
  <sortState xmlns:xlrd2="http://schemas.microsoft.com/office/spreadsheetml/2017/richdata2" ref="A2:J201">
    <sortCondition ref="A1:A201"/>
  </sortState>
  <tableColumns count="10">
    <tableColumn id="1" xr3:uid="{D94EBF63-4337-49EC-A32A-B7470DB97B5D}" uniqueName="1" name="Week_Start_Date" queryTableFieldId="1" dataDxfId="50"/>
    <tableColumn id="2" xr3:uid="{2FF08B9F-B1C5-4897-BAC4-718F458599E2}" uniqueName="2" name="Platform" queryTableFieldId="2" dataDxfId="49"/>
    <tableColumn id="3" xr3:uid="{4360E20B-7033-4338-BEE0-AF36ADCDD8C2}" uniqueName="3" name="New_Followers" queryTableFieldId="3"/>
    <tableColumn id="4" xr3:uid="{9DA72CBC-4DFE-416B-A1B9-232E53009438}" uniqueName="4" name="Unfollows" queryTableFieldId="4"/>
    <tableColumn id="5" xr3:uid="{919BC72B-7B99-4C8C-8B51-A4DD97D80BEF}" uniqueName="5" name="Total_Followers" queryTableFieldId="5"/>
    <tableColumn id="6" xr3:uid="{8128F60D-DD4F-4418-AE19-6D112382379A}" uniqueName="6" name="Engagement_Rate" queryTableFieldId="6"/>
    <tableColumn id="7" xr3:uid="{482A557A-F8A3-4BBE-BFDA-10ACD773F30F}" uniqueName="7" name="Ad_Spend" queryTableFieldId="7"/>
    <tableColumn id="8" xr3:uid="{7FA7A3CA-FCD3-48F8-9ECF-0976092A0507}" uniqueName="8" name="Net new follower" queryTableFieldId="8" dataDxfId="48">
      <calculatedColumnFormula>Engagement_Summary[[#This Row],[New_Followers]]-Engagement_Summary[[#This Row],[Unfollows]]</calculatedColumnFormula>
    </tableColumn>
    <tableColumn id="9" xr3:uid="{0D89749F-93F7-46DA-BEAD-F8AF20EDB18F}" uniqueName="9" name="Net follower growth rate" queryTableFieldId="9" dataDxfId="47">
      <calculatedColumnFormula>(Engagement_Summary[[#This Row],[Net new follower]]-H1)/H1</calculatedColumnFormula>
    </tableColumn>
    <tableColumn id="13" xr3:uid="{38124D31-AA81-4A83-B368-A5045887A7A3}" uniqueName="13" name="Campaign" queryTableFieldId="13" dataDxfId="46">
      <calculatedColumnFormula array="1">_xlfn._xlws.FILTER(Campaign_Metadata[Campaign_Name],(Engagement_Summary[[#This Row],[Week_Start_Date]]&gt;=Campaign_Metadata[Start_Date])*(Engagement_Summary[[#This Row],[Week_Start_Date]]&lt;=Campaign_Metadata[End_Date]),"No Campaign")</calculatedColumnFormula>
    </tableColumn>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3B298A4-037C-42A9-A1EE-F76B32646297}" name="Posts" displayName="Posts" ref="A1:M340" tableType="queryTable" totalsRowShown="0">
  <autoFilter ref="A1:M340" xr:uid="{73B298A4-037C-42A9-A1EE-F76B32646297}"/>
  <tableColumns count="13">
    <tableColumn id="1" xr3:uid="{E1104BD7-245C-435C-9683-CB101E9ADFF7}" uniqueName="1" name="Post ID" queryTableFieldId="1" dataDxfId="45"/>
    <tableColumn id="2" xr3:uid="{552946DD-5886-4915-97A4-5AC92B0E8298}" uniqueName="2" name="Platform" queryTableFieldId="2" dataDxfId="44"/>
    <tableColumn id="3" xr3:uid="{D76768E2-6F62-4C4B-A407-5C64BE50A04B}" uniqueName="3" name="Date" queryTableFieldId="3" dataDxfId="43"/>
    <tableColumn id="4" xr3:uid="{A4337D05-C551-4A65-B18F-2473042D6D56}" uniqueName="4" name="Content Type" queryTableFieldId="4" dataDxfId="42"/>
    <tableColumn id="5" xr3:uid="{3BD9B322-E826-431B-BB48-49D6616695F1}" uniqueName="5" name="Post Text" queryTableFieldId="5" dataDxfId="41"/>
    <tableColumn id="6" xr3:uid="{2AFDE52C-39C4-42A8-B896-1C26F49BAB20}" uniqueName="6" name="Likes" queryTableFieldId="6" dataDxfId="40"/>
    <tableColumn id="7" xr3:uid="{79C8676D-ED0B-48A6-A3F3-6A89BA355CF5}" uniqueName="7" name="Shares" queryTableFieldId="7" dataDxfId="39"/>
    <tableColumn id="8" xr3:uid="{B20DB72D-E6F3-48CC-A083-A07F448437E6}" uniqueName="8" name="Comments" queryTableFieldId="8" dataDxfId="38"/>
    <tableColumn id="9" xr3:uid="{A1A4C2C8-C054-4DD6-9ECE-9D79A70892FD}" uniqueName="9" name="Impressions" queryTableFieldId="9" dataDxfId="37"/>
    <tableColumn id="10" xr3:uid="{37A335C3-E6D1-47A6-8813-A5A6819A10D0}" uniqueName="10" name="Reach" queryTableFieldId="10" dataDxfId="36"/>
    <tableColumn id="11" xr3:uid="{57F3FC6D-445C-495F-8836-FD59BF00B153}" uniqueName="11" name="Clicks" queryTableFieldId="11" dataDxfId="35"/>
    <tableColumn id="18" xr3:uid="{C30C67F8-FB23-4ABA-B11E-7688DF1E3914}" uniqueName="18" name="Hashtags Used" queryTableFieldId="18" dataDxfId="34"/>
    <tableColumn id="15" xr3:uid="{F42FDEBE-CF0C-4309-8125-48C512F74E15}" uniqueName="15" name="Campaign_Name" queryTableFieldId="15" dataDxfId="33"/>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641FB93-83FE-456C-A49B-835B2ED744F5}" name="Posts11" displayName="Posts11" ref="A1:N340" tableType="queryTable" totalsRowShown="0">
  <autoFilter ref="A1:N340" xr:uid="{8641FB93-83FE-456C-A49B-835B2ED744F5}"/>
  <tableColumns count="14">
    <tableColumn id="1" xr3:uid="{8898399D-5F4A-4E16-9D0D-EF64D09D254F}" uniqueName="1" name="Post ID" queryTableFieldId="1" dataDxfId="32"/>
    <tableColumn id="2" xr3:uid="{EEE88970-E3AE-4984-8ADD-CFCCBE7CA88A}" uniqueName="2" name="Platform" queryTableFieldId="2" dataDxfId="31"/>
    <tableColumn id="3" xr3:uid="{C638402E-8F0C-42C8-BEEB-279F8288D932}" uniqueName="3" name="Date" queryTableFieldId="3" dataDxfId="30"/>
    <tableColumn id="4" xr3:uid="{A8015E33-BA2D-421D-90CC-196050591EA7}" uniqueName="4" name="Content Type" queryTableFieldId="4" dataDxfId="29"/>
    <tableColumn id="5" xr3:uid="{32A160FE-6CCF-4560-B67F-C262D4B3A27D}" uniqueName="5" name="Post Text" queryTableFieldId="5" dataDxfId="28"/>
    <tableColumn id="6" xr3:uid="{53AAE992-56BA-4B93-A010-3F2870AC40AC}" uniqueName="6" name="Likes" queryTableFieldId="6" dataDxfId="27"/>
    <tableColumn id="7" xr3:uid="{4FEF4BF9-25C7-40DB-A7E1-E7C833FA0BC2}" uniqueName="7" name="Shares" queryTableFieldId="7" dataDxfId="26"/>
    <tableColumn id="8" xr3:uid="{E324A613-A178-496C-B997-89D42853324F}" uniqueName="8" name="Comments" queryTableFieldId="8" dataDxfId="25"/>
    <tableColumn id="9" xr3:uid="{17148A07-D040-4551-B8EC-AA5DC03C87AF}" uniqueName="9" name="Impressions" queryTableFieldId="9" dataDxfId="24"/>
    <tableColumn id="10" xr3:uid="{382E6CB8-343D-47FD-B8A3-C3E748FF86CD}" uniqueName="10" name="Reach" queryTableFieldId="10" dataDxfId="23"/>
    <tableColumn id="11" xr3:uid="{433D4E0D-9B30-4658-B0B0-7C684FFBAAAB}" uniqueName="11" name="Clicks" queryTableFieldId="11" dataDxfId="22"/>
    <tableColumn id="18" xr3:uid="{5825563E-7F58-41DD-B692-D593BB01B64E}" uniqueName="18" name="Hashtags Used" queryTableFieldId="18" dataDxfId="21"/>
    <tableColumn id="15" xr3:uid="{55588474-56A1-49A8-B067-D0282F73EA5B}" uniqueName="15" name="Campaign_Name" queryTableFieldId="15" dataDxfId="20"/>
    <tableColumn id="16" xr3:uid="{95F42696-2C2D-4196-867D-ADB17C2F6A79}" uniqueName="16" name="Engagement Rate" queryTableFieldId="16" dataDxfId="19">
      <calculatedColumnFormula>(Posts11[[#This Row],[Likes]]+Posts11[[#This Row],[Shares]]+Posts11[[#This Row],[Comments]])/Posts11[[#This Row],[Impressions]]</calculatedColumnFormula>
    </tableColumn>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6CA3D74-AF52-41D2-9E99-ED478D8D5D8D}" name="Posts1114" displayName="Posts1114" ref="A1:N340" tableType="queryTable" totalsRowShown="0">
  <autoFilter ref="A1:N340" xr:uid="{36CA3D74-AF52-41D2-9E99-ED478D8D5D8D}">
    <filterColumn colId="13">
      <top10 val="10" filterVal="0.38274706867671693"/>
    </filterColumn>
  </autoFilter>
  <sortState xmlns:xlrd2="http://schemas.microsoft.com/office/spreadsheetml/2017/richdata2" ref="A2:N340">
    <sortCondition descending="1" ref="N1:N340"/>
  </sortState>
  <tableColumns count="14">
    <tableColumn id="1" xr3:uid="{3F188EA8-CFCE-4E29-8412-756839A03AA9}" uniqueName="1" name="Post ID" queryTableFieldId="1" dataDxfId="18"/>
    <tableColumn id="2" xr3:uid="{10FB7B3D-83F2-4A4A-883A-786B69825A31}" uniqueName="2" name="Platform" queryTableFieldId="2" dataDxfId="17"/>
    <tableColumn id="3" xr3:uid="{66D9176C-88F0-4CCA-81B2-D9647EF8B9F5}" uniqueName="3" name="Date" queryTableFieldId="3" dataDxfId="16"/>
    <tableColumn id="4" xr3:uid="{043E17CB-B443-4F89-B22A-A49D7829F5C1}" uniqueName="4" name="Content Type" queryTableFieldId="4" dataDxfId="15"/>
    <tableColumn id="5" xr3:uid="{61089687-BEEF-4F95-8390-B0CAE7440E57}" uniqueName="5" name="Post Text" queryTableFieldId="5" dataDxfId="14"/>
    <tableColumn id="6" xr3:uid="{19C1A5DE-BB2A-42EF-A5AB-0D5E32D84A09}" uniqueName="6" name="Likes" queryTableFieldId="6" dataDxfId="13"/>
    <tableColumn id="7" xr3:uid="{79349485-FE6C-4C4D-8D91-D760A0634BFA}" uniqueName="7" name="Shares" queryTableFieldId="7" dataDxfId="12"/>
    <tableColumn id="8" xr3:uid="{1930776A-E073-439D-B764-BDB3891B353E}" uniqueName="8" name="Comments" queryTableFieldId="8" dataDxfId="11"/>
    <tableColumn id="9" xr3:uid="{F16C2904-1898-499D-9A80-4BB6B1AFC7E2}" uniqueName="9" name="Impressions" queryTableFieldId="9" dataDxfId="10"/>
    <tableColumn id="10" xr3:uid="{1A605803-771E-47FC-9146-6C6C1B5F759C}" uniqueName="10" name="Reach" queryTableFieldId="10" dataDxfId="9"/>
    <tableColumn id="11" xr3:uid="{E974CD69-2107-4291-A880-EF86C548AFA1}" uniqueName="11" name="Clicks" queryTableFieldId="11" dataDxfId="8"/>
    <tableColumn id="18" xr3:uid="{E88838F8-C7C4-4287-B2AB-55461E7E433F}" uniqueName="18" name="Hashtags Used" queryTableFieldId="18" dataDxfId="7"/>
    <tableColumn id="15" xr3:uid="{491304FD-ED18-4512-B296-F7BE96D28920}" uniqueName="15" name="Campaign_Name" queryTableFieldId="15" dataDxfId="6"/>
    <tableColumn id="16" xr3:uid="{BDEFB8C2-616E-4A0E-8103-3C62E4877D8E}" uniqueName="16" name="Engagement Rate" queryTableFieldId="16" dataDxfId="5">
      <calculatedColumnFormula>(Posts1114[[#This Row],[Likes]]+Posts1114[[#This Row],[Shares]]+Posts1114[[#This Row],[Comments]])/Posts1114[[#This Row],[Impressions]]</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12.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9.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11.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2.xml.rels><?xml version="1.0" encoding="UTF-8" standalone="yes"?>
<Relationships xmlns="http://schemas.openxmlformats.org/package/2006/relationships"><Relationship Id="rId1" Type="http://schemas.openxmlformats.org/officeDocument/2006/relationships/hyperlink" Target="https://screenrec.com/share/hgQkHL5Vm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7C043-754A-49B2-9323-781DAF01B7B0}">
  <dimension ref="A1:P340"/>
  <sheetViews>
    <sheetView workbookViewId="0">
      <selection activeCell="A6" sqref="A6"/>
    </sheetView>
  </sheetViews>
  <sheetFormatPr defaultRowHeight="14.4"/>
  <cols>
    <col min="1" max="1" width="9" bestFit="1" customWidth="1"/>
    <col min="2" max="2" width="10.44140625" bestFit="1" customWidth="1"/>
    <col min="3" max="3" width="10.33203125" bestFit="1" customWidth="1"/>
    <col min="4" max="4" width="14" bestFit="1" customWidth="1"/>
    <col min="5" max="5" width="36.109375" bestFit="1" customWidth="1"/>
    <col min="6" max="6" width="7.5546875" bestFit="1" customWidth="1"/>
    <col min="8" max="8" width="12.33203125" bestFit="1" customWidth="1"/>
    <col min="9" max="9" width="13.44140625" bestFit="1" customWidth="1"/>
    <col min="10" max="10" width="8.33203125" bestFit="1" customWidth="1"/>
    <col min="11" max="11" width="8.44140625" bestFit="1" customWidth="1"/>
    <col min="12" max="12" width="19.77734375" bestFit="1" customWidth="1"/>
    <col min="13" max="14" width="17.5546875" bestFit="1" customWidth="1"/>
    <col min="15" max="15" width="19.33203125" bestFit="1" customWidth="1"/>
    <col min="16" max="16" width="17.5546875" bestFit="1" customWidth="1"/>
  </cols>
  <sheetData>
    <row r="1" spans="1:16">
      <c r="A1" s="2" t="s">
        <v>23</v>
      </c>
      <c r="B1" s="3" t="s">
        <v>24</v>
      </c>
      <c r="C1" s="3" t="s">
        <v>25</v>
      </c>
      <c r="D1" s="3" t="s">
        <v>26</v>
      </c>
      <c r="E1" s="3" t="s">
        <v>27</v>
      </c>
      <c r="F1" s="3" t="s">
        <v>28</v>
      </c>
      <c r="G1" s="3" t="s">
        <v>29</v>
      </c>
      <c r="H1" s="3" t="s">
        <v>30</v>
      </c>
      <c r="I1" s="3" t="s">
        <v>31</v>
      </c>
      <c r="J1" s="3" t="s">
        <v>32</v>
      </c>
      <c r="K1" s="3" t="s">
        <v>33</v>
      </c>
      <c r="L1" s="3" t="s">
        <v>382</v>
      </c>
      <c r="M1" s="3" t="s">
        <v>0</v>
      </c>
      <c r="N1" s="4" t="s">
        <v>379</v>
      </c>
      <c r="O1" t="s">
        <v>383</v>
      </c>
      <c r="P1" t="s">
        <v>420</v>
      </c>
    </row>
    <row r="2" spans="1:16">
      <c r="A2" s="11" t="s">
        <v>177</v>
      </c>
      <c r="B2" s="6" t="s">
        <v>49</v>
      </c>
      <c r="C2" s="12">
        <v>45457</v>
      </c>
      <c r="D2" s="6" t="s">
        <v>56</v>
      </c>
      <c r="E2" s="6" t="s">
        <v>84</v>
      </c>
      <c r="F2" s="6">
        <v>498</v>
      </c>
      <c r="G2" s="6">
        <v>38</v>
      </c>
      <c r="H2" s="6">
        <v>42</v>
      </c>
      <c r="I2" s="6">
        <v>4482</v>
      </c>
      <c r="J2" s="6">
        <v>3647</v>
      </c>
      <c r="K2" s="6">
        <v>32</v>
      </c>
      <c r="L2" s="6" t="s">
        <v>38</v>
      </c>
      <c r="M2" s="6" t="s">
        <v>7</v>
      </c>
      <c r="N2" s="14">
        <f>(Posts1116[[#This Row],[Likes]]+Posts1116[[#This Row],[Shares]]+Posts1116[[#This Row],[Comments]])/Posts1116[[#This Row],[Impressions]]</f>
        <v>0.12896028558679162</v>
      </c>
      <c r="O2" t="str">
        <f>_xlfn.XLOOKUP(Posts1116[[#This Row],[Campaign_Name]],Campaign_Metadata[Campaign_Name],Campaign_Metadata[Objective])</f>
        <v>Product Awareness</v>
      </c>
      <c r="P2" s="24" t="str">
        <f>IF(AND(Posts1116[[#This Row],[Date]]&gt;=DATE(2024,6,15), Posts1116[[#This Row],[Date]]&lt;=DATE(2024,7,15)),"During", "Before")</f>
        <v>Before</v>
      </c>
    </row>
    <row r="3" spans="1:16">
      <c r="A3" s="9" t="s">
        <v>195</v>
      </c>
      <c r="B3" s="5" t="s">
        <v>49</v>
      </c>
      <c r="C3" s="10">
        <v>45457</v>
      </c>
      <c r="D3" s="5" t="s">
        <v>50</v>
      </c>
      <c r="E3" s="5" t="s">
        <v>51</v>
      </c>
      <c r="F3" s="5">
        <v>4363</v>
      </c>
      <c r="G3" s="5">
        <v>649</v>
      </c>
      <c r="H3" s="5">
        <v>140</v>
      </c>
      <c r="I3" s="5">
        <v>21815</v>
      </c>
      <c r="J3" s="5">
        <v>21481</v>
      </c>
      <c r="K3" s="5">
        <v>157</v>
      </c>
      <c r="L3" s="5" t="s">
        <v>52</v>
      </c>
      <c r="M3" s="5" t="s">
        <v>7</v>
      </c>
      <c r="N3" s="13">
        <f>(Posts1116[[#This Row],[Likes]]+Posts1116[[#This Row],[Shares]]+Posts1116[[#This Row],[Comments]])/Posts1116[[#This Row],[Impressions]]</f>
        <v>0.23616777446710979</v>
      </c>
      <c r="O3" t="str">
        <f>_xlfn.XLOOKUP(Posts1116[[#This Row],[Campaign_Name]],Campaign_Metadata[Campaign_Name],Campaign_Metadata[Objective])</f>
        <v>Product Awareness</v>
      </c>
      <c r="P3" t="str">
        <f>IF(AND(Posts1116[[#This Row],[Date]]&gt;=DATE(2024,6,15), Posts1116[[#This Row],[Date]]&lt;=DATE(2024,7,15)),"During", "Before")</f>
        <v>Before</v>
      </c>
    </row>
    <row r="4" spans="1:16">
      <c r="A4" s="9" t="s">
        <v>221</v>
      </c>
      <c r="B4" s="5" t="s">
        <v>35</v>
      </c>
      <c r="C4" s="10">
        <v>45459</v>
      </c>
      <c r="D4" s="5" t="s">
        <v>75</v>
      </c>
      <c r="E4" s="5" t="s">
        <v>114</v>
      </c>
      <c r="F4" s="5">
        <v>1702</v>
      </c>
      <c r="G4" s="5">
        <v>750</v>
      </c>
      <c r="H4" s="5">
        <v>179</v>
      </c>
      <c r="I4" s="5">
        <v>34040</v>
      </c>
      <c r="J4" s="5">
        <v>33174</v>
      </c>
      <c r="K4" s="5">
        <v>76</v>
      </c>
      <c r="L4" s="5" t="s">
        <v>52</v>
      </c>
      <c r="M4" s="5" t="s">
        <v>7</v>
      </c>
      <c r="N4" s="13">
        <f>(Posts1116[[#This Row],[Likes]]+Posts1116[[#This Row],[Shares]]+Posts1116[[#This Row],[Comments]])/Posts1116[[#This Row],[Impressions]]</f>
        <v>7.7291421856639245E-2</v>
      </c>
      <c r="O4" t="str">
        <f>_xlfn.XLOOKUP(Posts1116[[#This Row],[Campaign_Name]],Campaign_Metadata[Campaign_Name],Campaign_Metadata[Objective])</f>
        <v>Product Awareness</v>
      </c>
      <c r="P4" t="str">
        <f>IF(AND(Posts1116[[#This Row],[Date]]&gt;=DATE(2024,6,15), Posts1116[[#This Row],[Date]]&lt;=DATE(2024,7,15)),"During", "Before")</f>
        <v>During</v>
      </c>
    </row>
    <row r="5" spans="1:16">
      <c r="A5" s="9" t="s">
        <v>248</v>
      </c>
      <c r="B5" s="5" t="s">
        <v>55</v>
      </c>
      <c r="C5" s="10">
        <v>45463</v>
      </c>
      <c r="D5" s="5" t="s">
        <v>75</v>
      </c>
      <c r="E5" s="5" t="s">
        <v>76</v>
      </c>
      <c r="F5" s="5">
        <v>3798</v>
      </c>
      <c r="G5" s="5">
        <v>31</v>
      </c>
      <c r="H5" s="5">
        <v>279</v>
      </c>
      <c r="I5" s="5">
        <v>75960</v>
      </c>
      <c r="J5" s="5">
        <v>75813</v>
      </c>
      <c r="K5" s="5">
        <v>266</v>
      </c>
      <c r="L5" s="5" t="s">
        <v>43</v>
      </c>
      <c r="M5" s="5" t="s">
        <v>7</v>
      </c>
      <c r="N5" s="13">
        <f>(Posts1116[[#This Row],[Likes]]+Posts1116[[#This Row],[Shares]]+Posts1116[[#This Row],[Comments]])/Posts1116[[#This Row],[Impressions]]</f>
        <v>5.4081095313322801E-2</v>
      </c>
      <c r="O5" t="str">
        <f>_xlfn.XLOOKUP(Posts1116[[#This Row],[Campaign_Name]],Campaign_Metadata[Campaign_Name],Campaign_Metadata[Objective])</f>
        <v>Product Awareness</v>
      </c>
      <c r="P5" t="str">
        <f>IF(AND(Posts1116[[#This Row],[Date]]&gt;=DATE(2024,6,15), Posts1116[[#This Row],[Date]]&lt;=DATE(2024,7,15)),"During", "Before")</f>
        <v>During</v>
      </c>
    </row>
    <row r="6" spans="1:16">
      <c r="A6" s="11" t="s">
        <v>278</v>
      </c>
      <c r="B6" s="6" t="s">
        <v>35</v>
      </c>
      <c r="C6" s="12">
        <v>45467</v>
      </c>
      <c r="D6" s="6" t="s">
        <v>41</v>
      </c>
      <c r="E6" s="6" t="s">
        <v>42</v>
      </c>
      <c r="F6" s="6">
        <v>941</v>
      </c>
      <c r="G6" s="6">
        <v>121</v>
      </c>
      <c r="H6" s="6">
        <v>458</v>
      </c>
      <c r="I6" s="6">
        <v>14115</v>
      </c>
      <c r="J6" s="6">
        <v>13838</v>
      </c>
      <c r="K6" s="6">
        <v>87</v>
      </c>
      <c r="L6" s="6" t="s">
        <v>52</v>
      </c>
      <c r="M6" s="6" t="s">
        <v>7</v>
      </c>
      <c r="N6" s="14">
        <f>(Posts1116[[#This Row],[Likes]]+Posts1116[[#This Row],[Shares]]+Posts1116[[#This Row],[Comments]])/Posts1116[[#This Row],[Impressions]]</f>
        <v>0.10768685795253277</v>
      </c>
      <c r="O6" t="str">
        <f>_xlfn.XLOOKUP(Posts1116[[#This Row],[Campaign_Name]],Campaign_Metadata[Campaign_Name],Campaign_Metadata[Objective])</f>
        <v>Product Awareness</v>
      </c>
      <c r="P6" s="8" t="str">
        <f>IF(AND(Posts1116[[#This Row],[Date]]&gt;=DATE(2024,6,15), Posts1116[[#This Row],[Date]]&lt;=DATE(2024,7,15)),"During", "Before")</f>
        <v>During</v>
      </c>
    </row>
    <row r="7" spans="1:16">
      <c r="A7" s="9" t="s">
        <v>53</v>
      </c>
      <c r="B7" s="5" t="s">
        <v>46</v>
      </c>
      <c r="C7" s="10">
        <v>45469</v>
      </c>
      <c r="D7" s="5" t="s">
        <v>36</v>
      </c>
      <c r="E7" s="5" t="s">
        <v>47</v>
      </c>
      <c r="F7" s="5">
        <v>3557</v>
      </c>
      <c r="G7" s="5">
        <v>687</v>
      </c>
      <c r="H7" s="5">
        <v>424</v>
      </c>
      <c r="I7" s="5">
        <v>71140</v>
      </c>
      <c r="J7" s="5">
        <v>70701</v>
      </c>
      <c r="K7" s="5">
        <v>224</v>
      </c>
      <c r="L7" s="5" t="s">
        <v>52</v>
      </c>
      <c r="M7" s="5" t="s">
        <v>7</v>
      </c>
      <c r="N7" s="13">
        <f>(Posts1116[[#This Row],[Likes]]+Posts1116[[#This Row],[Shares]]+Posts1116[[#This Row],[Comments]])/Posts1116[[#This Row],[Impressions]]</f>
        <v>6.5617093055946027E-2</v>
      </c>
      <c r="O7" t="str">
        <f>_xlfn.XLOOKUP(Posts1116[[#This Row],[Campaign_Name]],Campaign_Metadata[Campaign_Name],Campaign_Metadata[Objective])</f>
        <v>Product Awareness</v>
      </c>
      <c r="P7" t="str">
        <f>IF(AND(Posts1116[[#This Row],[Date]]&gt;=DATE(2024,6,15), Posts1116[[#This Row],[Date]]&lt;=DATE(2024,7,15)),"During", "Before")</f>
        <v>During</v>
      </c>
    </row>
    <row r="8" spans="1:16">
      <c r="A8" s="11" t="s">
        <v>53</v>
      </c>
      <c r="B8" s="6" t="s">
        <v>46</v>
      </c>
      <c r="C8" s="12">
        <v>45469</v>
      </c>
      <c r="D8" s="6" t="s">
        <v>36</v>
      </c>
      <c r="E8" s="6" t="s">
        <v>47</v>
      </c>
      <c r="F8" s="6">
        <v>3557</v>
      </c>
      <c r="G8" s="6">
        <v>687</v>
      </c>
      <c r="H8" s="6">
        <v>424</v>
      </c>
      <c r="I8" s="6">
        <v>71140</v>
      </c>
      <c r="J8" s="6">
        <v>70701</v>
      </c>
      <c r="K8" s="6">
        <v>224</v>
      </c>
      <c r="L8" s="6" t="s">
        <v>43</v>
      </c>
      <c r="M8" s="6" t="s">
        <v>7</v>
      </c>
      <c r="N8" s="14">
        <f>(Posts1116[[#This Row],[Likes]]+Posts1116[[#This Row],[Shares]]+Posts1116[[#This Row],[Comments]])/Posts1116[[#This Row],[Impressions]]</f>
        <v>6.5617093055946027E-2</v>
      </c>
      <c r="O8" t="str">
        <f>_xlfn.XLOOKUP(Posts1116[[#This Row],[Campaign_Name]],Campaign_Metadata[Campaign_Name],Campaign_Metadata[Objective])</f>
        <v>Product Awareness</v>
      </c>
      <c r="P8" t="str">
        <f>IF(AND(Posts1116[[#This Row],[Date]]&gt;=DATE(2024,6,15), Posts1116[[#This Row],[Date]]&lt;=DATE(2024,7,15)),"During", "Before")</f>
        <v>During</v>
      </c>
    </row>
    <row r="9" spans="1:16">
      <c r="A9" s="9" t="s">
        <v>300</v>
      </c>
      <c r="B9" s="5" t="s">
        <v>49</v>
      </c>
      <c r="C9" s="10">
        <v>45474</v>
      </c>
      <c r="D9" s="5" t="s">
        <v>50</v>
      </c>
      <c r="E9" s="5" t="s">
        <v>51</v>
      </c>
      <c r="F9" s="5">
        <v>4808</v>
      </c>
      <c r="G9" s="5">
        <v>772</v>
      </c>
      <c r="H9" s="5">
        <v>320</v>
      </c>
      <c r="I9" s="5">
        <v>72120</v>
      </c>
      <c r="J9" s="5">
        <v>71696</v>
      </c>
      <c r="K9" s="5">
        <v>195</v>
      </c>
      <c r="L9" s="5" t="s">
        <v>52</v>
      </c>
      <c r="M9" s="5" t="s">
        <v>7</v>
      </c>
      <c r="N9" s="13">
        <f>(Posts1116[[#This Row],[Likes]]+Posts1116[[#This Row],[Shares]]+Posts1116[[#This Row],[Comments]])/Posts1116[[#This Row],[Impressions]]</f>
        <v>8.1808097615085965E-2</v>
      </c>
      <c r="O9" t="str">
        <f>_xlfn.XLOOKUP(Posts1116[[#This Row],[Campaign_Name]],Campaign_Metadata[Campaign_Name],Campaign_Metadata[Objective])</f>
        <v>Product Awareness</v>
      </c>
      <c r="P9" t="str">
        <f>IF(AND(Posts1116[[#This Row],[Date]]&gt;=DATE(2024,6,15), Posts1116[[#This Row],[Date]]&lt;=DATE(2024,7,15)),"During", "Before")</f>
        <v>During</v>
      </c>
    </row>
    <row r="10" spans="1:16">
      <c r="A10" s="9" t="s">
        <v>136</v>
      </c>
      <c r="B10" s="5" t="s">
        <v>35</v>
      </c>
      <c r="C10" s="10">
        <v>45499</v>
      </c>
      <c r="D10" s="5" t="s">
        <v>56</v>
      </c>
      <c r="E10" s="5" t="s">
        <v>59</v>
      </c>
      <c r="F10" s="5">
        <v>432</v>
      </c>
      <c r="G10" s="5">
        <v>171</v>
      </c>
      <c r="H10" s="5">
        <v>280</v>
      </c>
      <c r="I10" s="5">
        <v>3024</v>
      </c>
      <c r="J10" s="5">
        <v>2285</v>
      </c>
      <c r="K10" s="5">
        <v>184</v>
      </c>
      <c r="L10" s="5" t="s">
        <v>52</v>
      </c>
      <c r="M10" s="5" t="s">
        <v>7</v>
      </c>
      <c r="N10" s="13">
        <f>(Posts1116[[#This Row],[Likes]]+Posts1116[[#This Row],[Shares]]+Posts1116[[#This Row],[Comments]])/Posts1116[[#This Row],[Impressions]]</f>
        <v>0.29199735449735448</v>
      </c>
      <c r="O10" t="str">
        <f>_xlfn.XLOOKUP(Posts1116[[#This Row],[Campaign_Name]],Campaign_Metadata[Campaign_Name],Campaign_Metadata[Objective])</f>
        <v>Product Awareness</v>
      </c>
      <c r="P10" t="str">
        <f>IF(AND(Posts1116[[#This Row],[Date]]&gt;=DATE(2024,6,15), Posts1116[[#This Row],[Date]]&lt;=DATE(2024,7,15)),"During", "Before")</f>
        <v>Before</v>
      </c>
    </row>
    <row r="11" spans="1:16">
      <c r="A11" s="9" t="s">
        <v>223</v>
      </c>
      <c r="B11" s="5" t="s">
        <v>49</v>
      </c>
      <c r="C11" s="10">
        <v>45499</v>
      </c>
      <c r="D11" s="5" t="s">
        <v>61</v>
      </c>
      <c r="E11" s="5" t="s">
        <v>153</v>
      </c>
      <c r="F11" s="5">
        <v>3559</v>
      </c>
      <c r="G11" s="5">
        <v>59</v>
      </c>
      <c r="H11" s="5">
        <v>289</v>
      </c>
      <c r="I11" s="5">
        <v>35590</v>
      </c>
      <c r="J11" s="5">
        <v>35105</v>
      </c>
      <c r="K11" s="5">
        <v>122</v>
      </c>
      <c r="L11" s="5" t="s">
        <v>52</v>
      </c>
      <c r="M11" s="5" t="s">
        <v>7</v>
      </c>
      <c r="N11" s="13">
        <f>(Posts1116[[#This Row],[Likes]]+Posts1116[[#This Row],[Shares]]+Posts1116[[#This Row],[Comments]])/Posts1116[[#This Row],[Impressions]]</f>
        <v>0.10977802753582468</v>
      </c>
      <c r="O11" t="str">
        <f>_xlfn.XLOOKUP(Posts1116[[#This Row],[Campaign_Name]],Campaign_Metadata[Campaign_Name],Campaign_Metadata[Objective])</f>
        <v>Product Awareness</v>
      </c>
      <c r="P11" t="str">
        <f>IF(AND(Posts1116[[#This Row],[Date]]&gt;=DATE(2024,6,15), Posts1116[[#This Row],[Date]]&lt;=DATE(2024,7,15)),"During", "Before")</f>
        <v>Before</v>
      </c>
    </row>
    <row r="12" spans="1:16">
      <c r="A12" s="9" t="s">
        <v>256</v>
      </c>
      <c r="B12" s="5" t="s">
        <v>35</v>
      </c>
      <c r="C12" s="10">
        <v>45501</v>
      </c>
      <c r="D12" s="5" t="s">
        <v>61</v>
      </c>
      <c r="E12" s="5" t="s">
        <v>107</v>
      </c>
      <c r="F12" s="5">
        <v>3215</v>
      </c>
      <c r="G12" s="5">
        <v>960</v>
      </c>
      <c r="H12" s="5">
        <v>202</v>
      </c>
      <c r="I12" s="5">
        <v>32150</v>
      </c>
      <c r="J12" s="5">
        <v>31404</v>
      </c>
      <c r="K12" s="5">
        <v>251</v>
      </c>
      <c r="L12" s="5" t="s">
        <v>52</v>
      </c>
      <c r="M12" s="5" t="s">
        <v>7</v>
      </c>
      <c r="N12" s="13">
        <f>(Posts1116[[#This Row],[Likes]]+Posts1116[[#This Row],[Shares]]+Posts1116[[#This Row],[Comments]])/Posts1116[[#This Row],[Impressions]]</f>
        <v>0.13614307931570763</v>
      </c>
      <c r="O12" t="str">
        <f>_xlfn.XLOOKUP(Posts1116[[#This Row],[Campaign_Name]],Campaign_Metadata[Campaign_Name],Campaign_Metadata[Objective])</f>
        <v>Product Awareness</v>
      </c>
      <c r="P12" t="str">
        <f>IF(AND(Posts1116[[#This Row],[Date]]&gt;=DATE(2024,6,15), Posts1116[[#This Row],[Date]]&lt;=DATE(2024,7,15)),"During", "Before")</f>
        <v>Before</v>
      </c>
    </row>
    <row r="13" spans="1:16">
      <c r="A13" s="11" t="s">
        <v>98</v>
      </c>
      <c r="B13" s="6" t="s">
        <v>35</v>
      </c>
      <c r="C13" s="12">
        <v>45504</v>
      </c>
      <c r="D13" s="6" t="s">
        <v>56</v>
      </c>
      <c r="E13" s="6" t="s">
        <v>59</v>
      </c>
      <c r="F13" s="6">
        <v>2278</v>
      </c>
      <c r="G13" s="6">
        <v>10</v>
      </c>
      <c r="H13" s="6">
        <v>321</v>
      </c>
      <c r="I13" s="6">
        <v>13668</v>
      </c>
      <c r="J13" s="6">
        <v>12676</v>
      </c>
      <c r="K13" s="6">
        <v>275</v>
      </c>
      <c r="L13" s="6" t="s">
        <v>52</v>
      </c>
      <c r="M13" s="6" t="s">
        <v>7</v>
      </c>
      <c r="N13" s="14">
        <f>(Posts1116[[#This Row],[Likes]]+Posts1116[[#This Row],[Shares]]+Posts1116[[#This Row],[Comments]])/Posts1116[[#This Row],[Impressions]]</f>
        <v>0.19088381621305239</v>
      </c>
      <c r="O13" t="str">
        <f>_xlfn.XLOOKUP(Posts1116[[#This Row],[Campaign_Name]],Campaign_Metadata[Campaign_Name],Campaign_Metadata[Objective])</f>
        <v>Product Awareness</v>
      </c>
      <c r="P13" t="str">
        <f>IF(AND(Posts1116[[#This Row],[Date]]&gt;=DATE(2024,6,15), Posts1116[[#This Row],[Date]]&lt;=DATE(2024,7,15)),"During", "Before")</f>
        <v>Before</v>
      </c>
    </row>
    <row r="14" spans="1:16">
      <c r="A14" s="11" t="s">
        <v>230</v>
      </c>
      <c r="B14" s="6" t="s">
        <v>49</v>
      </c>
      <c r="C14" s="12">
        <v>45515</v>
      </c>
      <c r="D14" s="6" t="s">
        <v>50</v>
      </c>
      <c r="E14" s="6" t="s">
        <v>51</v>
      </c>
      <c r="F14" s="6">
        <v>1762</v>
      </c>
      <c r="G14" s="6">
        <v>405</v>
      </c>
      <c r="H14" s="6">
        <v>423</v>
      </c>
      <c r="I14" s="6">
        <v>22906</v>
      </c>
      <c r="J14" s="6">
        <v>21925</v>
      </c>
      <c r="K14" s="6">
        <v>25</v>
      </c>
      <c r="L14" s="6" t="s">
        <v>43</v>
      </c>
      <c r="M14" s="6" t="s">
        <v>7</v>
      </c>
      <c r="N14" s="14">
        <f>(Posts1116[[#This Row],[Likes]]+Posts1116[[#This Row],[Shares]]+Posts1116[[#This Row],[Comments]])/Posts1116[[#This Row],[Impressions]]</f>
        <v>0.11307081114118571</v>
      </c>
      <c r="O14" t="str">
        <f>_xlfn.XLOOKUP(Posts1116[[#This Row],[Campaign_Name]],Campaign_Metadata[Campaign_Name],Campaign_Metadata[Objective])</f>
        <v>Product Awareness</v>
      </c>
      <c r="P14" t="str">
        <f>IF(AND(Posts1116[[#This Row],[Date]]&gt;=DATE(2024,6,15), Posts1116[[#This Row],[Date]]&lt;=DATE(2024,7,15)),"During", "Before")</f>
        <v>Before</v>
      </c>
    </row>
    <row r="15" spans="1:16">
      <c r="A15" s="11" t="s">
        <v>359</v>
      </c>
      <c r="B15" s="6" t="s">
        <v>49</v>
      </c>
      <c r="C15" s="12">
        <v>45519</v>
      </c>
      <c r="D15" s="6" t="s">
        <v>36</v>
      </c>
      <c r="E15" s="6" t="s">
        <v>80</v>
      </c>
      <c r="F15" s="6">
        <v>1164</v>
      </c>
      <c r="G15" s="6">
        <v>616</v>
      </c>
      <c r="H15" s="6">
        <v>324</v>
      </c>
      <c r="I15" s="6">
        <v>6984</v>
      </c>
      <c r="J15" s="6">
        <v>6636</v>
      </c>
      <c r="K15" s="6">
        <v>82</v>
      </c>
      <c r="L15" s="6" t="s">
        <v>52</v>
      </c>
      <c r="M15" s="6" t="s">
        <v>7</v>
      </c>
      <c r="N15" s="14">
        <f>(Posts1116[[#This Row],[Likes]]+Posts1116[[#This Row],[Shares]]+Posts1116[[#This Row],[Comments]])/Posts1116[[#This Row],[Impressions]]</f>
        <v>0.30126002290950743</v>
      </c>
      <c r="O15" t="str">
        <f>_xlfn.XLOOKUP(Posts1116[[#This Row],[Campaign_Name]],Campaign_Metadata[Campaign_Name],Campaign_Metadata[Objective])</f>
        <v>Product Awareness</v>
      </c>
      <c r="P15" t="str">
        <f>IF(AND(Posts1116[[#This Row],[Date]]&gt;=DATE(2024,6,15), Posts1116[[#This Row],[Date]]&lt;=DATE(2024,7,15)),"During", "Before")</f>
        <v>Before</v>
      </c>
    </row>
    <row r="16" spans="1:16">
      <c r="A16" s="9" t="s">
        <v>79</v>
      </c>
      <c r="B16" s="5" t="s">
        <v>49</v>
      </c>
      <c r="C16" s="10">
        <v>45523</v>
      </c>
      <c r="D16" s="5" t="s">
        <v>36</v>
      </c>
      <c r="E16" s="5" t="s">
        <v>80</v>
      </c>
      <c r="F16" s="5">
        <v>3000</v>
      </c>
      <c r="G16" s="5">
        <v>382</v>
      </c>
      <c r="H16" s="5">
        <v>325</v>
      </c>
      <c r="I16" s="5">
        <v>36000</v>
      </c>
      <c r="J16" s="5">
        <v>35819</v>
      </c>
      <c r="K16" s="5">
        <v>19</v>
      </c>
      <c r="L16" s="5" t="s">
        <v>38</v>
      </c>
      <c r="M16" s="5" t="s">
        <v>7</v>
      </c>
      <c r="N16" s="13">
        <f>(Posts1116[[#This Row],[Likes]]+Posts1116[[#This Row],[Shares]]+Posts1116[[#This Row],[Comments]])/Posts1116[[#This Row],[Impressions]]</f>
        <v>0.10297222222222223</v>
      </c>
      <c r="O16" t="str">
        <f>_xlfn.XLOOKUP(Posts1116[[#This Row],[Campaign_Name]],Campaign_Metadata[Campaign_Name],Campaign_Metadata[Objective])</f>
        <v>Product Awareness</v>
      </c>
      <c r="P16" t="str">
        <f>IF(AND(Posts1116[[#This Row],[Date]]&gt;=DATE(2024,6,15), Posts1116[[#This Row],[Date]]&lt;=DATE(2024,7,15)),"During", "Before")</f>
        <v>Before</v>
      </c>
    </row>
    <row r="17" spans="1:16">
      <c r="A17" s="9" t="s">
        <v>99</v>
      </c>
      <c r="B17" s="5" t="s">
        <v>55</v>
      </c>
      <c r="C17" s="10">
        <v>45525</v>
      </c>
      <c r="D17" s="5" t="s">
        <v>61</v>
      </c>
      <c r="E17" s="5" t="s">
        <v>66</v>
      </c>
      <c r="F17" s="5">
        <v>1407</v>
      </c>
      <c r="G17" s="5">
        <v>400</v>
      </c>
      <c r="H17" s="5">
        <v>351</v>
      </c>
      <c r="I17" s="5">
        <v>16884</v>
      </c>
      <c r="J17" s="5">
        <v>15954</v>
      </c>
      <c r="K17" s="5">
        <v>113</v>
      </c>
      <c r="L17" s="5" t="s">
        <v>43</v>
      </c>
      <c r="M17" s="5" t="s">
        <v>7</v>
      </c>
      <c r="N17" s="13">
        <f>(Posts1116[[#This Row],[Likes]]+Posts1116[[#This Row],[Shares]]+Posts1116[[#This Row],[Comments]])/Posts1116[[#This Row],[Impressions]]</f>
        <v>0.12781331438047855</v>
      </c>
      <c r="O17" t="str">
        <f>_xlfn.XLOOKUP(Posts1116[[#This Row],[Campaign_Name]],Campaign_Metadata[Campaign_Name],Campaign_Metadata[Objective])</f>
        <v>Product Awareness</v>
      </c>
      <c r="P17" t="str">
        <f>IF(AND(Posts1116[[#This Row],[Date]]&gt;=DATE(2024,6,15), Posts1116[[#This Row],[Date]]&lt;=DATE(2024,7,15)),"During", "Before")</f>
        <v>Before</v>
      </c>
    </row>
    <row r="18" spans="1:16">
      <c r="A18" s="9" t="s">
        <v>372</v>
      </c>
      <c r="B18" s="5" t="s">
        <v>35</v>
      </c>
      <c r="C18" s="10">
        <v>45535</v>
      </c>
      <c r="D18" s="5" t="s">
        <v>56</v>
      </c>
      <c r="E18" s="5" t="s">
        <v>59</v>
      </c>
      <c r="F18" s="5">
        <v>4494</v>
      </c>
      <c r="G18" s="5">
        <v>717</v>
      </c>
      <c r="H18" s="5">
        <v>45</v>
      </c>
      <c r="I18" s="5">
        <v>62916</v>
      </c>
      <c r="J18" s="5">
        <v>62688</v>
      </c>
      <c r="K18" s="5">
        <v>191</v>
      </c>
      <c r="L18" s="5" t="s">
        <v>43</v>
      </c>
      <c r="M18" s="5" t="s">
        <v>7</v>
      </c>
      <c r="N18" s="13">
        <f>(Posts1116[[#This Row],[Likes]]+Posts1116[[#This Row],[Shares]]+Posts1116[[#This Row],[Comments]])/Posts1116[[#This Row],[Impressions]]</f>
        <v>8.3539958039290485E-2</v>
      </c>
      <c r="O18" t="str">
        <f>_xlfn.XLOOKUP(Posts1116[[#This Row],[Campaign_Name]],Campaign_Metadata[Campaign_Name],Campaign_Metadata[Objective])</f>
        <v>Product Awareness</v>
      </c>
      <c r="P18" t="str">
        <f>IF(AND(Posts1116[[#This Row],[Date]]&gt;=DATE(2024,6,15), Posts1116[[#This Row],[Date]]&lt;=DATE(2024,7,15)),"During", "Before")</f>
        <v>Before</v>
      </c>
    </row>
    <row r="19" spans="1:16">
      <c r="A19" s="11" t="s">
        <v>372</v>
      </c>
      <c r="B19" s="6" t="s">
        <v>35</v>
      </c>
      <c r="C19" s="12">
        <v>45535</v>
      </c>
      <c r="D19" s="6" t="s">
        <v>56</v>
      </c>
      <c r="E19" s="6" t="s">
        <v>59</v>
      </c>
      <c r="F19" s="6">
        <v>4494</v>
      </c>
      <c r="G19" s="6">
        <v>717</v>
      </c>
      <c r="H19" s="6">
        <v>45</v>
      </c>
      <c r="I19" s="6">
        <v>62916</v>
      </c>
      <c r="J19" s="6">
        <v>62688</v>
      </c>
      <c r="K19" s="6">
        <v>191</v>
      </c>
      <c r="L19" s="6" t="s">
        <v>52</v>
      </c>
      <c r="M19" s="6" t="s">
        <v>7</v>
      </c>
      <c r="N19" s="14">
        <f>(Posts1116[[#This Row],[Likes]]+Posts1116[[#This Row],[Shares]]+Posts1116[[#This Row],[Comments]])/Posts1116[[#This Row],[Impressions]]</f>
        <v>8.3539958039290485E-2</v>
      </c>
      <c r="O19" t="str">
        <f>_xlfn.XLOOKUP(Posts1116[[#This Row],[Campaign_Name]],Campaign_Metadata[Campaign_Name],Campaign_Metadata[Objective])</f>
        <v>Product Awareness</v>
      </c>
      <c r="P19" t="str">
        <f>IF(AND(Posts1116[[#This Row],[Date]]&gt;=DATE(2024,6,15), Posts1116[[#This Row],[Date]]&lt;=DATE(2024,7,15)),"During", "Before")</f>
        <v>Before</v>
      </c>
    </row>
    <row r="20" spans="1:16">
      <c r="A20" s="9" t="s">
        <v>372</v>
      </c>
      <c r="B20" s="5" t="s">
        <v>35</v>
      </c>
      <c r="C20" s="10">
        <v>45535</v>
      </c>
      <c r="D20" s="5" t="s">
        <v>56</v>
      </c>
      <c r="E20" s="5" t="s">
        <v>59</v>
      </c>
      <c r="F20" s="5">
        <v>4494</v>
      </c>
      <c r="G20" s="5">
        <v>717</v>
      </c>
      <c r="H20" s="5">
        <v>45</v>
      </c>
      <c r="I20" s="5">
        <v>62916</v>
      </c>
      <c r="J20" s="5">
        <v>62688</v>
      </c>
      <c r="K20" s="5">
        <v>191</v>
      </c>
      <c r="L20" s="5" t="s">
        <v>44</v>
      </c>
      <c r="M20" s="5" t="s">
        <v>7</v>
      </c>
      <c r="N20" s="13">
        <f>(Posts1116[[#This Row],[Likes]]+Posts1116[[#This Row],[Shares]]+Posts1116[[#This Row],[Comments]])/Posts1116[[#This Row],[Impressions]]</f>
        <v>8.3539958039290485E-2</v>
      </c>
      <c r="O20" t="str">
        <f>_xlfn.XLOOKUP(Posts1116[[#This Row],[Campaign_Name]],Campaign_Metadata[Campaign_Name],Campaign_Metadata[Objective])</f>
        <v>Product Awareness</v>
      </c>
      <c r="P20" t="str">
        <f>IF(AND(Posts1116[[#This Row],[Date]]&gt;=DATE(2024,6,15), Posts1116[[#This Row],[Date]]&lt;=DATE(2024,7,15)),"During", "Before")</f>
        <v>Before</v>
      </c>
    </row>
    <row r="21" spans="1:16">
      <c r="A21" s="11" t="s">
        <v>131</v>
      </c>
      <c r="B21" s="6" t="s">
        <v>35</v>
      </c>
      <c r="C21" s="12">
        <v>45540</v>
      </c>
      <c r="D21" s="6" t="s">
        <v>75</v>
      </c>
      <c r="E21" s="6" t="s">
        <v>114</v>
      </c>
      <c r="F21" s="6">
        <v>4886</v>
      </c>
      <c r="G21" s="6">
        <v>983</v>
      </c>
      <c r="H21" s="6">
        <v>409</v>
      </c>
      <c r="I21" s="6">
        <v>43974</v>
      </c>
      <c r="J21" s="6">
        <v>43239</v>
      </c>
      <c r="K21" s="6">
        <v>65</v>
      </c>
      <c r="L21" s="6" t="s">
        <v>43</v>
      </c>
      <c r="M21" s="6" t="s">
        <v>7</v>
      </c>
      <c r="N21" s="14">
        <f>(Posts1116[[#This Row],[Likes]]+Posts1116[[#This Row],[Shares]]+Posts1116[[#This Row],[Comments]])/Posts1116[[#This Row],[Impressions]]</f>
        <v>0.14276618001546368</v>
      </c>
      <c r="O21" t="str">
        <f>_xlfn.XLOOKUP(Posts1116[[#This Row],[Campaign_Name]],Campaign_Metadata[Campaign_Name],Campaign_Metadata[Objective])</f>
        <v>Product Awareness</v>
      </c>
      <c r="P21" t="str">
        <f>IF(AND(Posts1116[[#This Row],[Date]]&gt;=DATE(2024,6,15), Posts1116[[#This Row],[Date]]&lt;=DATE(2024,7,15)),"During", "Before")</f>
        <v>Before</v>
      </c>
    </row>
    <row r="22" spans="1:16">
      <c r="A22" s="9" t="s">
        <v>83</v>
      </c>
      <c r="B22" s="5" t="s">
        <v>49</v>
      </c>
      <c r="C22" s="10">
        <v>45544</v>
      </c>
      <c r="D22" s="5" t="s">
        <v>56</v>
      </c>
      <c r="E22" s="5" t="s">
        <v>84</v>
      </c>
      <c r="F22" s="5">
        <v>4054</v>
      </c>
      <c r="G22" s="5">
        <v>488</v>
      </c>
      <c r="H22" s="5">
        <v>373</v>
      </c>
      <c r="I22" s="5">
        <v>77026</v>
      </c>
      <c r="J22" s="5">
        <v>76881</v>
      </c>
      <c r="K22" s="5">
        <v>25</v>
      </c>
      <c r="L22" s="5" t="s">
        <v>43</v>
      </c>
      <c r="M22" s="5" t="s">
        <v>7</v>
      </c>
      <c r="N22" s="13">
        <f>(Posts1116[[#This Row],[Likes]]+Posts1116[[#This Row],[Shares]]+Posts1116[[#This Row],[Comments]])/Posts1116[[#This Row],[Impressions]]</f>
        <v>6.3809622724794221E-2</v>
      </c>
      <c r="O22" t="str">
        <f>_xlfn.XLOOKUP(Posts1116[[#This Row],[Campaign_Name]],Campaign_Metadata[Campaign_Name],Campaign_Metadata[Objective])</f>
        <v>Product Awareness</v>
      </c>
      <c r="P22" t="str">
        <f>IF(AND(Posts1116[[#This Row],[Date]]&gt;=DATE(2024,6,15), Posts1116[[#This Row],[Date]]&lt;=DATE(2024,7,15)),"During", "Before")</f>
        <v>Before</v>
      </c>
    </row>
    <row r="23" spans="1:16">
      <c r="A23" s="11" t="s">
        <v>185</v>
      </c>
      <c r="B23" s="6" t="s">
        <v>35</v>
      </c>
      <c r="C23" s="12">
        <v>45567</v>
      </c>
      <c r="D23" s="6" t="s">
        <v>56</v>
      </c>
      <c r="E23" s="6" t="s">
        <v>59</v>
      </c>
      <c r="F23" s="6">
        <v>4419</v>
      </c>
      <c r="G23" s="6">
        <v>236</v>
      </c>
      <c r="H23" s="6">
        <v>369</v>
      </c>
      <c r="I23" s="6">
        <v>44190</v>
      </c>
      <c r="J23" s="6">
        <v>43582</v>
      </c>
      <c r="K23" s="6">
        <v>10</v>
      </c>
      <c r="L23" s="6" t="s">
        <v>52</v>
      </c>
      <c r="M23" s="6" t="s">
        <v>7</v>
      </c>
      <c r="N23" s="14">
        <f>(Posts1116[[#This Row],[Likes]]+Posts1116[[#This Row],[Shares]]+Posts1116[[#This Row],[Comments]])/Posts1116[[#This Row],[Impressions]]</f>
        <v>0.11369088028965829</v>
      </c>
      <c r="O23" t="str">
        <f>_xlfn.XLOOKUP(Posts1116[[#This Row],[Campaign_Name]],Campaign_Metadata[Campaign_Name],Campaign_Metadata[Objective])</f>
        <v>Product Awareness</v>
      </c>
      <c r="P23" t="str">
        <f>IF(AND(Posts1116[[#This Row],[Date]]&gt;=DATE(2024,6,15), Posts1116[[#This Row],[Date]]&lt;=DATE(2024,7,15)),"During", "Before")</f>
        <v>Before</v>
      </c>
    </row>
    <row r="24" spans="1:16">
      <c r="A24" s="9" t="s">
        <v>266</v>
      </c>
      <c r="B24" s="5" t="s">
        <v>46</v>
      </c>
      <c r="C24" s="10">
        <v>45567</v>
      </c>
      <c r="D24" s="5" t="s">
        <v>50</v>
      </c>
      <c r="E24" s="5" t="s">
        <v>120</v>
      </c>
      <c r="F24" s="5">
        <v>4350</v>
      </c>
      <c r="G24" s="5">
        <v>771</v>
      </c>
      <c r="H24" s="5">
        <v>7</v>
      </c>
      <c r="I24" s="5">
        <v>60900</v>
      </c>
      <c r="J24" s="5">
        <v>60592</v>
      </c>
      <c r="K24" s="5">
        <v>195</v>
      </c>
      <c r="L24" s="5" t="s">
        <v>52</v>
      </c>
      <c r="M24" s="5" t="s">
        <v>7</v>
      </c>
      <c r="N24" s="13">
        <f>(Posts1116[[#This Row],[Likes]]+Posts1116[[#This Row],[Shares]]+Posts1116[[#This Row],[Comments]])/Posts1116[[#This Row],[Impressions]]</f>
        <v>8.4203612479474554E-2</v>
      </c>
      <c r="O24" t="str">
        <f>_xlfn.XLOOKUP(Posts1116[[#This Row],[Campaign_Name]],Campaign_Metadata[Campaign_Name],Campaign_Metadata[Objective])</f>
        <v>Product Awareness</v>
      </c>
      <c r="P24" t="str">
        <f>IF(AND(Posts1116[[#This Row],[Date]]&gt;=DATE(2024,6,15), Posts1116[[#This Row],[Date]]&lt;=DATE(2024,7,15)),"During", "Before")</f>
        <v>Before</v>
      </c>
    </row>
    <row r="25" spans="1:16">
      <c r="A25" s="11" t="s">
        <v>294</v>
      </c>
      <c r="B25" s="6" t="s">
        <v>55</v>
      </c>
      <c r="C25" s="12">
        <v>45573</v>
      </c>
      <c r="D25" s="6" t="s">
        <v>36</v>
      </c>
      <c r="E25" s="6" t="s">
        <v>69</v>
      </c>
      <c r="F25" s="6">
        <v>1814</v>
      </c>
      <c r="G25" s="6">
        <v>653</v>
      </c>
      <c r="H25" s="6">
        <v>363</v>
      </c>
      <c r="I25" s="6">
        <v>25396</v>
      </c>
      <c r="J25" s="6">
        <v>25286</v>
      </c>
      <c r="K25" s="6">
        <v>39</v>
      </c>
      <c r="L25" s="6" t="s">
        <v>38</v>
      </c>
      <c r="M25" s="6" t="s">
        <v>7</v>
      </c>
      <c r="N25" s="14">
        <f>(Posts1116[[#This Row],[Likes]]+Posts1116[[#This Row],[Shares]]+Posts1116[[#This Row],[Comments]])/Posts1116[[#This Row],[Impressions]]</f>
        <v>0.11143487163332809</v>
      </c>
      <c r="O25" t="str">
        <f>_xlfn.XLOOKUP(Posts1116[[#This Row],[Campaign_Name]],Campaign_Metadata[Campaign_Name],Campaign_Metadata[Objective])</f>
        <v>Product Awareness</v>
      </c>
      <c r="P25" t="str">
        <f>IF(AND(Posts1116[[#This Row],[Date]]&gt;=DATE(2024,6,15), Posts1116[[#This Row],[Date]]&lt;=DATE(2024,7,15)),"During", "Before")</f>
        <v>Before</v>
      </c>
    </row>
    <row r="26" spans="1:16">
      <c r="A26" s="9" t="s">
        <v>294</v>
      </c>
      <c r="B26" s="5" t="s">
        <v>55</v>
      </c>
      <c r="C26" s="10">
        <v>45573</v>
      </c>
      <c r="D26" s="5" t="s">
        <v>36</v>
      </c>
      <c r="E26" s="5" t="s">
        <v>69</v>
      </c>
      <c r="F26" s="5">
        <v>1814</v>
      </c>
      <c r="G26" s="5">
        <v>653</v>
      </c>
      <c r="H26" s="5">
        <v>363</v>
      </c>
      <c r="I26" s="5">
        <v>25396</v>
      </c>
      <c r="J26" s="5">
        <v>25286</v>
      </c>
      <c r="K26" s="5">
        <v>39</v>
      </c>
      <c r="L26" s="5" t="s">
        <v>18</v>
      </c>
      <c r="M26" s="5" t="s">
        <v>7</v>
      </c>
      <c r="N26" s="13">
        <f>(Posts1116[[#This Row],[Likes]]+Posts1116[[#This Row],[Shares]]+Posts1116[[#This Row],[Comments]])/Posts1116[[#This Row],[Impressions]]</f>
        <v>0.11143487163332809</v>
      </c>
      <c r="O26" t="str">
        <f>_xlfn.XLOOKUP(Posts1116[[#This Row],[Campaign_Name]],Campaign_Metadata[Campaign_Name],Campaign_Metadata[Objective])</f>
        <v>Product Awareness</v>
      </c>
      <c r="P26" t="str">
        <f>IF(AND(Posts1116[[#This Row],[Date]]&gt;=DATE(2024,6,15), Posts1116[[#This Row],[Date]]&lt;=DATE(2024,7,15)),"During", "Before")</f>
        <v>Before</v>
      </c>
    </row>
    <row r="27" spans="1:16">
      <c r="A27" s="11" t="s">
        <v>127</v>
      </c>
      <c r="B27" s="6" t="s">
        <v>35</v>
      </c>
      <c r="C27" s="12">
        <v>45586</v>
      </c>
      <c r="D27" s="6" t="s">
        <v>75</v>
      </c>
      <c r="E27" s="6" t="s">
        <v>114</v>
      </c>
      <c r="F27" s="6">
        <v>2825</v>
      </c>
      <c r="G27" s="6">
        <v>535</v>
      </c>
      <c r="H27" s="6">
        <v>295</v>
      </c>
      <c r="I27" s="6">
        <v>45200</v>
      </c>
      <c r="J27" s="6">
        <v>44739</v>
      </c>
      <c r="K27" s="6">
        <v>169</v>
      </c>
      <c r="L27" s="6" t="s">
        <v>43</v>
      </c>
      <c r="M27" s="6" t="s">
        <v>7</v>
      </c>
      <c r="N27" s="14">
        <f>(Posts1116[[#This Row],[Likes]]+Posts1116[[#This Row],[Shares]]+Posts1116[[#This Row],[Comments]])/Posts1116[[#This Row],[Impressions]]</f>
        <v>8.0862831858407078E-2</v>
      </c>
      <c r="O27" t="str">
        <f>_xlfn.XLOOKUP(Posts1116[[#This Row],[Campaign_Name]],Campaign_Metadata[Campaign_Name],Campaign_Metadata[Objective])</f>
        <v>Product Awareness</v>
      </c>
      <c r="P27" t="str">
        <f>IF(AND(Posts1116[[#This Row],[Date]]&gt;=DATE(2024,6,15), Posts1116[[#This Row],[Date]]&lt;=DATE(2024,7,15)),"During", "Before")</f>
        <v>Before</v>
      </c>
    </row>
    <row r="28" spans="1:16">
      <c r="A28" s="11" t="s">
        <v>269</v>
      </c>
      <c r="B28" s="6" t="s">
        <v>35</v>
      </c>
      <c r="C28" s="12">
        <v>45587</v>
      </c>
      <c r="D28" s="6" t="s">
        <v>36</v>
      </c>
      <c r="E28" s="6" t="s">
        <v>37</v>
      </c>
      <c r="F28" s="6">
        <v>4782</v>
      </c>
      <c r="G28" s="6">
        <v>721</v>
      </c>
      <c r="H28" s="6">
        <v>82</v>
      </c>
      <c r="I28" s="6">
        <v>86076</v>
      </c>
      <c r="J28" s="6">
        <v>85339</v>
      </c>
      <c r="K28" s="6">
        <v>19</v>
      </c>
      <c r="L28" s="6" t="s">
        <v>52</v>
      </c>
      <c r="M28" s="6" t="s">
        <v>7</v>
      </c>
      <c r="N28" s="14">
        <f>(Posts1116[[#This Row],[Likes]]+Posts1116[[#This Row],[Shares]]+Posts1116[[#This Row],[Comments]])/Posts1116[[#This Row],[Impressions]]</f>
        <v>6.4884520656164318E-2</v>
      </c>
      <c r="O28" t="str">
        <f>_xlfn.XLOOKUP(Posts1116[[#This Row],[Campaign_Name]],Campaign_Metadata[Campaign_Name],Campaign_Metadata[Objective])</f>
        <v>Product Awareness</v>
      </c>
      <c r="P28" t="str">
        <f>IF(AND(Posts1116[[#This Row],[Date]]&gt;=DATE(2024,6,15), Posts1116[[#This Row],[Date]]&lt;=DATE(2024,7,15)),"During", "Before")</f>
        <v>Before</v>
      </c>
    </row>
    <row r="29" spans="1:16">
      <c r="A29" s="11" t="s">
        <v>309</v>
      </c>
      <c r="B29" s="6" t="s">
        <v>49</v>
      </c>
      <c r="C29" s="12">
        <v>45587</v>
      </c>
      <c r="D29" s="6" t="s">
        <v>50</v>
      </c>
      <c r="E29" s="6" t="s">
        <v>51</v>
      </c>
      <c r="F29" s="6">
        <v>3770</v>
      </c>
      <c r="G29" s="6">
        <v>917</v>
      </c>
      <c r="H29" s="6">
        <v>129</v>
      </c>
      <c r="I29" s="6">
        <v>71630</v>
      </c>
      <c r="J29" s="6">
        <v>71322</v>
      </c>
      <c r="K29" s="6">
        <v>76</v>
      </c>
      <c r="L29" s="6" t="s">
        <v>38</v>
      </c>
      <c r="M29" s="6" t="s">
        <v>7</v>
      </c>
      <c r="N29" s="14">
        <f>(Posts1116[[#This Row],[Likes]]+Posts1116[[#This Row],[Shares]]+Posts1116[[#This Row],[Comments]])/Posts1116[[#This Row],[Impressions]]</f>
        <v>6.7234398994834563E-2</v>
      </c>
      <c r="O29" t="str">
        <f>_xlfn.XLOOKUP(Posts1116[[#This Row],[Campaign_Name]],Campaign_Metadata[Campaign_Name],Campaign_Metadata[Objective])</f>
        <v>Product Awareness</v>
      </c>
      <c r="P29" t="str">
        <f>IF(AND(Posts1116[[#This Row],[Date]]&gt;=DATE(2024,6,15), Posts1116[[#This Row],[Date]]&lt;=DATE(2024,7,15)),"During", "Before")</f>
        <v>Before</v>
      </c>
    </row>
    <row r="30" spans="1:16">
      <c r="A30" s="11" t="s">
        <v>74</v>
      </c>
      <c r="B30" s="6" t="s">
        <v>55</v>
      </c>
      <c r="C30" s="12">
        <v>45589</v>
      </c>
      <c r="D30" s="6" t="s">
        <v>75</v>
      </c>
      <c r="E30" s="6" t="s">
        <v>76</v>
      </c>
      <c r="F30" s="6">
        <v>3888</v>
      </c>
      <c r="G30" s="6">
        <v>604</v>
      </c>
      <c r="H30" s="6">
        <v>128</v>
      </c>
      <c r="I30" s="6">
        <v>77760</v>
      </c>
      <c r="J30" s="6">
        <v>77167</v>
      </c>
      <c r="K30" s="6">
        <v>20</v>
      </c>
      <c r="L30" s="6" t="s">
        <v>38</v>
      </c>
      <c r="M30" s="6" t="s">
        <v>7</v>
      </c>
      <c r="N30" s="14">
        <f>(Posts1116[[#This Row],[Likes]]+Posts1116[[#This Row],[Shares]]+Posts1116[[#This Row],[Comments]])/Posts1116[[#This Row],[Impressions]]</f>
        <v>5.941358024691358E-2</v>
      </c>
      <c r="O30" t="str">
        <f>_xlfn.XLOOKUP(Posts1116[[#This Row],[Campaign_Name]],Campaign_Metadata[Campaign_Name],Campaign_Metadata[Objective])</f>
        <v>Product Awareness</v>
      </c>
      <c r="P30" t="str">
        <f>IF(AND(Posts1116[[#This Row],[Date]]&gt;=DATE(2024,6,15), Posts1116[[#This Row],[Date]]&lt;=DATE(2024,7,15)),"During", "Before")</f>
        <v>Before</v>
      </c>
    </row>
    <row r="31" spans="1:16">
      <c r="A31" s="11" t="s">
        <v>333</v>
      </c>
      <c r="B31" s="6" t="s">
        <v>49</v>
      </c>
      <c r="C31" s="12">
        <v>45592</v>
      </c>
      <c r="D31" s="6" t="s">
        <v>61</v>
      </c>
      <c r="E31" s="6" t="s">
        <v>153</v>
      </c>
      <c r="F31" s="6">
        <v>4853</v>
      </c>
      <c r="G31" s="6">
        <v>837</v>
      </c>
      <c r="H31" s="6">
        <v>340</v>
      </c>
      <c r="I31" s="6">
        <v>72795</v>
      </c>
      <c r="J31" s="6">
        <v>72237</v>
      </c>
      <c r="K31" s="6">
        <v>170</v>
      </c>
      <c r="L31" s="6" t="s">
        <v>52</v>
      </c>
      <c r="M31" s="6" t="s">
        <v>7</v>
      </c>
      <c r="N31" s="14">
        <f>(Posts1116[[#This Row],[Likes]]+Posts1116[[#This Row],[Shares]]+Posts1116[[#This Row],[Comments]])/Posts1116[[#This Row],[Impressions]]</f>
        <v>8.2835359571399134E-2</v>
      </c>
      <c r="O31" t="str">
        <f>_xlfn.XLOOKUP(Posts1116[[#This Row],[Campaign_Name]],Campaign_Metadata[Campaign_Name],Campaign_Metadata[Objective])</f>
        <v>Product Awareness</v>
      </c>
      <c r="P31" t="str">
        <f>IF(AND(Posts1116[[#This Row],[Date]]&gt;=DATE(2024,6,15), Posts1116[[#This Row],[Date]]&lt;=DATE(2024,7,15)),"During", "Before")</f>
        <v>Before</v>
      </c>
    </row>
    <row r="32" spans="1:16">
      <c r="A32" s="9" t="s">
        <v>211</v>
      </c>
      <c r="B32" s="5" t="s">
        <v>46</v>
      </c>
      <c r="C32" s="10">
        <v>45594</v>
      </c>
      <c r="D32" s="5" t="s">
        <v>41</v>
      </c>
      <c r="E32" s="5" t="s">
        <v>92</v>
      </c>
      <c r="F32" s="5">
        <v>2746</v>
      </c>
      <c r="G32" s="5">
        <v>156</v>
      </c>
      <c r="H32" s="5">
        <v>203</v>
      </c>
      <c r="I32" s="5">
        <v>32952</v>
      </c>
      <c r="J32" s="5">
        <v>32147</v>
      </c>
      <c r="K32" s="5">
        <v>147</v>
      </c>
      <c r="L32" s="5" t="s">
        <v>52</v>
      </c>
      <c r="M32" s="5" t="s">
        <v>7</v>
      </c>
      <c r="N32" s="13">
        <f>(Posts1116[[#This Row],[Likes]]+Posts1116[[#This Row],[Shares]]+Posts1116[[#This Row],[Comments]])/Posts1116[[#This Row],[Impressions]]</f>
        <v>9.422796795338674E-2</v>
      </c>
      <c r="O32" t="str">
        <f>_xlfn.XLOOKUP(Posts1116[[#This Row],[Campaign_Name]],Campaign_Metadata[Campaign_Name],Campaign_Metadata[Objective])</f>
        <v>Product Awareness</v>
      </c>
      <c r="P32" t="str">
        <f>IF(AND(Posts1116[[#This Row],[Date]]&gt;=DATE(2024,6,15), Posts1116[[#This Row],[Date]]&lt;=DATE(2024,7,15)),"During", "Before")</f>
        <v>Before</v>
      </c>
    </row>
    <row r="33" spans="1:16">
      <c r="A33" s="9" t="s">
        <v>112</v>
      </c>
      <c r="B33" s="5" t="s">
        <v>55</v>
      </c>
      <c r="C33" s="10">
        <v>45597</v>
      </c>
      <c r="D33" s="5" t="s">
        <v>75</v>
      </c>
      <c r="E33" s="5" t="s">
        <v>76</v>
      </c>
      <c r="F33" s="5">
        <v>3371</v>
      </c>
      <c r="G33" s="5">
        <v>106</v>
      </c>
      <c r="H33" s="5">
        <v>327</v>
      </c>
      <c r="I33" s="5">
        <v>50565</v>
      </c>
      <c r="J33" s="5">
        <v>49816</v>
      </c>
      <c r="K33" s="5">
        <v>176</v>
      </c>
      <c r="L33" s="5" t="s">
        <v>38</v>
      </c>
      <c r="M33" s="5" t="s">
        <v>7</v>
      </c>
      <c r="N33" s="13">
        <f>(Posts1116[[#This Row],[Likes]]+Posts1116[[#This Row],[Shares]]+Posts1116[[#This Row],[Comments]])/Posts1116[[#This Row],[Impressions]]</f>
        <v>7.5229902106199939E-2</v>
      </c>
      <c r="O33" t="str">
        <f>_xlfn.XLOOKUP(Posts1116[[#This Row],[Campaign_Name]],Campaign_Metadata[Campaign_Name],Campaign_Metadata[Objective])</f>
        <v>Product Awareness</v>
      </c>
      <c r="P33" t="str">
        <f>IF(AND(Posts1116[[#This Row],[Date]]&gt;=DATE(2024,6,15), Posts1116[[#This Row],[Date]]&lt;=DATE(2024,7,15)),"During", "Before")</f>
        <v>Before</v>
      </c>
    </row>
    <row r="34" spans="1:16">
      <c r="A34" s="9" t="s">
        <v>240</v>
      </c>
      <c r="B34" s="5" t="s">
        <v>55</v>
      </c>
      <c r="C34" s="10">
        <v>45608</v>
      </c>
      <c r="D34" s="5" t="s">
        <v>41</v>
      </c>
      <c r="E34" s="5" t="s">
        <v>64</v>
      </c>
      <c r="F34" s="5">
        <v>2418</v>
      </c>
      <c r="G34" s="5">
        <v>754</v>
      </c>
      <c r="H34" s="5">
        <v>54</v>
      </c>
      <c r="I34" s="5">
        <v>43524</v>
      </c>
      <c r="J34" s="5">
        <v>42743</v>
      </c>
      <c r="K34" s="5">
        <v>182</v>
      </c>
      <c r="L34" s="5" t="s">
        <v>52</v>
      </c>
      <c r="M34" s="5" t="s">
        <v>7</v>
      </c>
      <c r="N34" s="13">
        <f>(Posts1116[[#This Row],[Likes]]+Posts1116[[#This Row],[Shares]]+Posts1116[[#This Row],[Comments]])/Posts1116[[#This Row],[Impressions]]</f>
        <v>7.412002573292896E-2</v>
      </c>
      <c r="O34" t="str">
        <f>_xlfn.XLOOKUP(Posts1116[[#This Row],[Campaign_Name]],Campaign_Metadata[Campaign_Name],Campaign_Metadata[Objective])</f>
        <v>Product Awareness</v>
      </c>
      <c r="P34" t="str">
        <f>IF(AND(Posts1116[[#This Row],[Date]]&gt;=DATE(2024,6,15), Posts1116[[#This Row],[Date]]&lt;=DATE(2024,7,15)),"During", "Before")</f>
        <v>Before</v>
      </c>
    </row>
    <row r="35" spans="1:16">
      <c r="A35" s="9" t="s">
        <v>186</v>
      </c>
      <c r="B35" s="5" t="s">
        <v>35</v>
      </c>
      <c r="C35" s="10">
        <v>45610</v>
      </c>
      <c r="D35" s="5" t="s">
        <v>50</v>
      </c>
      <c r="E35" s="5" t="s">
        <v>117</v>
      </c>
      <c r="F35" s="5">
        <v>4000</v>
      </c>
      <c r="G35" s="5">
        <v>689</v>
      </c>
      <c r="H35" s="5">
        <v>488</v>
      </c>
      <c r="I35" s="5">
        <v>40000</v>
      </c>
      <c r="J35" s="5">
        <v>39569</v>
      </c>
      <c r="K35" s="5">
        <v>44</v>
      </c>
      <c r="L35" s="5" t="s">
        <v>38</v>
      </c>
      <c r="M35" s="5" t="s">
        <v>7</v>
      </c>
      <c r="N35" s="13">
        <f>(Posts1116[[#This Row],[Likes]]+Posts1116[[#This Row],[Shares]]+Posts1116[[#This Row],[Comments]])/Posts1116[[#This Row],[Impressions]]</f>
        <v>0.12942500000000001</v>
      </c>
      <c r="O35" t="str">
        <f>_xlfn.XLOOKUP(Posts1116[[#This Row],[Campaign_Name]],Campaign_Metadata[Campaign_Name],Campaign_Metadata[Objective])</f>
        <v>Product Awareness</v>
      </c>
      <c r="P35" t="str">
        <f>IF(AND(Posts1116[[#This Row],[Date]]&gt;=DATE(2024,6,15), Posts1116[[#This Row],[Date]]&lt;=DATE(2024,7,15)),"During", "Before")</f>
        <v>Before</v>
      </c>
    </row>
    <row r="36" spans="1:16">
      <c r="A36" s="11" t="s">
        <v>70</v>
      </c>
      <c r="B36" s="6" t="s">
        <v>46</v>
      </c>
      <c r="C36" s="12">
        <v>45614</v>
      </c>
      <c r="D36" s="6" t="s">
        <v>56</v>
      </c>
      <c r="E36" s="6" t="s">
        <v>71</v>
      </c>
      <c r="F36" s="6">
        <v>1171</v>
      </c>
      <c r="G36" s="6">
        <v>286</v>
      </c>
      <c r="H36" s="6">
        <v>231</v>
      </c>
      <c r="I36" s="6">
        <v>22249</v>
      </c>
      <c r="J36" s="6">
        <v>21282</v>
      </c>
      <c r="K36" s="6">
        <v>114</v>
      </c>
      <c r="L36" s="6" t="s">
        <v>52</v>
      </c>
      <c r="M36" s="6" t="s">
        <v>7</v>
      </c>
      <c r="N36" s="14">
        <f>(Posts1116[[#This Row],[Likes]]+Posts1116[[#This Row],[Shares]]+Posts1116[[#This Row],[Comments]])/Posts1116[[#This Row],[Impressions]]</f>
        <v>7.5868578363072495E-2</v>
      </c>
      <c r="O36" t="str">
        <f>_xlfn.XLOOKUP(Posts1116[[#This Row],[Campaign_Name]],Campaign_Metadata[Campaign_Name],Campaign_Metadata[Objective])</f>
        <v>Product Awareness</v>
      </c>
      <c r="P36" t="str">
        <f>IF(AND(Posts1116[[#This Row],[Date]]&gt;=DATE(2024,6,15), Posts1116[[#This Row],[Date]]&lt;=DATE(2024,7,15)),"During", "Before")</f>
        <v>Before</v>
      </c>
    </row>
    <row r="37" spans="1:16">
      <c r="A37" s="11" t="s">
        <v>275</v>
      </c>
      <c r="B37" s="6" t="s">
        <v>49</v>
      </c>
      <c r="C37" s="12">
        <v>45617</v>
      </c>
      <c r="D37" s="6" t="s">
        <v>56</v>
      </c>
      <c r="E37" s="6" t="s">
        <v>84</v>
      </c>
      <c r="F37" s="6">
        <v>3773</v>
      </c>
      <c r="G37" s="6">
        <v>299</v>
      </c>
      <c r="H37" s="6">
        <v>38</v>
      </c>
      <c r="I37" s="6">
        <v>71687</v>
      </c>
      <c r="J37" s="6">
        <v>71447</v>
      </c>
      <c r="K37" s="6">
        <v>286</v>
      </c>
      <c r="L37" s="6" t="s">
        <v>38</v>
      </c>
      <c r="M37" s="6" t="s">
        <v>7</v>
      </c>
      <c r="N37" s="14">
        <f>(Posts1116[[#This Row],[Likes]]+Posts1116[[#This Row],[Shares]]+Posts1116[[#This Row],[Comments]])/Posts1116[[#This Row],[Impressions]]</f>
        <v>5.7332570758993957E-2</v>
      </c>
      <c r="O37" t="str">
        <f>_xlfn.XLOOKUP(Posts1116[[#This Row],[Campaign_Name]],Campaign_Metadata[Campaign_Name],Campaign_Metadata[Objective])</f>
        <v>Product Awareness</v>
      </c>
      <c r="P37" t="str">
        <f>IF(AND(Posts1116[[#This Row],[Date]]&gt;=DATE(2024,6,15), Posts1116[[#This Row],[Date]]&lt;=DATE(2024,7,15)),"During", "Before")</f>
        <v>Before</v>
      </c>
    </row>
    <row r="38" spans="1:16">
      <c r="A38" s="11" t="s">
        <v>241</v>
      </c>
      <c r="B38" s="6" t="s">
        <v>46</v>
      </c>
      <c r="C38" s="12">
        <v>45629</v>
      </c>
      <c r="D38" s="6" t="s">
        <v>75</v>
      </c>
      <c r="E38" s="6" t="s">
        <v>155</v>
      </c>
      <c r="F38" s="6">
        <v>3809</v>
      </c>
      <c r="G38" s="6">
        <v>273</v>
      </c>
      <c r="H38" s="6">
        <v>200</v>
      </c>
      <c r="I38" s="6">
        <v>34281</v>
      </c>
      <c r="J38" s="6">
        <v>33534</v>
      </c>
      <c r="K38" s="6">
        <v>83</v>
      </c>
      <c r="L38" s="6" t="s">
        <v>52</v>
      </c>
      <c r="M38" s="6" t="s">
        <v>7</v>
      </c>
      <c r="N38" s="14">
        <f>(Posts1116[[#This Row],[Likes]]+Posts1116[[#This Row],[Shares]]+Posts1116[[#This Row],[Comments]])/Posts1116[[#This Row],[Impressions]]</f>
        <v>0.12490884163239112</v>
      </c>
      <c r="O38" t="str">
        <f>_xlfn.XLOOKUP(Posts1116[[#This Row],[Campaign_Name]],Campaign_Metadata[Campaign_Name],Campaign_Metadata[Objective])</f>
        <v>Product Awareness</v>
      </c>
      <c r="P38" t="str">
        <f>IF(AND(Posts1116[[#This Row],[Date]]&gt;=DATE(2024,6,15), Posts1116[[#This Row],[Date]]&lt;=DATE(2024,7,15)),"During", "Before")</f>
        <v>Before</v>
      </c>
    </row>
    <row r="39" spans="1:16">
      <c r="A39" s="9" t="s">
        <v>252</v>
      </c>
      <c r="B39" s="5" t="s">
        <v>46</v>
      </c>
      <c r="C39" s="10">
        <v>45629</v>
      </c>
      <c r="D39" s="5" t="s">
        <v>41</v>
      </c>
      <c r="E39" s="5" t="s">
        <v>92</v>
      </c>
      <c r="F39" s="5">
        <v>3711</v>
      </c>
      <c r="G39" s="5">
        <v>352</v>
      </c>
      <c r="H39" s="5">
        <v>290</v>
      </c>
      <c r="I39" s="5">
        <v>48243</v>
      </c>
      <c r="J39" s="5">
        <v>47579</v>
      </c>
      <c r="K39" s="5">
        <v>11</v>
      </c>
      <c r="L39" s="5" t="s">
        <v>43</v>
      </c>
      <c r="M39" s="5" t="s">
        <v>7</v>
      </c>
      <c r="N39" s="13">
        <f>(Posts1116[[#This Row],[Likes]]+Posts1116[[#This Row],[Shares]]+Posts1116[[#This Row],[Comments]])/Posts1116[[#This Row],[Impressions]]</f>
        <v>9.023070704558174E-2</v>
      </c>
      <c r="O39" t="str">
        <f>_xlfn.XLOOKUP(Posts1116[[#This Row],[Campaign_Name]],Campaign_Metadata[Campaign_Name],Campaign_Metadata[Objective])</f>
        <v>Product Awareness</v>
      </c>
      <c r="P39" t="str">
        <f>IF(AND(Posts1116[[#This Row],[Date]]&gt;=DATE(2024,6,15), Posts1116[[#This Row],[Date]]&lt;=DATE(2024,7,15)),"During", "Before")</f>
        <v>Before</v>
      </c>
    </row>
    <row r="40" spans="1:16">
      <c r="A40" s="9" t="s">
        <v>34</v>
      </c>
      <c r="B40" s="5" t="s">
        <v>35</v>
      </c>
      <c r="C40" s="10">
        <v>45649</v>
      </c>
      <c r="D40" s="5" t="s">
        <v>36</v>
      </c>
      <c r="E40" s="5" t="s">
        <v>37</v>
      </c>
      <c r="F40" s="5">
        <v>1461</v>
      </c>
      <c r="G40" s="5">
        <v>184</v>
      </c>
      <c r="H40" s="5">
        <v>344</v>
      </c>
      <c r="I40" s="5">
        <v>21915</v>
      </c>
      <c r="J40" s="5">
        <v>21675</v>
      </c>
      <c r="K40" s="5">
        <v>15</v>
      </c>
      <c r="L40" s="5" t="s">
        <v>38</v>
      </c>
      <c r="M40" s="5" t="s">
        <v>7</v>
      </c>
      <c r="N40" s="13">
        <f>(Posts1116[[#This Row],[Likes]]+Posts1116[[#This Row],[Shares]]+Posts1116[[#This Row],[Comments]])/Posts1116[[#This Row],[Impressions]]</f>
        <v>9.0759753593429152E-2</v>
      </c>
      <c r="O40" t="str">
        <f>_xlfn.XLOOKUP(Posts1116[[#This Row],[Campaign_Name]],Campaign_Metadata[Campaign_Name],Campaign_Metadata[Objective])</f>
        <v>Product Awareness</v>
      </c>
      <c r="P40" t="str">
        <f>IF(AND(Posts1116[[#This Row],[Date]]&gt;=DATE(2024,6,15), Posts1116[[#This Row],[Date]]&lt;=DATE(2024,7,15)),"During", "Before")</f>
        <v>Before</v>
      </c>
    </row>
    <row r="41" spans="1:16">
      <c r="A41" s="11" t="s">
        <v>34</v>
      </c>
      <c r="B41" s="6" t="s">
        <v>35</v>
      </c>
      <c r="C41" s="12">
        <v>45649</v>
      </c>
      <c r="D41" s="6" t="s">
        <v>36</v>
      </c>
      <c r="E41" s="6" t="s">
        <v>37</v>
      </c>
      <c r="F41" s="6">
        <v>1461</v>
      </c>
      <c r="G41" s="6">
        <v>184</v>
      </c>
      <c r="H41" s="6">
        <v>344</v>
      </c>
      <c r="I41" s="6">
        <v>21915</v>
      </c>
      <c r="J41" s="6">
        <v>21675</v>
      </c>
      <c r="K41" s="6">
        <v>15</v>
      </c>
      <c r="L41" s="6" t="s">
        <v>39</v>
      </c>
      <c r="M41" s="6" t="s">
        <v>7</v>
      </c>
      <c r="N41" s="14">
        <f>(Posts1116[[#This Row],[Likes]]+Posts1116[[#This Row],[Shares]]+Posts1116[[#This Row],[Comments]])/Posts1116[[#This Row],[Impressions]]</f>
        <v>9.0759753593429152E-2</v>
      </c>
      <c r="O41" t="str">
        <f>_xlfn.XLOOKUP(Posts1116[[#This Row],[Campaign_Name]],Campaign_Metadata[Campaign_Name],Campaign_Metadata[Objective])</f>
        <v>Product Awareness</v>
      </c>
      <c r="P41" t="str">
        <f>IF(AND(Posts1116[[#This Row],[Date]]&gt;=DATE(2024,6,15), Posts1116[[#This Row],[Date]]&lt;=DATE(2024,7,15)),"During", "Before")</f>
        <v>Before</v>
      </c>
    </row>
    <row r="42" spans="1:16">
      <c r="A42" s="11" t="s">
        <v>317</v>
      </c>
      <c r="B42" s="6" t="s">
        <v>55</v>
      </c>
      <c r="C42" s="12">
        <v>45669</v>
      </c>
      <c r="D42" s="6" t="s">
        <v>36</v>
      </c>
      <c r="E42" s="6" t="s">
        <v>69</v>
      </c>
      <c r="F42" s="6">
        <v>4134</v>
      </c>
      <c r="G42" s="6">
        <v>824</v>
      </c>
      <c r="H42" s="6">
        <v>99</v>
      </c>
      <c r="I42" s="6">
        <v>41340</v>
      </c>
      <c r="J42" s="6">
        <v>41050</v>
      </c>
      <c r="K42" s="6">
        <v>177</v>
      </c>
      <c r="L42" s="6" t="s">
        <v>52</v>
      </c>
      <c r="M42" s="6" t="s">
        <v>7</v>
      </c>
      <c r="N42" s="14">
        <f>(Posts1116[[#This Row],[Likes]]+Posts1116[[#This Row],[Shares]]+Posts1116[[#This Row],[Comments]])/Posts1116[[#This Row],[Impressions]]</f>
        <v>0.12232704402515723</v>
      </c>
      <c r="O42" t="str">
        <f>_xlfn.XLOOKUP(Posts1116[[#This Row],[Campaign_Name]],Campaign_Metadata[Campaign_Name],Campaign_Metadata[Objective])</f>
        <v>Product Awareness</v>
      </c>
      <c r="P42" t="str">
        <f>IF(AND(Posts1116[[#This Row],[Date]]&gt;=DATE(2024,6,15), Posts1116[[#This Row],[Date]]&lt;=DATE(2024,7,15)),"During", "Before")</f>
        <v>Before</v>
      </c>
    </row>
    <row r="43" spans="1:16">
      <c r="A43" s="11" t="s">
        <v>273</v>
      </c>
      <c r="B43" s="6" t="s">
        <v>35</v>
      </c>
      <c r="C43" s="12">
        <v>45672</v>
      </c>
      <c r="D43" s="6" t="s">
        <v>36</v>
      </c>
      <c r="E43" s="6" t="s">
        <v>37</v>
      </c>
      <c r="F43" s="6">
        <v>802</v>
      </c>
      <c r="G43" s="6">
        <v>262</v>
      </c>
      <c r="H43" s="6">
        <v>244</v>
      </c>
      <c r="I43" s="6">
        <v>14436</v>
      </c>
      <c r="J43" s="6">
        <v>14280</v>
      </c>
      <c r="K43" s="6">
        <v>49</v>
      </c>
      <c r="L43" s="6" t="s">
        <v>52</v>
      </c>
      <c r="M43" s="6" t="s">
        <v>7</v>
      </c>
      <c r="N43" s="14">
        <f>(Posts1116[[#This Row],[Likes]]+Posts1116[[#This Row],[Shares]]+Posts1116[[#This Row],[Comments]])/Posts1116[[#This Row],[Impressions]]</f>
        <v>9.0606816292601824E-2</v>
      </c>
      <c r="O43" t="str">
        <f>_xlfn.XLOOKUP(Posts1116[[#This Row],[Campaign_Name]],Campaign_Metadata[Campaign_Name],Campaign_Metadata[Objective])</f>
        <v>Product Awareness</v>
      </c>
      <c r="P43" t="str">
        <f>IF(AND(Posts1116[[#This Row],[Date]]&gt;=DATE(2024,6,15), Posts1116[[#This Row],[Date]]&lt;=DATE(2024,7,15)),"During", "Before")</f>
        <v>Before</v>
      </c>
    </row>
    <row r="44" spans="1:16">
      <c r="A44" s="11" t="s">
        <v>331</v>
      </c>
      <c r="B44" s="6" t="s">
        <v>55</v>
      </c>
      <c r="C44" s="12">
        <v>45698</v>
      </c>
      <c r="D44" s="6" t="s">
        <v>41</v>
      </c>
      <c r="E44" s="6" t="s">
        <v>64</v>
      </c>
      <c r="F44" s="6">
        <v>562</v>
      </c>
      <c r="G44" s="6">
        <v>158</v>
      </c>
      <c r="H44" s="6">
        <v>149</v>
      </c>
      <c r="I44" s="6">
        <v>3372</v>
      </c>
      <c r="J44" s="6">
        <v>2940</v>
      </c>
      <c r="K44" s="6">
        <v>93</v>
      </c>
      <c r="L44" s="6" t="s">
        <v>43</v>
      </c>
      <c r="M44" s="6" t="s">
        <v>7</v>
      </c>
      <c r="N44" s="14">
        <f>(Posts1116[[#This Row],[Likes]]+Posts1116[[#This Row],[Shares]]+Posts1116[[#This Row],[Comments]])/Posts1116[[#This Row],[Impressions]]</f>
        <v>0.25771055753262156</v>
      </c>
      <c r="O44" t="str">
        <f>_xlfn.XLOOKUP(Posts1116[[#This Row],[Campaign_Name]],Campaign_Metadata[Campaign_Name],Campaign_Metadata[Objective])</f>
        <v>Product Awareness</v>
      </c>
      <c r="P44" t="str">
        <f>IF(AND(Posts1116[[#This Row],[Date]]&gt;=DATE(2024,6,15), Posts1116[[#This Row],[Date]]&lt;=DATE(2024,7,15)),"During", "Before")</f>
        <v>Before</v>
      </c>
    </row>
    <row r="45" spans="1:16">
      <c r="A45" s="9" t="s">
        <v>238</v>
      </c>
      <c r="B45" s="5" t="s">
        <v>35</v>
      </c>
      <c r="C45" s="10">
        <v>45704</v>
      </c>
      <c r="D45" s="5" t="s">
        <v>36</v>
      </c>
      <c r="E45" s="5" t="s">
        <v>37</v>
      </c>
      <c r="F45" s="5">
        <v>1076</v>
      </c>
      <c r="G45" s="5">
        <v>313</v>
      </c>
      <c r="H45" s="5">
        <v>306</v>
      </c>
      <c r="I45" s="5">
        <v>11836</v>
      </c>
      <c r="J45" s="5">
        <v>11596</v>
      </c>
      <c r="K45" s="5">
        <v>104</v>
      </c>
      <c r="L45" s="5" t="s">
        <v>38</v>
      </c>
      <c r="M45" s="5" t="s">
        <v>7</v>
      </c>
      <c r="N45" s="13">
        <f>(Posts1116[[#This Row],[Likes]]+Posts1116[[#This Row],[Shares]]+Posts1116[[#This Row],[Comments]])/Posts1116[[#This Row],[Impressions]]</f>
        <v>0.14320716458262928</v>
      </c>
      <c r="O45" t="str">
        <f>_xlfn.XLOOKUP(Posts1116[[#This Row],[Campaign_Name]],Campaign_Metadata[Campaign_Name],Campaign_Metadata[Objective])</f>
        <v>Product Awareness</v>
      </c>
      <c r="P45" t="str">
        <f>IF(AND(Posts1116[[#This Row],[Date]]&gt;=DATE(2024,6,15), Posts1116[[#This Row],[Date]]&lt;=DATE(2024,7,15)),"During", "Before")</f>
        <v>Before</v>
      </c>
    </row>
    <row r="46" spans="1:16">
      <c r="A46" s="11" t="s">
        <v>282</v>
      </c>
      <c r="B46" s="6" t="s">
        <v>46</v>
      </c>
      <c r="C46" s="12">
        <v>45707</v>
      </c>
      <c r="D46" s="6" t="s">
        <v>61</v>
      </c>
      <c r="E46" s="6" t="s">
        <v>62</v>
      </c>
      <c r="F46" s="6">
        <v>257</v>
      </c>
      <c r="G46" s="6">
        <v>966</v>
      </c>
      <c r="H46" s="6">
        <v>398</v>
      </c>
      <c r="I46" s="6">
        <v>3341</v>
      </c>
      <c r="J46" s="6">
        <v>2753</v>
      </c>
      <c r="K46" s="6">
        <v>287</v>
      </c>
      <c r="L46" s="6" t="s">
        <v>38</v>
      </c>
      <c r="M46" s="6" t="s">
        <v>7</v>
      </c>
      <c r="N46" s="14">
        <f>(Posts1116[[#This Row],[Likes]]+Posts1116[[#This Row],[Shares]]+Posts1116[[#This Row],[Comments]])/Posts1116[[#This Row],[Impressions]]</f>
        <v>0.48518407662376534</v>
      </c>
      <c r="O46" t="str">
        <f>_xlfn.XLOOKUP(Posts1116[[#This Row],[Campaign_Name]],Campaign_Metadata[Campaign_Name],Campaign_Metadata[Objective])</f>
        <v>Product Awareness</v>
      </c>
      <c r="P46" t="str">
        <f>IF(AND(Posts1116[[#This Row],[Date]]&gt;=DATE(2024,6,15), Posts1116[[#This Row],[Date]]&lt;=DATE(2024,7,15)),"During", "Before")</f>
        <v>Before</v>
      </c>
    </row>
    <row r="47" spans="1:16">
      <c r="A47" s="11" t="s">
        <v>261</v>
      </c>
      <c r="B47" s="6" t="s">
        <v>55</v>
      </c>
      <c r="C47" s="12">
        <v>45740</v>
      </c>
      <c r="D47" s="6" t="s">
        <v>36</v>
      </c>
      <c r="E47" s="6" t="s">
        <v>69</v>
      </c>
      <c r="F47" s="6">
        <v>3360</v>
      </c>
      <c r="G47" s="6">
        <v>525</v>
      </c>
      <c r="H47" s="6">
        <v>500</v>
      </c>
      <c r="I47" s="6">
        <v>60480</v>
      </c>
      <c r="J47" s="6">
        <v>59610</v>
      </c>
      <c r="K47" s="6">
        <v>192</v>
      </c>
      <c r="L47" s="6" t="s">
        <v>43</v>
      </c>
      <c r="M47" s="6" t="s">
        <v>7</v>
      </c>
      <c r="N47" s="14">
        <f>(Posts1116[[#This Row],[Likes]]+Posts1116[[#This Row],[Shares]]+Posts1116[[#This Row],[Comments]])/Posts1116[[#This Row],[Impressions]]</f>
        <v>7.2503306878306875E-2</v>
      </c>
      <c r="O47" t="str">
        <f>_xlfn.XLOOKUP(Posts1116[[#This Row],[Campaign_Name]],Campaign_Metadata[Campaign_Name],Campaign_Metadata[Objective])</f>
        <v>Product Awareness</v>
      </c>
      <c r="P47" t="str">
        <f>IF(AND(Posts1116[[#This Row],[Date]]&gt;=DATE(2024,6,15), Posts1116[[#This Row],[Date]]&lt;=DATE(2024,7,15)),"During", "Before")</f>
        <v>Before</v>
      </c>
    </row>
    <row r="48" spans="1:16">
      <c r="A48" s="11" t="s">
        <v>196</v>
      </c>
      <c r="B48" s="6" t="s">
        <v>46</v>
      </c>
      <c r="C48" s="12">
        <v>45753</v>
      </c>
      <c r="D48" s="6" t="s">
        <v>56</v>
      </c>
      <c r="E48" s="6" t="s">
        <v>71</v>
      </c>
      <c r="F48" s="6">
        <v>736</v>
      </c>
      <c r="G48" s="6">
        <v>771</v>
      </c>
      <c r="H48" s="6">
        <v>225</v>
      </c>
      <c r="I48" s="6">
        <v>5152</v>
      </c>
      <c r="J48" s="6">
        <v>4706</v>
      </c>
      <c r="K48" s="6">
        <v>19</v>
      </c>
      <c r="L48" s="6" t="s">
        <v>52</v>
      </c>
      <c r="M48" s="6" t="s">
        <v>7</v>
      </c>
      <c r="N48" s="14">
        <f>(Posts1116[[#This Row],[Likes]]+Posts1116[[#This Row],[Shares]]+Posts1116[[#This Row],[Comments]])/Posts1116[[#This Row],[Impressions]]</f>
        <v>0.33618012422360249</v>
      </c>
      <c r="O48" t="str">
        <f>_xlfn.XLOOKUP(Posts1116[[#This Row],[Campaign_Name]],Campaign_Metadata[Campaign_Name],Campaign_Metadata[Objective])</f>
        <v>Product Awareness</v>
      </c>
      <c r="P48" t="str">
        <f>IF(AND(Posts1116[[#This Row],[Date]]&gt;=DATE(2024,6,15), Posts1116[[#This Row],[Date]]&lt;=DATE(2024,7,15)),"During", "Before")</f>
        <v>Before</v>
      </c>
    </row>
    <row r="49" spans="1:16">
      <c r="A49" s="11" t="s">
        <v>349</v>
      </c>
      <c r="B49" s="6" t="s">
        <v>55</v>
      </c>
      <c r="C49" s="12">
        <v>45753</v>
      </c>
      <c r="D49" s="6" t="s">
        <v>61</v>
      </c>
      <c r="E49" s="6" t="s">
        <v>66</v>
      </c>
      <c r="F49" s="6">
        <v>4236</v>
      </c>
      <c r="G49" s="6">
        <v>711</v>
      </c>
      <c r="H49" s="6">
        <v>298</v>
      </c>
      <c r="I49" s="6">
        <v>21180</v>
      </c>
      <c r="J49" s="6">
        <v>20516</v>
      </c>
      <c r="K49" s="6">
        <v>238</v>
      </c>
      <c r="L49" s="6" t="s">
        <v>38</v>
      </c>
      <c r="M49" s="6" t="s">
        <v>7</v>
      </c>
      <c r="N49" s="14">
        <f>(Posts1116[[#This Row],[Likes]]+Posts1116[[#This Row],[Shares]]+Posts1116[[#This Row],[Comments]])/Posts1116[[#This Row],[Impressions]]</f>
        <v>0.24763928234183191</v>
      </c>
      <c r="O49" t="str">
        <f>_xlfn.XLOOKUP(Posts1116[[#This Row],[Campaign_Name]],Campaign_Metadata[Campaign_Name],Campaign_Metadata[Objective])</f>
        <v>Product Awareness</v>
      </c>
      <c r="P49" t="str">
        <f>IF(AND(Posts1116[[#This Row],[Date]]&gt;=DATE(2024,6,15), Posts1116[[#This Row],[Date]]&lt;=DATE(2024,7,15)),"During", "Before")</f>
        <v>Before</v>
      </c>
    </row>
    <row r="50" spans="1:16">
      <c r="A50" s="9" t="s">
        <v>340</v>
      </c>
      <c r="B50" s="5" t="s">
        <v>49</v>
      </c>
      <c r="C50" s="10">
        <v>45760</v>
      </c>
      <c r="D50" s="5" t="s">
        <v>36</v>
      </c>
      <c r="E50" s="5" t="s">
        <v>80</v>
      </c>
      <c r="F50" s="5">
        <v>4579</v>
      </c>
      <c r="G50" s="5">
        <v>125</v>
      </c>
      <c r="H50" s="5">
        <v>300</v>
      </c>
      <c r="I50" s="5">
        <v>59527</v>
      </c>
      <c r="J50" s="5">
        <v>59400</v>
      </c>
      <c r="K50" s="5">
        <v>269</v>
      </c>
      <c r="L50" s="5" t="s">
        <v>52</v>
      </c>
      <c r="M50" s="5" t="s">
        <v>7</v>
      </c>
      <c r="N50" s="13">
        <f>(Posts1116[[#This Row],[Likes]]+Posts1116[[#This Row],[Shares]]+Posts1116[[#This Row],[Comments]])/Posts1116[[#This Row],[Impressions]]</f>
        <v>8.4062694239588759E-2</v>
      </c>
      <c r="O50" t="str">
        <f>_xlfn.XLOOKUP(Posts1116[[#This Row],[Campaign_Name]],Campaign_Metadata[Campaign_Name],Campaign_Metadata[Objective])</f>
        <v>Product Awareness</v>
      </c>
      <c r="P50" t="str">
        <f>IF(AND(Posts1116[[#This Row],[Date]]&gt;=DATE(2024,6,15), Posts1116[[#This Row],[Date]]&lt;=DATE(2024,7,15)),"During", "Before")</f>
        <v>Before</v>
      </c>
    </row>
    <row r="51" spans="1:16">
      <c r="A51" s="11" t="s">
        <v>157</v>
      </c>
      <c r="B51" s="6" t="s">
        <v>49</v>
      </c>
      <c r="C51" s="12">
        <v>45766</v>
      </c>
      <c r="D51" s="6" t="s">
        <v>61</v>
      </c>
      <c r="E51" s="6" t="s">
        <v>153</v>
      </c>
      <c r="F51" s="6">
        <v>4177</v>
      </c>
      <c r="G51" s="6">
        <v>569</v>
      </c>
      <c r="H51" s="6">
        <v>55</v>
      </c>
      <c r="I51" s="6">
        <v>25062</v>
      </c>
      <c r="J51" s="6">
        <v>24847</v>
      </c>
      <c r="K51" s="6">
        <v>230</v>
      </c>
      <c r="L51" s="6" t="s">
        <v>38</v>
      </c>
      <c r="M51" s="6" t="s">
        <v>7</v>
      </c>
      <c r="N51" s="14">
        <f>(Posts1116[[#This Row],[Likes]]+Posts1116[[#This Row],[Shares]]+Posts1116[[#This Row],[Comments]])/Posts1116[[#This Row],[Impressions]]</f>
        <v>0.19156491900087783</v>
      </c>
      <c r="O51" t="str">
        <f>_xlfn.XLOOKUP(Posts1116[[#This Row],[Campaign_Name]],Campaign_Metadata[Campaign_Name],Campaign_Metadata[Objective])</f>
        <v>Product Awareness</v>
      </c>
      <c r="P51" t="str">
        <f>IF(AND(Posts1116[[#This Row],[Date]]&gt;=DATE(2024,6,15), Posts1116[[#This Row],[Date]]&lt;=DATE(2024,7,15)),"During", "Before")</f>
        <v>Before</v>
      </c>
    </row>
    <row r="52" spans="1:16">
      <c r="A52" s="11" t="s">
        <v>206</v>
      </c>
      <c r="B52" s="6" t="s">
        <v>35</v>
      </c>
      <c r="C52" s="12">
        <v>45771</v>
      </c>
      <c r="D52" s="6" t="s">
        <v>36</v>
      </c>
      <c r="E52" s="6" t="s">
        <v>37</v>
      </c>
      <c r="F52" s="6">
        <v>3731</v>
      </c>
      <c r="G52" s="6">
        <v>115</v>
      </c>
      <c r="H52" s="6">
        <v>135</v>
      </c>
      <c r="I52" s="6">
        <v>55965</v>
      </c>
      <c r="J52" s="6">
        <v>55436</v>
      </c>
      <c r="K52" s="6">
        <v>103</v>
      </c>
      <c r="L52" s="6" t="s">
        <v>43</v>
      </c>
      <c r="M52" s="6" t="s">
        <v>7</v>
      </c>
      <c r="N52" s="14">
        <f>(Posts1116[[#This Row],[Likes]]+Posts1116[[#This Row],[Shares]]+Posts1116[[#This Row],[Comments]])/Posts1116[[#This Row],[Impressions]]</f>
        <v>7.1133744304476013E-2</v>
      </c>
      <c r="O52" t="str">
        <f>_xlfn.XLOOKUP(Posts1116[[#This Row],[Campaign_Name]],Campaign_Metadata[Campaign_Name],Campaign_Metadata[Objective])</f>
        <v>Product Awareness</v>
      </c>
      <c r="P52" t="str">
        <f>IF(AND(Posts1116[[#This Row],[Date]]&gt;=DATE(2024,6,15), Posts1116[[#This Row],[Date]]&lt;=DATE(2024,7,15)),"During", "Before")</f>
        <v>Before</v>
      </c>
    </row>
    <row r="53" spans="1:16">
      <c r="A53" s="11" t="s">
        <v>303</v>
      </c>
      <c r="B53" s="6" t="s">
        <v>49</v>
      </c>
      <c r="C53" s="12">
        <v>45778</v>
      </c>
      <c r="D53" s="6" t="s">
        <v>41</v>
      </c>
      <c r="E53" s="6" t="s">
        <v>97</v>
      </c>
      <c r="F53" s="6">
        <v>1430</v>
      </c>
      <c r="G53" s="6">
        <v>376</v>
      </c>
      <c r="H53" s="6">
        <v>33</v>
      </c>
      <c r="I53" s="6">
        <v>21450</v>
      </c>
      <c r="J53" s="6">
        <v>20509</v>
      </c>
      <c r="K53" s="6">
        <v>251</v>
      </c>
      <c r="L53" s="6" t="s">
        <v>38</v>
      </c>
      <c r="M53" s="6" t="s">
        <v>7</v>
      </c>
      <c r="N53" s="14">
        <f>(Posts1116[[#This Row],[Likes]]+Posts1116[[#This Row],[Shares]]+Posts1116[[#This Row],[Comments]])/Posts1116[[#This Row],[Impressions]]</f>
        <v>8.5734265734265735E-2</v>
      </c>
      <c r="O53" t="str">
        <f>_xlfn.XLOOKUP(Posts1116[[#This Row],[Campaign_Name]],Campaign_Metadata[Campaign_Name],Campaign_Metadata[Objective])</f>
        <v>Product Awareness</v>
      </c>
      <c r="P53" t="str">
        <f>IF(AND(Posts1116[[#This Row],[Date]]&gt;=DATE(2024,6,15), Posts1116[[#This Row],[Date]]&lt;=DATE(2024,7,15)),"During", "Before")</f>
        <v>Before</v>
      </c>
    </row>
    <row r="54" spans="1:16">
      <c r="A54" s="9" t="s">
        <v>365</v>
      </c>
      <c r="B54" s="5" t="s">
        <v>55</v>
      </c>
      <c r="C54" s="10">
        <v>45791</v>
      </c>
      <c r="D54" s="5" t="s">
        <v>41</v>
      </c>
      <c r="E54" s="5" t="s">
        <v>64</v>
      </c>
      <c r="F54" s="5">
        <v>2634</v>
      </c>
      <c r="G54" s="5">
        <v>726</v>
      </c>
      <c r="H54" s="5">
        <v>241</v>
      </c>
      <c r="I54" s="5">
        <v>28974</v>
      </c>
      <c r="J54" s="5">
        <v>28102</v>
      </c>
      <c r="K54" s="5">
        <v>277</v>
      </c>
      <c r="L54" s="5" t="s">
        <v>52</v>
      </c>
      <c r="M54" s="5" t="s">
        <v>7</v>
      </c>
      <c r="N54" s="13">
        <f>(Posts1116[[#This Row],[Likes]]+Posts1116[[#This Row],[Shares]]+Posts1116[[#This Row],[Comments]])/Posts1116[[#This Row],[Impressions]]</f>
        <v>0.12428384068475185</v>
      </c>
      <c r="O54" t="str">
        <f>_xlfn.XLOOKUP(Posts1116[[#This Row],[Campaign_Name]],Campaign_Metadata[Campaign_Name],Campaign_Metadata[Objective])</f>
        <v>Product Awareness</v>
      </c>
      <c r="P54" t="str">
        <f>IF(AND(Posts1116[[#This Row],[Date]]&gt;=DATE(2024,6,15), Posts1116[[#This Row],[Date]]&lt;=DATE(2024,7,15)),"During", "Before")</f>
        <v>Before</v>
      </c>
    </row>
    <row r="55" spans="1:16">
      <c r="A55" s="9" t="s">
        <v>274</v>
      </c>
      <c r="B55" s="5" t="s">
        <v>55</v>
      </c>
      <c r="C55" s="10">
        <v>45445</v>
      </c>
      <c r="D55" s="5" t="s">
        <v>61</v>
      </c>
      <c r="E55" s="5" t="s">
        <v>66</v>
      </c>
      <c r="F55" s="5">
        <v>1871</v>
      </c>
      <c r="G55" s="5">
        <v>252</v>
      </c>
      <c r="H55" s="5">
        <v>335</v>
      </c>
      <c r="I55" s="5">
        <v>29936</v>
      </c>
      <c r="J55" s="5">
        <v>29576</v>
      </c>
      <c r="K55" s="5">
        <v>288</v>
      </c>
      <c r="L55" s="5" t="s">
        <v>52</v>
      </c>
      <c r="M55" s="5" t="s">
        <v>15</v>
      </c>
      <c r="N55" s="13">
        <f>(Posts1116[[#This Row],[Likes]]+Posts1116[[#This Row],[Shares]]+Posts1116[[#This Row],[Comments]])/Posts1116[[#This Row],[Impressions]]</f>
        <v>8.2108498129342594E-2</v>
      </c>
      <c r="O55" t="str">
        <f>_xlfn.XLOOKUP(Posts1116[[#This Row],[Campaign_Name]],Campaign_Metadata[Campaign_Name],Campaign_Metadata[Objective])</f>
        <v>Vehicle Launch</v>
      </c>
      <c r="P55" t="str">
        <f>IF(AND(Posts1116[[#This Row],[Date]]&gt;=DATE(2024,6,15), Posts1116[[#This Row],[Date]]&lt;=DATE(2024,7,15)),"During", "Before")</f>
        <v>Before</v>
      </c>
    </row>
    <row r="56" spans="1:16">
      <c r="A56" s="9" t="s">
        <v>159</v>
      </c>
      <c r="B56" s="5" t="s">
        <v>35</v>
      </c>
      <c r="C56" s="10">
        <v>45449</v>
      </c>
      <c r="D56" s="5" t="s">
        <v>75</v>
      </c>
      <c r="E56" s="5" t="s">
        <v>114</v>
      </c>
      <c r="F56" s="5">
        <v>1436</v>
      </c>
      <c r="G56" s="5">
        <v>765</v>
      </c>
      <c r="H56" s="5">
        <v>496</v>
      </c>
      <c r="I56" s="5">
        <v>12924</v>
      </c>
      <c r="J56" s="5">
        <v>12701</v>
      </c>
      <c r="K56" s="5">
        <v>197</v>
      </c>
      <c r="L56" s="5" t="s">
        <v>38</v>
      </c>
      <c r="M56" s="5" t="s">
        <v>15</v>
      </c>
      <c r="N56" s="13">
        <f>(Posts1116[[#This Row],[Likes]]+Posts1116[[#This Row],[Shares]]+Posts1116[[#This Row],[Comments]])/Posts1116[[#This Row],[Impressions]]</f>
        <v>0.20868152274837512</v>
      </c>
      <c r="O56" t="str">
        <f>_xlfn.XLOOKUP(Posts1116[[#This Row],[Campaign_Name]],Campaign_Metadata[Campaign_Name],Campaign_Metadata[Objective])</f>
        <v>Vehicle Launch</v>
      </c>
      <c r="P56" t="str">
        <f>IF(AND(Posts1116[[#This Row],[Date]]&gt;=DATE(2024,6,15), Posts1116[[#This Row],[Date]]&lt;=DATE(2024,7,15)),"During", "Before")</f>
        <v>Before</v>
      </c>
    </row>
    <row r="57" spans="1:16">
      <c r="A57" s="11" t="s">
        <v>299</v>
      </c>
      <c r="B57" s="6" t="s">
        <v>49</v>
      </c>
      <c r="C57" s="12">
        <v>45455</v>
      </c>
      <c r="D57" s="6" t="s">
        <v>41</v>
      </c>
      <c r="E57" s="6" t="s">
        <v>97</v>
      </c>
      <c r="F57" s="6">
        <v>246</v>
      </c>
      <c r="G57" s="6">
        <v>149</v>
      </c>
      <c r="H57" s="6">
        <v>130</v>
      </c>
      <c r="I57" s="6">
        <v>4674</v>
      </c>
      <c r="J57" s="6">
        <v>4390</v>
      </c>
      <c r="K57" s="6">
        <v>217</v>
      </c>
      <c r="L57" s="6" t="s">
        <v>38</v>
      </c>
      <c r="M57" s="6" t="s">
        <v>15</v>
      </c>
      <c r="N57" s="14">
        <f>(Posts1116[[#This Row],[Likes]]+Posts1116[[#This Row],[Shares]]+Posts1116[[#This Row],[Comments]])/Posts1116[[#This Row],[Impressions]]</f>
        <v>0.11232349165596919</v>
      </c>
      <c r="O57" t="str">
        <f>_xlfn.XLOOKUP(Posts1116[[#This Row],[Campaign_Name]],Campaign_Metadata[Campaign_Name],Campaign_Metadata[Objective])</f>
        <v>Vehicle Launch</v>
      </c>
      <c r="P57" t="str">
        <f>IF(AND(Posts1116[[#This Row],[Date]]&gt;=DATE(2024,6,15), Posts1116[[#This Row],[Date]]&lt;=DATE(2024,7,15)),"During", "Before")</f>
        <v>Before</v>
      </c>
    </row>
    <row r="58" spans="1:16">
      <c r="A58" s="11" t="s">
        <v>366</v>
      </c>
      <c r="B58" s="6" t="s">
        <v>55</v>
      </c>
      <c r="C58" s="12">
        <v>45462</v>
      </c>
      <c r="D58" s="6" t="s">
        <v>56</v>
      </c>
      <c r="E58" s="6" t="s">
        <v>57</v>
      </c>
      <c r="F58" s="6">
        <v>4731</v>
      </c>
      <c r="G58" s="6">
        <v>173</v>
      </c>
      <c r="H58" s="6">
        <v>276</v>
      </c>
      <c r="I58" s="6">
        <v>28386</v>
      </c>
      <c r="J58" s="6">
        <v>28185</v>
      </c>
      <c r="K58" s="6">
        <v>89</v>
      </c>
      <c r="L58" s="6" t="s">
        <v>52</v>
      </c>
      <c r="M58" s="6" t="s">
        <v>15</v>
      </c>
      <c r="N58" s="14">
        <f>(Posts1116[[#This Row],[Likes]]+Posts1116[[#This Row],[Shares]]+Posts1116[[#This Row],[Comments]])/Posts1116[[#This Row],[Impressions]]</f>
        <v>0.18248432325794406</v>
      </c>
      <c r="O58" t="str">
        <f>_xlfn.XLOOKUP(Posts1116[[#This Row],[Campaign_Name]],Campaign_Metadata[Campaign_Name],Campaign_Metadata[Objective])</f>
        <v>Vehicle Launch</v>
      </c>
      <c r="P58" t="str">
        <f>IF(AND(Posts1116[[#This Row],[Date]]&gt;=DATE(2024,6,15), Posts1116[[#This Row],[Date]]&lt;=DATE(2024,7,15)),"During", "Before")</f>
        <v>During</v>
      </c>
    </row>
    <row r="59" spans="1:16">
      <c r="A59" s="11" t="s">
        <v>171</v>
      </c>
      <c r="B59" s="6" t="s">
        <v>46</v>
      </c>
      <c r="C59" s="12">
        <v>45475</v>
      </c>
      <c r="D59" s="6" t="s">
        <v>56</v>
      </c>
      <c r="E59" s="6" t="s">
        <v>71</v>
      </c>
      <c r="F59" s="6">
        <v>4171</v>
      </c>
      <c r="G59" s="6">
        <v>548</v>
      </c>
      <c r="H59" s="6">
        <v>86</v>
      </c>
      <c r="I59" s="6">
        <v>66736</v>
      </c>
      <c r="J59" s="6">
        <v>66634</v>
      </c>
      <c r="K59" s="6">
        <v>173</v>
      </c>
      <c r="L59" s="6" t="s">
        <v>38</v>
      </c>
      <c r="M59" s="6" t="s">
        <v>15</v>
      </c>
      <c r="N59" s="14">
        <f>(Posts1116[[#This Row],[Likes]]+Posts1116[[#This Row],[Shares]]+Posts1116[[#This Row],[Comments]])/Posts1116[[#This Row],[Impressions]]</f>
        <v>7.2000119875329657E-2</v>
      </c>
      <c r="O59" t="str">
        <f>_xlfn.XLOOKUP(Posts1116[[#This Row],[Campaign_Name]],Campaign_Metadata[Campaign_Name],Campaign_Metadata[Objective])</f>
        <v>Vehicle Launch</v>
      </c>
      <c r="P59" t="str">
        <f>IF(AND(Posts1116[[#This Row],[Date]]&gt;=DATE(2024,6,15), Posts1116[[#This Row],[Date]]&lt;=DATE(2024,7,15)),"During", "Before")</f>
        <v>During</v>
      </c>
    </row>
    <row r="60" spans="1:16">
      <c r="A60" s="11" t="s">
        <v>119</v>
      </c>
      <c r="B60" s="6" t="s">
        <v>46</v>
      </c>
      <c r="C60" s="12">
        <v>45476</v>
      </c>
      <c r="D60" s="6" t="s">
        <v>50</v>
      </c>
      <c r="E60" s="6" t="s">
        <v>120</v>
      </c>
      <c r="F60" s="6">
        <v>2754</v>
      </c>
      <c r="G60" s="6">
        <v>130</v>
      </c>
      <c r="H60" s="6">
        <v>90</v>
      </c>
      <c r="I60" s="6">
        <v>22032</v>
      </c>
      <c r="J60" s="6">
        <v>21288</v>
      </c>
      <c r="K60" s="6">
        <v>112</v>
      </c>
      <c r="L60" s="6" t="s">
        <v>43</v>
      </c>
      <c r="M60" s="6" t="s">
        <v>15</v>
      </c>
      <c r="N60" s="14">
        <f>(Posts1116[[#This Row],[Likes]]+Posts1116[[#This Row],[Shares]]+Posts1116[[#This Row],[Comments]])/Posts1116[[#This Row],[Impressions]]</f>
        <v>0.13498547567175018</v>
      </c>
      <c r="O60" t="str">
        <f>_xlfn.XLOOKUP(Posts1116[[#This Row],[Campaign_Name]],Campaign_Metadata[Campaign_Name],Campaign_Metadata[Objective])</f>
        <v>Vehicle Launch</v>
      </c>
      <c r="P60" t="str">
        <f>IF(AND(Posts1116[[#This Row],[Date]]&gt;=DATE(2024,6,15), Posts1116[[#This Row],[Date]]&lt;=DATE(2024,7,15)),"During", "Before")</f>
        <v>During</v>
      </c>
    </row>
    <row r="61" spans="1:16">
      <c r="A61" s="9" t="s">
        <v>314</v>
      </c>
      <c r="B61" s="5" t="s">
        <v>55</v>
      </c>
      <c r="C61" s="10">
        <v>45480</v>
      </c>
      <c r="D61" s="5" t="s">
        <v>36</v>
      </c>
      <c r="E61" s="5" t="s">
        <v>69</v>
      </c>
      <c r="F61" s="5">
        <v>4767</v>
      </c>
      <c r="G61" s="5">
        <v>190</v>
      </c>
      <c r="H61" s="5">
        <v>340</v>
      </c>
      <c r="I61" s="5">
        <v>28602</v>
      </c>
      <c r="J61" s="5">
        <v>28044</v>
      </c>
      <c r="K61" s="5">
        <v>210</v>
      </c>
      <c r="L61" s="5" t="s">
        <v>52</v>
      </c>
      <c r="M61" s="5" t="s">
        <v>15</v>
      </c>
      <c r="N61" s="13">
        <f>(Posts1116[[#This Row],[Likes]]+Posts1116[[#This Row],[Shares]]+Posts1116[[#This Row],[Comments]])/Posts1116[[#This Row],[Impressions]]</f>
        <v>0.18519683938186141</v>
      </c>
      <c r="O61" t="str">
        <f>_xlfn.XLOOKUP(Posts1116[[#This Row],[Campaign_Name]],Campaign_Metadata[Campaign_Name],Campaign_Metadata[Objective])</f>
        <v>Vehicle Launch</v>
      </c>
      <c r="P61" t="str">
        <f>IF(AND(Posts1116[[#This Row],[Date]]&gt;=DATE(2024,6,15), Posts1116[[#This Row],[Date]]&lt;=DATE(2024,7,15)),"During", "Before")</f>
        <v>During</v>
      </c>
    </row>
    <row r="62" spans="1:16">
      <c r="A62" s="11" t="s">
        <v>249</v>
      </c>
      <c r="B62" s="6" t="s">
        <v>49</v>
      </c>
      <c r="C62" s="12">
        <v>45483</v>
      </c>
      <c r="D62" s="6" t="s">
        <v>56</v>
      </c>
      <c r="E62" s="6" t="s">
        <v>84</v>
      </c>
      <c r="F62" s="6">
        <v>3099</v>
      </c>
      <c r="G62" s="6">
        <v>694</v>
      </c>
      <c r="H62" s="6">
        <v>171</v>
      </c>
      <c r="I62" s="6">
        <v>43386</v>
      </c>
      <c r="J62" s="6">
        <v>42921</v>
      </c>
      <c r="K62" s="6">
        <v>52</v>
      </c>
      <c r="L62" s="6" t="s">
        <v>43</v>
      </c>
      <c r="M62" s="6" t="s">
        <v>15</v>
      </c>
      <c r="N62" s="14">
        <f>(Posts1116[[#This Row],[Likes]]+Posts1116[[#This Row],[Shares]]+Posts1116[[#This Row],[Comments]])/Posts1116[[#This Row],[Impressions]]</f>
        <v>9.1365878393951966E-2</v>
      </c>
      <c r="O62" t="str">
        <f>_xlfn.XLOOKUP(Posts1116[[#This Row],[Campaign_Name]],Campaign_Metadata[Campaign_Name],Campaign_Metadata[Objective])</f>
        <v>Vehicle Launch</v>
      </c>
      <c r="P62" t="str">
        <f>IF(AND(Posts1116[[#This Row],[Date]]&gt;=DATE(2024,6,15), Posts1116[[#This Row],[Date]]&lt;=DATE(2024,7,15)),"During", "Before")</f>
        <v>During</v>
      </c>
    </row>
    <row r="63" spans="1:16">
      <c r="A63" s="9" t="s">
        <v>302</v>
      </c>
      <c r="B63" s="5" t="s">
        <v>55</v>
      </c>
      <c r="C63" s="10">
        <v>45488</v>
      </c>
      <c r="D63" s="5" t="s">
        <v>36</v>
      </c>
      <c r="E63" s="5" t="s">
        <v>69</v>
      </c>
      <c r="F63" s="5">
        <v>3663</v>
      </c>
      <c r="G63" s="5">
        <v>17</v>
      </c>
      <c r="H63" s="5">
        <v>295</v>
      </c>
      <c r="I63" s="5">
        <v>51282</v>
      </c>
      <c r="J63" s="5">
        <v>50567</v>
      </c>
      <c r="K63" s="5">
        <v>84</v>
      </c>
      <c r="L63" s="5" t="s">
        <v>52</v>
      </c>
      <c r="M63" s="5" t="s">
        <v>15</v>
      </c>
      <c r="N63" s="13">
        <f>(Posts1116[[#This Row],[Likes]]+Posts1116[[#This Row],[Shares]]+Posts1116[[#This Row],[Comments]])/Posts1116[[#This Row],[Impressions]]</f>
        <v>7.7512577512577507E-2</v>
      </c>
      <c r="O63" t="str">
        <f>_xlfn.XLOOKUP(Posts1116[[#This Row],[Campaign_Name]],Campaign_Metadata[Campaign_Name],Campaign_Metadata[Objective])</f>
        <v>Vehicle Launch</v>
      </c>
      <c r="P63" t="str">
        <f>IF(AND(Posts1116[[#This Row],[Date]]&gt;=DATE(2024,6,15), Posts1116[[#This Row],[Date]]&lt;=DATE(2024,7,15)),"During", "Before")</f>
        <v>During</v>
      </c>
    </row>
    <row r="64" spans="1:16">
      <c r="A64" s="9" t="s">
        <v>68</v>
      </c>
      <c r="B64" s="5" t="s">
        <v>55</v>
      </c>
      <c r="C64" s="10">
        <v>45494</v>
      </c>
      <c r="D64" s="5" t="s">
        <v>36</v>
      </c>
      <c r="E64" s="5" t="s">
        <v>69</v>
      </c>
      <c r="F64" s="5">
        <v>1946</v>
      </c>
      <c r="G64" s="5">
        <v>686</v>
      </c>
      <c r="H64" s="5">
        <v>377</v>
      </c>
      <c r="I64" s="5">
        <v>23352</v>
      </c>
      <c r="J64" s="5">
        <v>22982</v>
      </c>
      <c r="K64" s="5">
        <v>213</v>
      </c>
      <c r="L64" s="5" t="s">
        <v>38</v>
      </c>
      <c r="M64" s="5" t="s">
        <v>15</v>
      </c>
      <c r="N64" s="13">
        <f>(Posts1116[[#This Row],[Likes]]+Posts1116[[#This Row],[Shares]]+Posts1116[[#This Row],[Comments]])/Posts1116[[#This Row],[Impressions]]</f>
        <v>0.12885405960945528</v>
      </c>
      <c r="O64" t="str">
        <f>_xlfn.XLOOKUP(Posts1116[[#This Row],[Campaign_Name]],Campaign_Metadata[Campaign_Name],Campaign_Metadata[Objective])</f>
        <v>Vehicle Launch</v>
      </c>
      <c r="P64" t="str">
        <f>IF(AND(Posts1116[[#This Row],[Date]]&gt;=DATE(2024,6,15), Posts1116[[#This Row],[Date]]&lt;=DATE(2024,7,15)),"During", "Before")</f>
        <v>Before</v>
      </c>
    </row>
    <row r="65" spans="1:16">
      <c r="A65" s="9" t="s">
        <v>152</v>
      </c>
      <c r="B65" s="5" t="s">
        <v>49</v>
      </c>
      <c r="C65" s="10">
        <v>45497</v>
      </c>
      <c r="D65" s="5" t="s">
        <v>61</v>
      </c>
      <c r="E65" s="5" t="s">
        <v>153</v>
      </c>
      <c r="F65" s="5">
        <v>725</v>
      </c>
      <c r="G65" s="5">
        <v>88</v>
      </c>
      <c r="H65" s="5">
        <v>428</v>
      </c>
      <c r="I65" s="5">
        <v>14500</v>
      </c>
      <c r="J65" s="5">
        <v>13637</v>
      </c>
      <c r="K65" s="5">
        <v>200</v>
      </c>
      <c r="L65" s="5" t="s">
        <v>38</v>
      </c>
      <c r="M65" s="5" t="s">
        <v>15</v>
      </c>
      <c r="N65" s="13">
        <f>(Posts1116[[#This Row],[Likes]]+Posts1116[[#This Row],[Shares]]+Posts1116[[#This Row],[Comments]])/Posts1116[[#This Row],[Impressions]]</f>
        <v>8.558620689655172E-2</v>
      </c>
      <c r="O65" t="str">
        <f>_xlfn.XLOOKUP(Posts1116[[#This Row],[Campaign_Name]],Campaign_Metadata[Campaign_Name],Campaign_Metadata[Objective])</f>
        <v>Vehicle Launch</v>
      </c>
      <c r="P65" t="str">
        <f>IF(AND(Posts1116[[#This Row],[Date]]&gt;=DATE(2024,6,15), Posts1116[[#This Row],[Date]]&lt;=DATE(2024,7,15)),"During", "Before")</f>
        <v>Before</v>
      </c>
    </row>
    <row r="66" spans="1:16">
      <c r="A66" s="11" t="s">
        <v>152</v>
      </c>
      <c r="B66" s="6" t="s">
        <v>49</v>
      </c>
      <c r="C66" s="12">
        <v>45497</v>
      </c>
      <c r="D66" s="6" t="s">
        <v>61</v>
      </c>
      <c r="E66" s="6" t="s">
        <v>153</v>
      </c>
      <c r="F66" s="6">
        <v>725</v>
      </c>
      <c r="G66" s="6">
        <v>88</v>
      </c>
      <c r="H66" s="6">
        <v>428</v>
      </c>
      <c r="I66" s="6">
        <v>14500</v>
      </c>
      <c r="J66" s="6">
        <v>13637</v>
      </c>
      <c r="K66" s="6">
        <v>200</v>
      </c>
      <c r="L66" s="6" t="s">
        <v>43</v>
      </c>
      <c r="M66" s="6" t="s">
        <v>15</v>
      </c>
      <c r="N66" s="14">
        <f>(Posts1116[[#This Row],[Likes]]+Posts1116[[#This Row],[Shares]]+Posts1116[[#This Row],[Comments]])/Posts1116[[#This Row],[Impressions]]</f>
        <v>8.558620689655172E-2</v>
      </c>
      <c r="O66" t="str">
        <f>_xlfn.XLOOKUP(Posts1116[[#This Row],[Campaign_Name]],Campaign_Metadata[Campaign_Name],Campaign_Metadata[Objective])</f>
        <v>Vehicle Launch</v>
      </c>
      <c r="P66" t="str">
        <f>IF(AND(Posts1116[[#This Row],[Date]]&gt;=DATE(2024,6,15), Posts1116[[#This Row],[Date]]&lt;=DATE(2024,7,15)),"During", "Before")</f>
        <v>Before</v>
      </c>
    </row>
    <row r="67" spans="1:16">
      <c r="A67" s="9" t="s">
        <v>152</v>
      </c>
      <c r="B67" s="5" t="s">
        <v>49</v>
      </c>
      <c r="C67" s="10">
        <v>45497</v>
      </c>
      <c r="D67" s="5" t="s">
        <v>61</v>
      </c>
      <c r="E67" s="5" t="s">
        <v>153</v>
      </c>
      <c r="F67" s="5">
        <v>725</v>
      </c>
      <c r="G67" s="5">
        <v>88</v>
      </c>
      <c r="H67" s="5">
        <v>428</v>
      </c>
      <c r="I67" s="5">
        <v>14500</v>
      </c>
      <c r="J67" s="5">
        <v>13637</v>
      </c>
      <c r="K67" s="5">
        <v>200</v>
      </c>
      <c r="L67" s="5" t="s">
        <v>39</v>
      </c>
      <c r="M67" s="5" t="s">
        <v>15</v>
      </c>
      <c r="N67" s="13">
        <f>(Posts1116[[#This Row],[Likes]]+Posts1116[[#This Row],[Shares]]+Posts1116[[#This Row],[Comments]])/Posts1116[[#This Row],[Impressions]]</f>
        <v>8.558620689655172E-2</v>
      </c>
      <c r="O67" t="str">
        <f>_xlfn.XLOOKUP(Posts1116[[#This Row],[Campaign_Name]],Campaign_Metadata[Campaign_Name],Campaign_Metadata[Objective])</f>
        <v>Vehicle Launch</v>
      </c>
      <c r="P67" t="str">
        <f>IF(AND(Posts1116[[#This Row],[Date]]&gt;=DATE(2024,6,15), Posts1116[[#This Row],[Date]]&lt;=DATE(2024,7,15)),"During", "Before")</f>
        <v>Before</v>
      </c>
    </row>
    <row r="68" spans="1:16">
      <c r="A68" s="11" t="s">
        <v>133</v>
      </c>
      <c r="B68" s="6" t="s">
        <v>35</v>
      </c>
      <c r="C68" s="12">
        <v>45504</v>
      </c>
      <c r="D68" s="6" t="s">
        <v>56</v>
      </c>
      <c r="E68" s="6" t="s">
        <v>59</v>
      </c>
      <c r="F68" s="6">
        <v>4507</v>
      </c>
      <c r="G68" s="6">
        <v>217</v>
      </c>
      <c r="H68" s="6">
        <v>13</v>
      </c>
      <c r="I68" s="6">
        <v>90140</v>
      </c>
      <c r="J68" s="6">
        <v>89591</v>
      </c>
      <c r="K68" s="6">
        <v>125</v>
      </c>
      <c r="L68" s="6" t="s">
        <v>38</v>
      </c>
      <c r="M68" s="6" t="s">
        <v>15</v>
      </c>
      <c r="N68" s="14">
        <f>(Posts1116[[#This Row],[Likes]]+Posts1116[[#This Row],[Shares]]+Posts1116[[#This Row],[Comments]])/Posts1116[[#This Row],[Impressions]]</f>
        <v>5.2551586421122697E-2</v>
      </c>
      <c r="O68" t="str">
        <f>_xlfn.XLOOKUP(Posts1116[[#This Row],[Campaign_Name]],Campaign_Metadata[Campaign_Name],Campaign_Metadata[Objective])</f>
        <v>Vehicle Launch</v>
      </c>
      <c r="P68" t="str">
        <f>IF(AND(Posts1116[[#This Row],[Date]]&gt;=DATE(2024,6,15), Posts1116[[#This Row],[Date]]&lt;=DATE(2024,7,15)),"During", "Before")</f>
        <v>Before</v>
      </c>
    </row>
    <row r="69" spans="1:16">
      <c r="A69" s="11" t="s">
        <v>347</v>
      </c>
      <c r="B69" s="6" t="s">
        <v>55</v>
      </c>
      <c r="C69" s="12">
        <v>45509</v>
      </c>
      <c r="D69" s="6" t="s">
        <v>36</v>
      </c>
      <c r="E69" s="6" t="s">
        <v>69</v>
      </c>
      <c r="F69" s="6">
        <v>1741</v>
      </c>
      <c r="G69" s="6">
        <v>831</v>
      </c>
      <c r="H69" s="6">
        <v>345</v>
      </c>
      <c r="I69" s="6">
        <v>17410</v>
      </c>
      <c r="J69" s="6">
        <v>16844</v>
      </c>
      <c r="K69" s="6">
        <v>58</v>
      </c>
      <c r="L69" s="6" t="s">
        <v>52</v>
      </c>
      <c r="M69" s="6" t="s">
        <v>15</v>
      </c>
      <c r="N69" s="14">
        <f>(Posts1116[[#This Row],[Likes]]+Posts1116[[#This Row],[Shares]]+Posts1116[[#This Row],[Comments]])/Posts1116[[#This Row],[Impressions]]</f>
        <v>0.16754738655944859</v>
      </c>
      <c r="O69" t="str">
        <f>_xlfn.XLOOKUP(Posts1116[[#This Row],[Campaign_Name]],Campaign_Metadata[Campaign_Name],Campaign_Metadata[Objective])</f>
        <v>Vehicle Launch</v>
      </c>
      <c r="P69" t="str">
        <f>IF(AND(Posts1116[[#This Row],[Date]]&gt;=DATE(2024,6,15), Posts1116[[#This Row],[Date]]&lt;=DATE(2024,7,15)),"During", "Before")</f>
        <v>Before</v>
      </c>
    </row>
    <row r="70" spans="1:16">
      <c r="A70" s="11" t="s">
        <v>181</v>
      </c>
      <c r="B70" s="6" t="s">
        <v>35</v>
      </c>
      <c r="C70" s="12">
        <v>45512</v>
      </c>
      <c r="D70" s="6" t="s">
        <v>50</v>
      </c>
      <c r="E70" s="6" t="s">
        <v>117</v>
      </c>
      <c r="F70" s="6">
        <v>3649</v>
      </c>
      <c r="G70" s="6">
        <v>215</v>
      </c>
      <c r="H70" s="6">
        <v>413</v>
      </c>
      <c r="I70" s="6">
        <v>25543</v>
      </c>
      <c r="J70" s="6">
        <v>24963</v>
      </c>
      <c r="K70" s="6">
        <v>167</v>
      </c>
      <c r="L70" s="6" t="s">
        <v>38</v>
      </c>
      <c r="M70" s="6" t="s">
        <v>15</v>
      </c>
      <c r="N70" s="14">
        <f>(Posts1116[[#This Row],[Likes]]+Posts1116[[#This Row],[Shares]]+Posts1116[[#This Row],[Comments]])/Posts1116[[#This Row],[Impressions]]</f>
        <v>0.16744313510550835</v>
      </c>
      <c r="O70" t="str">
        <f>_xlfn.XLOOKUP(Posts1116[[#This Row],[Campaign_Name]],Campaign_Metadata[Campaign_Name],Campaign_Metadata[Objective])</f>
        <v>Vehicle Launch</v>
      </c>
      <c r="P70" t="str">
        <f>IF(AND(Posts1116[[#This Row],[Date]]&gt;=DATE(2024,6,15), Posts1116[[#This Row],[Date]]&lt;=DATE(2024,7,15)),"During", "Before")</f>
        <v>Before</v>
      </c>
    </row>
    <row r="71" spans="1:16">
      <c r="A71" s="9" t="s">
        <v>244</v>
      </c>
      <c r="B71" s="5" t="s">
        <v>55</v>
      </c>
      <c r="C71" s="10">
        <v>45518</v>
      </c>
      <c r="D71" s="5" t="s">
        <v>56</v>
      </c>
      <c r="E71" s="5" t="s">
        <v>57</v>
      </c>
      <c r="F71" s="5">
        <v>3073</v>
      </c>
      <c r="G71" s="5">
        <v>553</v>
      </c>
      <c r="H71" s="5">
        <v>174</v>
      </c>
      <c r="I71" s="5">
        <v>52241</v>
      </c>
      <c r="J71" s="5">
        <v>51605</v>
      </c>
      <c r="K71" s="5">
        <v>246</v>
      </c>
      <c r="L71" s="5" t="s">
        <v>52</v>
      </c>
      <c r="M71" s="5" t="s">
        <v>15</v>
      </c>
      <c r="N71" s="13">
        <f>(Posts1116[[#This Row],[Likes]]+Posts1116[[#This Row],[Shares]]+Posts1116[[#This Row],[Comments]])/Posts1116[[#This Row],[Impressions]]</f>
        <v>7.2739802071170159E-2</v>
      </c>
      <c r="O71" t="str">
        <f>_xlfn.XLOOKUP(Posts1116[[#This Row],[Campaign_Name]],Campaign_Metadata[Campaign_Name],Campaign_Metadata[Objective])</f>
        <v>Vehicle Launch</v>
      </c>
      <c r="P71" t="str">
        <f>IF(AND(Posts1116[[#This Row],[Date]]&gt;=DATE(2024,6,15), Posts1116[[#This Row],[Date]]&lt;=DATE(2024,7,15)),"During", "Before")</f>
        <v>Before</v>
      </c>
    </row>
    <row r="72" spans="1:16">
      <c r="A72" s="9" t="s">
        <v>134</v>
      </c>
      <c r="B72" s="5" t="s">
        <v>55</v>
      </c>
      <c r="C72" s="10">
        <v>45521</v>
      </c>
      <c r="D72" s="5" t="s">
        <v>61</v>
      </c>
      <c r="E72" s="5" t="s">
        <v>66</v>
      </c>
      <c r="F72" s="5">
        <v>2878</v>
      </c>
      <c r="G72" s="5">
        <v>248</v>
      </c>
      <c r="H72" s="5">
        <v>416</v>
      </c>
      <c r="I72" s="5">
        <v>43170</v>
      </c>
      <c r="J72" s="5">
        <v>42667</v>
      </c>
      <c r="K72" s="5">
        <v>75</v>
      </c>
      <c r="L72" s="5" t="s">
        <v>38</v>
      </c>
      <c r="M72" s="5" t="s">
        <v>15</v>
      </c>
      <c r="N72" s="13">
        <f>(Posts1116[[#This Row],[Likes]]+Posts1116[[#This Row],[Shares]]+Posts1116[[#This Row],[Comments]])/Posts1116[[#This Row],[Impressions]]</f>
        <v>8.2047718322909427E-2</v>
      </c>
      <c r="O72" t="str">
        <f>_xlfn.XLOOKUP(Posts1116[[#This Row],[Campaign_Name]],Campaign_Metadata[Campaign_Name],Campaign_Metadata[Objective])</f>
        <v>Vehicle Launch</v>
      </c>
      <c r="P72" t="str">
        <f>IF(AND(Posts1116[[#This Row],[Date]]&gt;=DATE(2024,6,15), Posts1116[[#This Row],[Date]]&lt;=DATE(2024,7,15)),"During", "Before")</f>
        <v>Before</v>
      </c>
    </row>
    <row r="73" spans="1:16">
      <c r="A73" s="9" t="s">
        <v>258</v>
      </c>
      <c r="B73" s="5" t="s">
        <v>55</v>
      </c>
      <c r="C73" s="10">
        <v>45528</v>
      </c>
      <c r="D73" s="5" t="s">
        <v>56</v>
      </c>
      <c r="E73" s="5" t="s">
        <v>57</v>
      </c>
      <c r="F73" s="5">
        <v>4292</v>
      </c>
      <c r="G73" s="5">
        <v>51</v>
      </c>
      <c r="H73" s="5">
        <v>392</v>
      </c>
      <c r="I73" s="5">
        <v>55796</v>
      </c>
      <c r="J73" s="5">
        <v>54826</v>
      </c>
      <c r="K73" s="5">
        <v>264</v>
      </c>
      <c r="L73" s="5" t="s">
        <v>52</v>
      </c>
      <c r="M73" s="5" t="s">
        <v>15</v>
      </c>
      <c r="N73" s="13">
        <f>(Posts1116[[#This Row],[Likes]]+Posts1116[[#This Row],[Shares]]+Posts1116[[#This Row],[Comments]])/Posts1116[[#This Row],[Impressions]]</f>
        <v>8.4862714173059003E-2</v>
      </c>
      <c r="O73" t="str">
        <f>_xlfn.XLOOKUP(Posts1116[[#This Row],[Campaign_Name]],Campaign_Metadata[Campaign_Name],Campaign_Metadata[Objective])</f>
        <v>Vehicle Launch</v>
      </c>
      <c r="P73" t="str">
        <f>IF(AND(Posts1116[[#This Row],[Date]]&gt;=DATE(2024,6,15), Posts1116[[#This Row],[Date]]&lt;=DATE(2024,7,15)),"During", "Before")</f>
        <v>Before</v>
      </c>
    </row>
    <row r="74" spans="1:16">
      <c r="A74" s="9" t="s">
        <v>77</v>
      </c>
      <c r="B74" s="5" t="s">
        <v>55</v>
      </c>
      <c r="C74" s="10">
        <v>45530</v>
      </c>
      <c r="D74" s="5" t="s">
        <v>41</v>
      </c>
      <c r="E74" s="5" t="s">
        <v>64</v>
      </c>
      <c r="F74" s="5">
        <v>3452</v>
      </c>
      <c r="G74" s="5">
        <v>377</v>
      </c>
      <c r="H74" s="5">
        <v>360</v>
      </c>
      <c r="I74" s="5">
        <v>55232</v>
      </c>
      <c r="J74" s="5">
        <v>55075</v>
      </c>
      <c r="K74" s="5">
        <v>87</v>
      </c>
      <c r="L74" s="5" t="s">
        <v>38</v>
      </c>
      <c r="M74" s="5" t="s">
        <v>15</v>
      </c>
      <c r="N74" s="13">
        <f>(Posts1116[[#This Row],[Likes]]+Posts1116[[#This Row],[Shares]]+Posts1116[[#This Row],[Comments]])/Posts1116[[#This Row],[Impressions]]</f>
        <v>7.5843713789107758E-2</v>
      </c>
      <c r="O74" t="str">
        <f>_xlfn.XLOOKUP(Posts1116[[#This Row],[Campaign_Name]],Campaign_Metadata[Campaign_Name],Campaign_Metadata[Objective])</f>
        <v>Vehicle Launch</v>
      </c>
      <c r="P74" t="str">
        <f>IF(AND(Posts1116[[#This Row],[Date]]&gt;=DATE(2024,6,15), Posts1116[[#This Row],[Date]]&lt;=DATE(2024,7,15)),"During", "Before")</f>
        <v>Before</v>
      </c>
    </row>
    <row r="75" spans="1:16">
      <c r="A75" s="9" t="s">
        <v>312</v>
      </c>
      <c r="B75" s="5" t="s">
        <v>35</v>
      </c>
      <c r="C75" s="10">
        <v>45530</v>
      </c>
      <c r="D75" s="5" t="s">
        <v>56</v>
      </c>
      <c r="E75" s="5" t="s">
        <v>59</v>
      </c>
      <c r="F75" s="5">
        <v>929</v>
      </c>
      <c r="G75" s="5">
        <v>192</v>
      </c>
      <c r="H75" s="5">
        <v>322</v>
      </c>
      <c r="I75" s="5">
        <v>16722</v>
      </c>
      <c r="J75" s="5">
        <v>15996</v>
      </c>
      <c r="K75" s="5">
        <v>145</v>
      </c>
      <c r="L75" s="5" t="s">
        <v>52</v>
      </c>
      <c r="M75" s="5" t="s">
        <v>15</v>
      </c>
      <c r="N75" s="13">
        <f>(Posts1116[[#This Row],[Likes]]+Posts1116[[#This Row],[Shares]]+Posts1116[[#This Row],[Comments]])/Posts1116[[#This Row],[Impressions]]</f>
        <v>8.6293505561535699E-2</v>
      </c>
      <c r="O75" t="str">
        <f>_xlfn.XLOOKUP(Posts1116[[#This Row],[Campaign_Name]],Campaign_Metadata[Campaign_Name],Campaign_Metadata[Objective])</f>
        <v>Vehicle Launch</v>
      </c>
      <c r="P75" t="str">
        <f>IF(AND(Posts1116[[#This Row],[Date]]&gt;=DATE(2024,6,15), Posts1116[[#This Row],[Date]]&lt;=DATE(2024,7,15)),"During", "Before")</f>
        <v>Before</v>
      </c>
    </row>
    <row r="76" spans="1:16">
      <c r="A76" s="11" t="s">
        <v>312</v>
      </c>
      <c r="B76" s="6" t="s">
        <v>35</v>
      </c>
      <c r="C76" s="12">
        <v>45530</v>
      </c>
      <c r="D76" s="6" t="s">
        <v>56</v>
      </c>
      <c r="E76" s="6" t="s">
        <v>59</v>
      </c>
      <c r="F76" s="6">
        <v>929</v>
      </c>
      <c r="G76" s="6">
        <v>192</v>
      </c>
      <c r="H76" s="6">
        <v>322</v>
      </c>
      <c r="I76" s="6">
        <v>16722</v>
      </c>
      <c r="J76" s="6">
        <v>15996</v>
      </c>
      <c r="K76" s="6">
        <v>145</v>
      </c>
      <c r="L76" s="6" t="s">
        <v>43</v>
      </c>
      <c r="M76" s="6" t="s">
        <v>15</v>
      </c>
      <c r="N76" s="14">
        <f>(Posts1116[[#This Row],[Likes]]+Posts1116[[#This Row],[Shares]]+Posts1116[[#This Row],[Comments]])/Posts1116[[#This Row],[Impressions]]</f>
        <v>8.6293505561535699E-2</v>
      </c>
      <c r="O76" t="str">
        <f>_xlfn.XLOOKUP(Posts1116[[#This Row],[Campaign_Name]],Campaign_Metadata[Campaign_Name],Campaign_Metadata[Objective])</f>
        <v>Vehicle Launch</v>
      </c>
      <c r="P76" t="str">
        <f>IF(AND(Posts1116[[#This Row],[Date]]&gt;=DATE(2024,6,15), Posts1116[[#This Row],[Date]]&lt;=DATE(2024,7,15)),"During", "Before")</f>
        <v>Before</v>
      </c>
    </row>
    <row r="77" spans="1:16">
      <c r="A77" s="9" t="s">
        <v>312</v>
      </c>
      <c r="B77" s="5" t="s">
        <v>35</v>
      </c>
      <c r="C77" s="10">
        <v>45530</v>
      </c>
      <c r="D77" s="5" t="s">
        <v>56</v>
      </c>
      <c r="E77" s="5" t="s">
        <v>59</v>
      </c>
      <c r="F77" s="5">
        <v>929</v>
      </c>
      <c r="G77" s="5">
        <v>192</v>
      </c>
      <c r="H77" s="5">
        <v>322</v>
      </c>
      <c r="I77" s="5">
        <v>16722</v>
      </c>
      <c r="J77" s="5">
        <v>15996</v>
      </c>
      <c r="K77" s="5">
        <v>145</v>
      </c>
      <c r="L77" s="5" t="s">
        <v>39</v>
      </c>
      <c r="M77" s="5" t="s">
        <v>15</v>
      </c>
      <c r="N77" s="13">
        <f>(Posts1116[[#This Row],[Likes]]+Posts1116[[#This Row],[Shares]]+Posts1116[[#This Row],[Comments]])/Posts1116[[#This Row],[Impressions]]</f>
        <v>8.6293505561535699E-2</v>
      </c>
      <c r="O77" t="str">
        <f>_xlfn.XLOOKUP(Posts1116[[#This Row],[Campaign_Name]],Campaign_Metadata[Campaign_Name],Campaign_Metadata[Objective])</f>
        <v>Vehicle Launch</v>
      </c>
      <c r="P77" t="str">
        <f>IF(AND(Posts1116[[#This Row],[Date]]&gt;=DATE(2024,6,15), Posts1116[[#This Row],[Date]]&lt;=DATE(2024,7,15)),"During", "Before")</f>
        <v>Before</v>
      </c>
    </row>
    <row r="78" spans="1:16">
      <c r="A78" s="11" t="s">
        <v>371</v>
      </c>
      <c r="B78" s="6" t="s">
        <v>55</v>
      </c>
      <c r="C78" s="12">
        <v>45530</v>
      </c>
      <c r="D78" s="6" t="s">
        <v>61</v>
      </c>
      <c r="E78" s="6" t="s">
        <v>66</v>
      </c>
      <c r="F78" s="6">
        <v>2581</v>
      </c>
      <c r="G78" s="6">
        <v>517</v>
      </c>
      <c r="H78" s="6">
        <v>117</v>
      </c>
      <c r="I78" s="6">
        <v>23229</v>
      </c>
      <c r="J78" s="6">
        <v>22331</v>
      </c>
      <c r="K78" s="6">
        <v>70</v>
      </c>
      <c r="L78" s="6" t="s">
        <v>38</v>
      </c>
      <c r="M78" s="6" t="s">
        <v>15</v>
      </c>
      <c r="N78" s="14">
        <f>(Posts1116[[#This Row],[Likes]]+Posts1116[[#This Row],[Shares]]+Posts1116[[#This Row],[Comments]])/Posts1116[[#This Row],[Impressions]]</f>
        <v>0.13840458048129492</v>
      </c>
      <c r="O78" t="str">
        <f>_xlfn.XLOOKUP(Posts1116[[#This Row],[Campaign_Name]],Campaign_Metadata[Campaign_Name],Campaign_Metadata[Objective])</f>
        <v>Vehicle Launch</v>
      </c>
      <c r="P78" t="str">
        <f>IF(AND(Posts1116[[#This Row],[Date]]&gt;=DATE(2024,6,15), Posts1116[[#This Row],[Date]]&lt;=DATE(2024,7,15)),"During", "Before")</f>
        <v>Before</v>
      </c>
    </row>
    <row r="79" spans="1:16">
      <c r="A79" s="11" t="s">
        <v>265</v>
      </c>
      <c r="B79" s="6" t="s">
        <v>35</v>
      </c>
      <c r="C79" s="12">
        <v>45546</v>
      </c>
      <c r="D79" s="6" t="s">
        <v>61</v>
      </c>
      <c r="E79" s="6" t="s">
        <v>107</v>
      </c>
      <c r="F79" s="6">
        <v>4858</v>
      </c>
      <c r="G79" s="6">
        <v>317</v>
      </c>
      <c r="H79" s="6">
        <v>129</v>
      </c>
      <c r="I79" s="6">
        <v>53438</v>
      </c>
      <c r="J79" s="6">
        <v>52687</v>
      </c>
      <c r="K79" s="6">
        <v>223</v>
      </c>
      <c r="L79" s="6" t="s">
        <v>52</v>
      </c>
      <c r="M79" s="6" t="s">
        <v>15</v>
      </c>
      <c r="N79" s="14">
        <f>(Posts1116[[#This Row],[Likes]]+Posts1116[[#This Row],[Shares]]+Posts1116[[#This Row],[Comments]])/Posts1116[[#This Row],[Impressions]]</f>
        <v>9.9255211647142488E-2</v>
      </c>
      <c r="O79" t="str">
        <f>_xlfn.XLOOKUP(Posts1116[[#This Row],[Campaign_Name]],Campaign_Metadata[Campaign_Name],Campaign_Metadata[Objective])</f>
        <v>Vehicle Launch</v>
      </c>
      <c r="P79" t="str">
        <f>IF(AND(Posts1116[[#This Row],[Date]]&gt;=DATE(2024,6,15), Posts1116[[#This Row],[Date]]&lt;=DATE(2024,7,15)),"During", "Before")</f>
        <v>Before</v>
      </c>
    </row>
    <row r="80" spans="1:16">
      <c r="A80" s="9" t="s">
        <v>270</v>
      </c>
      <c r="B80" s="5" t="s">
        <v>35</v>
      </c>
      <c r="C80" s="10">
        <v>45549</v>
      </c>
      <c r="D80" s="5" t="s">
        <v>61</v>
      </c>
      <c r="E80" s="5" t="s">
        <v>107</v>
      </c>
      <c r="F80" s="5">
        <v>1048</v>
      </c>
      <c r="G80" s="5">
        <v>374</v>
      </c>
      <c r="H80" s="5">
        <v>450</v>
      </c>
      <c r="I80" s="5">
        <v>9432</v>
      </c>
      <c r="J80" s="5">
        <v>8882</v>
      </c>
      <c r="K80" s="5">
        <v>158</v>
      </c>
      <c r="L80" s="5" t="s">
        <v>43</v>
      </c>
      <c r="M80" s="5" t="s">
        <v>15</v>
      </c>
      <c r="N80" s="13">
        <f>(Posts1116[[#This Row],[Likes]]+Posts1116[[#This Row],[Shares]]+Posts1116[[#This Row],[Comments]])/Posts1116[[#This Row],[Impressions]]</f>
        <v>0.19847328244274809</v>
      </c>
      <c r="O80" t="str">
        <f>_xlfn.XLOOKUP(Posts1116[[#This Row],[Campaign_Name]],Campaign_Metadata[Campaign_Name],Campaign_Metadata[Objective])</f>
        <v>Vehicle Launch</v>
      </c>
      <c r="P80" t="str">
        <f>IF(AND(Posts1116[[#This Row],[Date]]&gt;=DATE(2024,6,15), Posts1116[[#This Row],[Date]]&lt;=DATE(2024,7,15)),"During", "Before")</f>
        <v>Before</v>
      </c>
    </row>
    <row r="81" spans="1:16">
      <c r="A81" s="9" t="s">
        <v>358</v>
      </c>
      <c r="B81" s="5" t="s">
        <v>46</v>
      </c>
      <c r="C81" s="10">
        <v>45560</v>
      </c>
      <c r="D81" s="5" t="s">
        <v>75</v>
      </c>
      <c r="E81" s="5" t="s">
        <v>155</v>
      </c>
      <c r="F81" s="5">
        <v>3389</v>
      </c>
      <c r="G81" s="5">
        <v>344</v>
      </c>
      <c r="H81" s="5">
        <v>229</v>
      </c>
      <c r="I81" s="5">
        <v>20334</v>
      </c>
      <c r="J81" s="5">
        <v>19443</v>
      </c>
      <c r="K81" s="5">
        <v>228</v>
      </c>
      <c r="L81" s="5" t="s">
        <v>38</v>
      </c>
      <c r="M81" s="5" t="s">
        <v>15</v>
      </c>
      <c r="N81" s="13">
        <f>(Posts1116[[#This Row],[Likes]]+Posts1116[[#This Row],[Shares]]+Posts1116[[#This Row],[Comments]])/Posts1116[[#This Row],[Impressions]]</f>
        <v>0.19484607062063539</v>
      </c>
      <c r="O81" t="str">
        <f>_xlfn.XLOOKUP(Posts1116[[#This Row],[Campaign_Name]],Campaign_Metadata[Campaign_Name],Campaign_Metadata[Objective])</f>
        <v>Vehicle Launch</v>
      </c>
      <c r="P81" t="str">
        <f>IF(AND(Posts1116[[#This Row],[Date]]&gt;=DATE(2024,6,15), Posts1116[[#This Row],[Date]]&lt;=DATE(2024,7,15)),"During", "Before")</f>
        <v>Before</v>
      </c>
    </row>
    <row r="82" spans="1:16">
      <c r="A82" s="11" t="s">
        <v>215</v>
      </c>
      <c r="B82" s="6" t="s">
        <v>46</v>
      </c>
      <c r="C82" s="12">
        <v>45567</v>
      </c>
      <c r="D82" s="6" t="s">
        <v>56</v>
      </c>
      <c r="E82" s="6" t="s">
        <v>71</v>
      </c>
      <c r="F82" s="6">
        <v>80</v>
      </c>
      <c r="G82" s="6">
        <v>362</v>
      </c>
      <c r="H82" s="6">
        <v>80</v>
      </c>
      <c r="I82" s="6">
        <v>1040</v>
      </c>
      <c r="J82" s="6">
        <v>349</v>
      </c>
      <c r="K82" s="6">
        <v>117</v>
      </c>
      <c r="L82" s="6" t="s">
        <v>43</v>
      </c>
      <c r="M82" s="6" t="s">
        <v>15</v>
      </c>
      <c r="N82" s="14">
        <f>(Posts1116[[#This Row],[Likes]]+Posts1116[[#This Row],[Shares]]+Posts1116[[#This Row],[Comments]])/Posts1116[[#This Row],[Impressions]]</f>
        <v>0.50192307692307692</v>
      </c>
      <c r="O82" t="str">
        <f>_xlfn.XLOOKUP(Posts1116[[#This Row],[Campaign_Name]],Campaign_Metadata[Campaign_Name],Campaign_Metadata[Objective])</f>
        <v>Vehicle Launch</v>
      </c>
      <c r="P82" t="str">
        <f>IF(AND(Posts1116[[#This Row],[Date]]&gt;=DATE(2024,6,15), Posts1116[[#This Row],[Date]]&lt;=DATE(2024,7,15)),"During", "Before")</f>
        <v>Before</v>
      </c>
    </row>
    <row r="83" spans="1:16">
      <c r="A83" s="9" t="s">
        <v>354</v>
      </c>
      <c r="B83" s="5" t="s">
        <v>49</v>
      </c>
      <c r="C83" s="10">
        <v>45568</v>
      </c>
      <c r="D83" s="5" t="s">
        <v>75</v>
      </c>
      <c r="E83" s="5" t="s">
        <v>82</v>
      </c>
      <c r="F83" s="5">
        <v>1488</v>
      </c>
      <c r="G83" s="5">
        <v>417</v>
      </c>
      <c r="H83" s="5">
        <v>168</v>
      </c>
      <c r="I83" s="5">
        <v>19344</v>
      </c>
      <c r="J83" s="5">
        <v>18395</v>
      </c>
      <c r="K83" s="5">
        <v>30</v>
      </c>
      <c r="L83" s="5" t="s">
        <v>38</v>
      </c>
      <c r="M83" s="5" t="s">
        <v>15</v>
      </c>
      <c r="N83" s="13">
        <f>(Posts1116[[#This Row],[Likes]]+Posts1116[[#This Row],[Shares]]+Posts1116[[#This Row],[Comments]])/Posts1116[[#This Row],[Impressions]]</f>
        <v>0.1071650124069479</v>
      </c>
      <c r="O83" t="str">
        <f>_xlfn.XLOOKUP(Posts1116[[#This Row],[Campaign_Name]],Campaign_Metadata[Campaign_Name],Campaign_Metadata[Objective])</f>
        <v>Vehicle Launch</v>
      </c>
      <c r="P83" t="str">
        <f>IF(AND(Posts1116[[#This Row],[Date]]&gt;=DATE(2024,6,15), Posts1116[[#This Row],[Date]]&lt;=DATE(2024,7,15)),"During", "Before")</f>
        <v>Before</v>
      </c>
    </row>
    <row r="84" spans="1:16">
      <c r="A84" s="9" t="s">
        <v>184</v>
      </c>
      <c r="B84" s="5" t="s">
        <v>35</v>
      </c>
      <c r="C84" s="10">
        <v>45570</v>
      </c>
      <c r="D84" s="5" t="s">
        <v>50</v>
      </c>
      <c r="E84" s="5" t="s">
        <v>117</v>
      </c>
      <c r="F84" s="5">
        <v>1957</v>
      </c>
      <c r="G84" s="5">
        <v>877</v>
      </c>
      <c r="H84" s="5">
        <v>238</v>
      </c>
      <c r="I84" s="5">
        <v>17613</v>
      </c>
      <c r="J84" s="5">
        <v>16865</v>
      </c>
      <c r="K84" s="5">
        <v>297</v>
      </c>
      <c r="L84" s="5" t="s">
        <v>38</v>
      </c>
      <c r="M84" s="5" t="s">
        <v>15</v>
      </c>
      <c r="N84" s="13">
        <f>(Posts1116[[#This Row],[Likes]]+Posts1116[[#This Row],[Shares]]+Posts1116[[#This Row],[Comments]])/Posts1116[[#This Row],[Impressions]]</f>
        <v>0.17441662408448305</v>
      </c>
      <c r="O84" t="str">
        <f>_xlfn.XLOOKUP(Posts1116[[#This Row],[Campaign_Name]],Campaign_Metadata[Campaign_Name],Campaign_Metadata[Objective])</f>
        <v>Vehicle Launch</v>
      </c>
      <c r="P84" t="str">
        <f>IF(AND(Posts1116[[#This Row],[Date]]&gt;=DATE(2024,6,15), Posts1116[[#This Row],[Date]]&lt;=DATE(2024,7,15)),"During", "Before")</f>
        <v>Before</v>
      </c>
    </row>
    <row r="85" spans="1:16">
      <c r="A85" s="11" t="s">
        <v>173</v>
      </c>
      <c r="B85" s="6" t="s">
        <v>46</v>
      </c>
      <c r="C85" s="12">
        <v>45583</v>
      </c>
      <c r="D85" s="6" t="s">
        <v>75</v>
      </c>
      <c r="E85" s="6" t="s">
        <v>155</v>
      </c>
      <c r="F85" s="6">
        <v>4450</v>
      </c>
      <c r="G85" s="6">
        <v>983</v>
      </c>
      <c r="H85" s="6">
        <v>143</v>
      </c>
      <c r="I85" s="6">
        <v>75650</v>
      </c>
      <c r="J85" s="6">
        <v>75008</v>
      </c>
      <c r="K85" s="6">
        <v>12</v>
      </c>
      <c r="L85" s="6" t="s">
        <v>38</v>
      </c>
      <c r="M85" s="6" t="s">
        <v>15</v>
      </c>
      <c r="N85" s="14">
        <f>(Posts1116[[#This Row],[Likes]]+Posts1116[[#This Row],[Shares]]+Posts1116[[#This Row],[Comments]])/Posts1116[[#This Row],[Impressions]]</f>
        <v>7.3707865168539333E-2</v>
      </c>
      <c r="O85" t="str">
        <f>_xlfn.XLOOKUP(Posts1116[[#This Row],[Campaign_Name]],Campaign_Metadata[Campaign_Name],Campaign_Metadata[Objective])</f>
        <v>Vehicle Launch</v>
      </c>
      <c r="P85" t="str">
        <f>IF(AND(Posts1116[[#This Row],[Date]]&gt;=DATE(2024,6,15), Posts1116[[#This Row],[Date]]&lt;=DATE(2024,7,15)),"During", "Before")</f>
        <v>Before</v>
      </c>
    </row>
    <row r="86" spans="1:16">
      <c r="A86" s="11" t="s">
        <v>151</v>
      </c>
      <c r="B86" s="6" t="s">
        <v>49</v>
      </c>
      <c r="C86" s="12">
        <v>45584</v>
      </c>
      <c r="D86" s="6" t="s">
        <v>50</v>
      </c>
      <c r="E86" s="6" t="s">
        <v>51</v>
      </c>
      <c r="F86" s="6">
        <v>1816</v>
      </c>
      <c r="G86" s="6">
        <v>29</v>
      </c>
      <c r="H86" s="6">
        <v>41</v>
      </c>
      <c r="I86" s="6">
        <v>19976</v>
      </c>
      <c r="J86" s="6">
        <v>19262</v>
      </c>
      <c r="K86" s="6">
        <v>283</v>
      </c>
      <c r="L86" s="6" t="s">
        <v>43</v>
      </c>
      <c r="M86" s="6" t="s">
        <v>15</v>
      </c>
      <c r="N86" s="14">
        <f>(Posts1116[[#This Row],[Likes]]+Posts1116[[#This Row],[Shares]]+Posts1116[[#This Row],[Comments]])/Posts1116[[#This Row],[Impressions]]</f>
        <v>9.4413295955146179E-2</v>
      </c>
      <c r="O86" t="str">
        <f>_xlfn.XLOOKUP(Posts1116[[#This Row],[Campaign_Name]],Campaign_Metadata[Campaign_Name],Campaign_Metadata[Objective])</f>
        <v>Vehicle Launch</v>
      </c>
      <c r="P86" t="str">
        <f>IF(AND(Posts1116[[#This Row],[Date]]&gt;=DATE(2024,6,15), Posts1116[[#This Row],[Date]]&lt;=DATE(2024,7,15)),"During", "Before")</f>
        <v>Before</v>
      </c>
    </row>
    <row r="87" spans="1:16">
      <c r="A87" s="11" t="s">
        <v>164</v>
      </c>
      <c r="B87" s="6" t="s">
        <v>35</v>
      </c>
      <c r="C87" s="12">
        <v>45586</v>
      </c>
      <c r="D87" s="6" t="s">
        <v>50</v>
      </c>
      <c r="E87" s="6" t="s">
        <v>117</v>
      </c>
      <c r="F87" s="6">
        <v>3801</v>
      </c>
      <c r="G87" s="6">
        <v>967</v>
      </c>
      <c r="H87" s="6">
        <v>401</v>
      </c>
      <c r="I87" s="6">
        <v>38010</v>
      </c>
      <c r="J87" s="6">
        <v>37625</v>
      </c>
      <c r="K87" s="6">
        <v>236</v>
      </c>
      <c r="L87" s="6" t="s">
        <v>38</v>
      </c>
      <c r="M87" s="6" t="s">
        <v>15</v>
      </c>
      <c r="N87" s="14">
        <f>(Posts1116[[#This Row],[Likes]]+Posts1116[[#This Row],[Shares]]+Posts1116[[#This Row],[Comments]])/Posts1116[[#This Row],[Impressions]]</f>
        <v>0.13599052880820836</v>
      </c>
      <c r="O87" t="str">
        <f>_xlfn.XLOOKUP(Posts1116[[#This Row],[Campaign_Name]],Campaign_Metadata[Campaign_Name],Campaign_Metadata[Objective])</f>
        <v>Vehicle Launch</v>
      </c>
      <c r="P87" t="str">
        <f>IF(AND(Posts1116[[#This Row],[Date]]&gt;=DATE(2024,6,15), Posts1116[[#This Row],[Date]]&lt;=DATE(2024,7,15)),"During", "Before")</f>
        <v>Before</v>
      </c>
    </row>
    <row r="88" spans="1:16">
      <c r="A88" s="11" t="s">
        <v>192</v>
      </c>
      <c r="B88" s="6" t="s">
        <v>55</v>
      </c>
      <c r="C88" s="12">
        <v>45586</v>
      </c>
      <c r="D88" s="6" t="s">
        <v>50</v>
      </c>
      <c r="E88" s="6" t="s">
        <v>73</v>
      </c>
      <c r="F88" s="6">
        <v>780</v>
      </c>
      <c r="G88" s="6">
        <v>928</v>
      </c>
      <c r="H88" s="6">
        <v>301</v>
      </c>
      <c r="I88" s="6">
        <v>8580</v>
      </c>
      <c r="J88" s="6">
        <v>8081</v>
      </c>
      <c r="K88" s="6">
        <v>91</v>
      </c>
      <c r="L88" s="6" t="s">
        <v>52</v>
      </c>
      <c r="M88" s="6" t="s">
        <v>15</v>
      </c>
      <c r="N88" s="14">
        <f>(Posts1116[[#This Row],[Likes]]+Posts1116[[#This Row],[Shares]]+Posts1116[[#This Row],[Comments]])/Posts1116[[#This Row],[Impressions]]</f>
        <v>0.23414918414918415</v>
      </c>
      <c r="O88" t="str">
        <f>_xlfn.XLOOKUP(Posts1116[[#This Row],[Campaign_Name]],Campaign_Metadata[Campaign_Name],Campaign_Metadata[Objective])</f>
        <v>Vehicle Launch</v>
      </c>
      <c r="P88" t="str">
        <f>IF(AND(Posts1116[[#This Row],[Date]]&gt;=DATE(2024,6,15), Posts1116[[#This Row],[Date]]&lt;=DATE(2024,7,15)),"During", "Before")</f>
        <v>Before</v>
      </c>
    </row>
    <row r="89" spans="1:16">
      <c r="A89" s="9" t="s">
        <v>203</v>
      </c>
      <c r="B89" s="5" t="s">
        <v>49</v>
      </c>
      <c r="C89" s="10">
        <v>45586</v>
      </c>
      <c r="D89" s="5" t="s">
        <v>36</v>
      </c>
      <c r="E89" s="5" t="s">
        <v>80</v>
      </c>
      <c r="F89" s="5">
        <v>4840</v>
      </c>
      <c r="G89" s="5">
        <v>658</v>
      </c>
      <c r="H89" s="5">
        <v>211</v>
      </c>
      <c r="I89" s="5">
        <v>43560</v>
      </c>
      <c r="J89" s="5">
        <v>43225</v>
      </c>
      <c r="K89" s="5">
        <v>57</v>
      </c>
      <c r="L89" s="5" t="s">
        <v>38</v>
      </c>
      <c r="M89" s="5" t="s">
        <v>15</v>
      </c>
      <c r="N89" s="13">
        <f>(Posts1116[[#This Row],[Likes]]+Posts1116[[#This Row],[Shares]]+Posts1116[[#This Row],[Comments]])/Posts1116[[#This Row],[Impressions]]</f>
        <v>0.13106060606060607</v>
      </c>
      <c r="O89" t="str">
        <f>_xlfn.XLOOKUP(Posts1116[[#This Row],[Campaign_Name]],Campaign_Metadata[Campaign_Name],Campaign_Metadata[Objective])</f>
        <v>Vehicle Launch</v>
      </c>
      <c r="P89" t="str">
        <f>IF(AND(Posts1116[[#This Row],[Date]]&gt;=DATE(2024,6,15), Posts1116[[#This Row],[Date]]&lt;=DATE(2024,7,15)),"During", "Before")</f>
        <v>Before</v>
      </c>
    </row>
    <row r="90" spans="1:16">
      <c r="A90" s="9" t="s">
        <v>370</v>
      </c>
      <c r="B90" s="5" t="s">
        <v>55</v>
      </c>
      <c r="C90" s="10">
        <v>45589</v>
      </c>
      <c r="D90" s="5" t="s">
        <v>61</v>
      </c>
      <c r="E90" s="5" t="s">
        <v>66</v>
      </c>
      <c r="F90" s="5">
        <v>4303</v>
      </c>
      <c r="G90" s="5">
        <v>451</v>
      </c>
      <c r="H90" s="5">
        <v>286</v>
      </c>
      <c r="I90" s="5">
        <v>86060</v>
      </c>
      <c r="J90" s="5">
        <v>85823</v>
      </c>
      <c r="K90" s="5">
        <v>14</v>
      </c>
      <c r="L90" s="5" t="s">
        <v>43</v>
      </c>
      <c r="M90" s="5" t="s">
        <v>15</v>
      </c>
      <c r="N90" s="13">
        <f>(Posts1116[[#This Row],[Likes]]+Posts1116[[#This Row],[Shares]]+Posts1116[[#This Row],[Comments]])/Posts1116[[#This Row],[Impressions]]</f>
        <v>5.8563792702765516E-2</v>
      </c>
      <c r="O90" t="str">
        <f>_xlfn.XLOOKUP(Posts1116[[#This Row],[Campaign_Name]],Campaign_Metadata[Campaign_Name],Campaign_Metadata[Objective])</f>
        <v>Vehicle Launch</v>
      </c>
      <c r="P90" t="str">
        <f>IF(AND(Posts1116[[#This Row],[Date]]&gt;=DATE(2024,6,15), Posts1116[[#This Row],[Date]]&lt;=DATE(2024,7,15)),"During", "Before")</f>
        <v>Before</v>
      </c>
    </row>
    <row r="91" spans="1:16">
      <c r="A91" s="9" t="s">
        <v>316</v>
      </c>
      <c r="B91" s="5" t="s">
        <v>46</v>
      </c>
      <c r="C91" s="10">
        <v>45590</v>
      </c>
      <c r="D91" s="5" t="s">
        <v>75</v>
      </c>
      <c r="E91" s="5" t="s">
        <v>155</v>
      </c>
      <c r="F91" s="5">
        <v>4661</v>
      </c>
      <c r="G91" s="5">
        <v>935</v>
      </c>
      <c r="H91" s="5">
        <v>433</v>
      </c>
      <c r="I91" s="5">
        <v>23305</v>
      </c>
      <c r="J91" s="5">
        <v>22583</v>
      </c>
      <c r="K91" s="5">
        <v>63</v>
      </c>
      <c r="L91" s="5" t="s">
        <v>38</v>
      </c>
      <c r="M91" s="5" t="s">
        <v>15</v>
      </c>
      <c r="N91" s="13">
        <f>(Posts1116[[#This Row],[Likes]]+Posts1116[[#This Row],[Shares]]+Posts1116[[#This Row],[Comments]])/Posts1116[[#This Row],[Impressions]]</f>
        <v>0.25869984981763572</v>
      </c>
      <c r="O91" t="str">
        <f>_xlfn.XLOOKUP(Posts1116[[#This Row],[Campaign_Name]],Campaign_Metadata[Campaign_Name],Campaign_Metadata[Objective])</f>
        <v>Vehicle Launch</v>
      </c>
      <c r="P91" t="str">
        <f>IF(AND(Posts1116[[#This Row],[Date]]&gt;=DATE(2024,6,15), Posts1116[[#This Row],[Date]]&lt;=DATE(2024,7,15)),"During", "Before")</f>
        <v>Before</v>
      </c>
    </row>
    <row r="92" spans="1:16">
      <c r="A92" s="9" t="s">
        <v>144</v>
      </c>
      <c r="B92" s="5" t="s">
        <v>46</v>
      </c>
      <c r="C92" s="10">
        <v>45593</v>
      </c>
      <c r="D92" s="5" t="s">
        <v>36</v>
      </c>
      <c r="E92" s="5" t="s">
        <v>47</v>
      </c>
      <c r="F92" s="5">
        <v>1855</v>
      </c>
      <c r="G92" s="5">
        <v>200</v>
      </c>
      <c r="H92" s="5">
        <v>174</v>
      </c>
      <c r="I92" s="5">
        <v>16695</v>
      </c>
      <c r="J92" s="5">
        <v>16330</v>
      </c>
      <c r="K92" s="5">
        <v>123</v>
      </c>
      <c r="L92" s="5" t="s">
        <v>43</v>
      </c>
      <c r="M92" s="5" t="s">
        <v>15</v>
      </c>
      <c r="N92" s="13">
        <f>(Posts1116[[#This Row],[Likes]]+Posts1116[[#This Row],[Shares]]+Posts1116[[#This Row],[Comments]])/Posts1116[[#This Row],[Impressions]]</f>
        <v>0.13351302785265048</v>
      </c>
      <c r="O92" t="str">
        <f>_xlfn.XLOOKUP(Posts1116[[#This Row],[Campaign_Name]],Campaign_Metadata[Campaign_Name],Campaign_Metadata[Objective])</f>
        <v>Vehicle Launch</v>
      </c>
      <c r="P92" t="str">
        <f>IF(AND(Posts1116[[#This Row],[Date]]&gt;=DATE(2024,6,15), Posts1116[[#This Row],[Date]]&lt;=DATE(2024,7,15)),"During", "Before")</f>
        <v>Before</v>
      </c>
    </row>
    <row r="93" spans="1:16">
      <c r="A93" s="11" t="s">
        <v>190</v>
      </c>
      <c r="B93" s="6" t="s">
        <v>55</v>
      </c>
      <c r="C93" s="12">
        <v>45600</v>
      </c>
      <c r="D93" s="6" t="s">
        <v>61</v>
      </c>
      <c r="E93" s="6" t="s">
        <v>66</v>
      </c>
      <c r="F93" s="6">
        <v>4551</v>
      </c>
      <c r="G93" s="6">
        <v>714</v>
      </c>
      <c r="H93" s="6">
        <v>207</v>
      </c>
      <c r="I93" s="6">
        <v>68265</v>
      </c>
      <c r="J93" s="6">
        <v>67754</v>
      </c>
      <c r="K93" s="6">
        <v>57</v>
      </c>
      <c r="L93" s="6" t="s">
        <v>38</v>
      </c>
      <c r="M93" s="6" t="s">
        <v>15</v>
      </c>
      <c r="N93" s="14">
        <f>(Posts1116[[#This Row],[Likes]]+Posts1116[[#This Row],[Shares]]+Posts1116[[#This Row],[Comments]])/Posts1116[[#This Row],[Impressions]]</f>
        <v>8.0158206987475278E-2</v>
      </c>
      <c r="O93" t="str">
        <f>_xlfn.XLOOKUP(Posts1116[[#This Row],[Campaign_Name]],Campaign_Metadata[Campaign_Name],Campaign_Metadata[Objective])</f>
        <v>Vehicle Launch</v>
      </c>
      <c r="P93" t="str">
        <f>IF(AND(Posts1116[[#This Row],[Date]]&gt;=DATE(2024,6,15), Posts1116[[#This Row],[Date]]&lt;=DATE(2024,7,15)),"During", "Before")</f>
        <v>Before</v>
      </c>
    </row>
    <row r="94" spans="1:16">
      <c r="A94" s="11" t="s">
        <v>166</v>
      </c>
      <c r="B94" s="6" t="s">
        <v>49</v>
      </c>
      <c r="C94" s="12">
        <v>45603</v>
      </c>
      <c r="D94" s="6" t="s">
        <v>61</v>
      </c>
      <c r="E94" s="6" t="s">
        <v>153</v>
      </c>
      <c r="F94" s="6">
        <v>2647</v>
      </c>
      <c r="G94" s="6">
        <v>304</v>
      </c>
      <c r="H94" s="6">
        <v>170</v>
      </c>
      <c r="I94" s="6">
        <v>18529</v>
      </c>
      <c r="J94" s="6">
        <v>17841</v>
      </c>
      <c r="K94" s="6">
        <v>46</v>
      </c>
      <c r="L94" s="6" t="s">
        <v>38</v>
      </c>
      <c r="M94" s="6" t="s">
        <v>15</v>
      </c>
      <c r="N94" s="14">
        <f>(Posts1116[[#This Row],[Likes]]+Posts1116[[#This Row],[Shares]]+Posts1116[[#This Row],[Comments]])/Posts1116[[#This Row],[Impressions]]</f>
        <v>0.16843866371633656</v>
      </c>
      <c r="O94" t="str">
        <f>_xlfn.XLOOKUP(Posts1116[[#This Row],[Campaign_Name]],Campaign_Metadata[Campaign_Name],Campaign_Metadata[Objective])</f>
        <v>Vehicle Launch</v>
      </c>
      <c r="P94" t="str">
        <f>IF(AND(Posts1116[[#This Row],[Date]]&gt;=DATE(2024,6,15), Posts1116[[#This Row],[Date]]&lt;=DATE(2024,7,15)),"During", "Before")</f>
        <v>Before</v>
      </c>
    </row>
    <row r="95" spans="1:16">
      <c r="A95" s="9" t="s">
        <v>132</v>
      </c>
      <c r="B95" s="5" t="s">
        <v>35</v>
      </c>
      <c r="C95" s="10">
        <v>45618</v>
      </c>
      <c r="D95" s="5" t="s">
        <v>56</v>
      </c>
      <c r="E95" s="5" t="s">
        <v>59</v>
      </c>
      <c r="F95" s="5">
        <v>53</v>
      </c>
      <c r="G95" s="5">
        <v>81</v>
      </c>
      <c r="H95" s="5">
        <v>379</v>
      </c>
      <c r="I95" s="5">
        <v>954</v>
      </c>
      <c r="J95" s="5">
        <v>7</v>
      </c>
      <c r="K95" s="5">
        <v>148</v>
      </c>
      <c r="L95" s="5" t="s">
        <v>43</v>
      </c>
      <c r="M95" s="5" t="s">
        <v>15</v>
      </c>
      <c r="N95" s="13">
        <f>(Posts1116[[#This Row],[Likes]]+Posts1116[[#This Row],[Shares]]+Posts1116[[#This Row],[Comments]])/Posts1116[[#This Row],[Impressions]]</f>
        <v>0.53773584905660377</v>
      </c>
      <c r="O95" t="str">
        <f>_xlfn.XLOOKUP(Posts1116[[#This Row],[Campaign_Name]],Campaign_Metadata[Campaign_Name],Campaign_Metadata[Objective])</f>
        <v>Vehicle Launch</v>
      </c>
      <c r="P95" t="str">
        <f>IF(AND(Posts1116[[#This Row],[Date]]&gt;=DATE(2024,6,15), Posts1116[[#This Row],[Date]]&lt;=DATE(2024,7,15)),"During", "Before")</f>
        <v>Before</v>
      </c>
    </row>
    <row r="96" spans="1:16">
      <c r="A96" s="9" t="s">
        <v>338</v>
      </c>
      <c r="B96" s="5" t="s">
        <v>55</v>
      </c>
      <c r="C96" s="10">
        <v>45621</v>
      </c>
      <c r="D96" s="5" t="s">
        <v>50</v>
      </c>
      <c r="E96" s="5" t="s">
        <v>73</v>
      </c>
      <c r="F96" s="5">
        <v>4182</v>
      </c>
      <c r="G96" s="5">
        <v>640</v>
      </c>
      <c r="H96" s="5">
        <v>240</v>
      </c>
      <c r="I96" s="5">
        <v>50184</v>
      </c>
      <c r="J96" s="5">
        <v>49351</v>
      </c>
      <c r="K96" s="5">
        <v>10</v>
      </c>
      <c r="L96" s="5" t="s">
        <v>43</v>
      </c>
      <c r="M96" s="5" t="s">
        <v>15</v>
      </c>
      <c r="N96" s="13">
        <f>(Posts1116[[#This Row],[Likes]]+Posts1116[[#This Row],[Shares]]+Posts1116[[#This Row],[Comments]])/Posts1116[[#This Row],[Impressions]]</f>
        <v>0.10086880280567512</v>
      </c>
      <c r="O96" t="str">
        <f>_xlfn.XLOOKUP(Posts1116[[#This Row],[Campaign_Name]],Campaign_Metadata[Campaign_Name],Campaign_Metadata[Objective])</f>
        <v>Vehicle Launch</v>
      </c>
      <c r="P96" t="str">
        <f>IF(AND(Posts1116[[#This Row],[Date]]&gt;=DATE(2024,6,15), Posts1116[[#This Row],[Date]]&lt;=DATE(2024,7,15)),"During", "Before")</f>
        <v>Before</v>
      </c>
    </row>
    <row r="97" spans="1:16">
      <c r="A97" s="11" t="s">
        <v>263</v>
      </c>
      <c r="B97" s="6" t="s">
        <v>46</v>
      </c>
      <c r="C97" s="12">
        <v>45629</v>
      </c>
      <c r="D97" s="6" t="s">
        <v>50</v>
      </c>
      <c r="E97" s="6" t="s">
        <v>120</v>
      </c>
      <c r="F97" s="6">
        <v>4285</v>
      </c>
      <c r="G97" s="6">
        <v>886</v>
      </c>
      <c r="H97" s="6">
        <v>376</v>
      </c>
      <c r="I97" s="6">
        <v>55705</v>
      </c>
      <c r="J97" s="6">
        <v>55556</v>
      </c>
      <c r="K97" s="6">
        <v>51</v>
      </c>
      <c r="L97" s="6" t="s">
        <v>38</v>
      </c>
      <c r="M97" s="6" t="s">
        <v>15</v>
      </c>
      <c r="N97" s="14">
        <f>(Posts1116[[#This Row],[Likes]]+Posts1116[[#This Row],[Shares]]+Posts1116[[#This Row],[Comments]])/Posts1116[[#This Row],[Impressions]]</f>
        <v>9.9578134817341346E-2</v>
      </c>
      <c r="O97" t="str">
        <f>_xlfn.XLOOKUP(Posts1116[[#This Row],[Campaign_Name]],Campaign_Metadata[Campaign_Name],Campaign_Metadata[Objective])</f>
        <v>Vehicle Launch</v>
      </c>
      <c r="P97" t="str">
        <f>IF(AND(Posts1116[[#This Row],[Date]]&gt;=DATE(2024,6,15), Posts1116[[#This Row],[Date]]&lt;=DATE(2024,7,15)),"During", "Before")</f>
        <v>Before</v>
      </c>
    </row>
    <row r="98" spans="1:16">
      <c r="A98" s="11" t="s">
        <v>245</v>
      </c>
      <c r="B98" s="6" t="s">
        <v>35</v>
      </c>
      <c r="C98" s="12">
        <v>45631</v>
      </c>
      <c r="D98" s="6" t="s">
        <v>75</v>
      </c>
      <c r="E98" s="6" t="s">
        <v>114</v>
      </c>
      <c r="F98" s="6">
        <v>1330</v>
      </c>
      <c r="G98" s="6">
        <v>925</v>
      </c>
      <c r="H98" s="6">
        <v>35</v>
      </c>
      <c r="I98" s="6">
        <v>15960</v>
      </c>
      <c r="J98" s="6">
        <v>15379</v>
      </c>
      <c r="K98" s="6">
        <v>229</v>
      </c>
      <c r="L98" s="6" t="s">
        <v>38</v>
      </c>
      <c r="M98" s="6" t="s">
        <v>15</v>
      </c>
      <c r="N98" s="14">
        <f>(Posts1116[[#This Row],[Likes]]+Posts1116[[#This Row],[Shares]]+Posts1116[[#This Row],[Comments]])/Posts1116[[#This Row],[Impressions]]</f>
        <v>0.14348370927318296</v>
      </c>
      <c r="O98" t="str">
        <f>_xlfn.XLOOKUP(Posts1116[[#This Row],[Campaign_Name]],Campaign_Metadata[Campaign_Name],Campaign_Metadata[Objective])</f>
        <v>Vehicle Launch</v>
      </c>
      <c r="P98" t="str">
        <f>IF(AND(Posts1116[[#This Row],[Date]]&gt;=DATE(2024,6,15), Posts1116[[#This Row],[Date]]&lt;=DATE(2024,7,15)),"During", "Before")</f>
        <v>Before</v>
      </c>
    </row>
    <row r="99" spans="1:16">
      <c r="A99" s="9" t="s">
        <v>165</v>
      </c>
      <c r="B99" s="5" t="s">
        <v>49</v>
      </c>
      <c r="C99" s="10">
        <v>45637</v>
      </c>
      <c r="D99" s="5" t="s">
        <v>75</v>
      </c>
      <c r="E99" s="5" t="s">
        <v>82</v>
      </c>
      <c r="F99" s="5">
        <v>1431</v>
      </c>
      <c r="G99" s="5">
        <v>951</v>
      </c>
      <c r="H99" s="5">
        <v>26</v>
      </c>
      <c r="I99" s="5">
        <v>8586</v>
      </c>
      <c r="J99" s="5">
        <v>8396</v>
      </c>
      <c r="K99" s="5">
        <v>150</v>
      </c>
      <c r="L99" s="5" t="s">
        <v>52</v>
      </c>
      <c r="M99" s="5" t="s">
        <v>15</v>
      </c>
      <c r="N99" s="13">
        <f>(Posts1116[[#This Row],[Likes]]+Posts1116[[#This Row],[Shares]]+Posts1116[[#This Row],[Comments]])/Posts1116[[#This Row],[Impressions]]</f>
        <v>0.28045655718611695</v>
      </c>
      <c r="O99" t="str">
        <f>_xlfn.XLOOKUP(Posts1116[[#This Row],[Campaign_Name]],Campaign_Metadata[Campaign_Name],Campaign_Metadata[Objective])</f>
        <v>Vehicle Launch</v>
      </c>
      <c r="P99" t="str">
        <f>IF(AND(Posts1116[[#This Row],[Date]]&gt;=DATE(2024,6,15), Posts1116[[#This Row],[Date]]&lt;=DATE(2024,7,15)),"During", "Before")</f>
        <v>Before</v>
      </c>
    </row>
    <row r="100" spans="1:16">
      <c r="A100" s="9" t="s">
        <v>110</v>
      </c>
      <c r="B100" s="5" t="s">
        <v>49</v>
      </c>
      <c r="C100" s="10">
        <v>45640</v>
      </c>
      <c r="D100" s="5" t="s">
        <v>56</v>
      </c>
      <c r="E100" s="5" t="s">
        <v>84</v>
      </c>
      <c r="F100" s="5">
        <v>2174</v>
      </c>
      <c r="G100" s="5">
        <v>658</v>
      </c>
      <c r="H100" s="5">
        <v>15</v>
      </c>
      <c r="I100" s="5">
        <v>13044</v>
      </c>
      <c r="J100" s="5">
        <v>12206</v>
      </c>
      <c r="K100" s="5">
        <v>137</v>
      </c>
      <c r="L100" s="5" t="s">
        <v>43</v>
      </c>
      <c r="M100" s="5" t="s">
        <v>15</v>
      </c>
      <c r="N100" s="13">
        <f>(Posts1116[[#This Row],[Likes]]+Posts1116[[#This Row],[Shares]]+Posts1116[[#This Row],[Comments]])/Posts1116[[#This Row],[Impressions]]</f>
        <v>0.21826126954921804</v>
      </c>
      <c r="O100" t="str">
        <f>_xlfn.XLOOKUP(Posts1116[[#This Row],[Campaign_Name]],Campaign_Metadata[Campaign_Name],Campaign_Metadata[Objective])</f>
        <v>Vehicle Launch</v>
      </c>
      <c r="P100" t="str">
        <f>IF(AND(Posts1116[[#This Row],[Date]]&gt;=DATE(2024,6,15), Posts1116[[#This Row],[Date]]&lt;=DATE(2024,7,15)),"During", "Before")</f>
        <v>Before</v>
      </c>
    </row>
    <row r="101" spans="1:16">
      <c r="A101" s="9" t="s">
        <v>126</v>
      </c>
      <c r="B101" s="5" t="s">
        <v>55</v>
      </c>
      <c r="C101" s="10">
        <v>45644</v>
      </c>
      <c r="D101" s="5" t="s">
        <v>56</v>
      </c>
      <c r="E101" s="5" t="s">
        <v>57</v>
      </c>
      <c r="F101" s="5">
        <v>2946</v>
      </c>
      <c r="G101" s="5">
        <v>498</v>
      </c>
      <c r="H101" s="5">
        <v>367</v>
      </c>
      <c r="I101" s="5">
        <v>29460</v>
      </c>
      <c r="J101" s="5">
        <v>28527</v>
      </c>
      <c r="K101" s="5">
        <v>60</v>
      </c>
      <c r="L101" s="5" t="s">
        <v>38</v>
      </c>
      <c r="M101" s="5" t="s">
        <v>15</v>
      </c>
      <c r="N101" s="13">
        <f>(Posts1116[[#This Row],[Likes]]+Posts1116[[#This Row],[Shares]]+Posts1116[[#This Row],[Comments]])/Posts1116[[#This Row],[Impressions]]</f>
        <v>0.12936184657162253</v>
      </c>
      <c r="O101" t="str">
        <f>_xlfn.XLOOKUP(Posts1116[[#This Row],[Campaign_Name]],Campaign_Metadata[Campaign_Name],Campaign_Metadata[Objective])</f>
        <v>Vehicle Launch</v>
      </c>
      <c r="P101" t="str">
        <f>IF(AND(Posts1116[[#This Row],[Date]]&gt;=DATE(2024,6,15), Posts1116[[#This Row],[Date]]&lt;=DATE(2024,7,15)),"During", "Before")</f>
        <v>Before</v>
      </c>
    </row>
    <row r="102" spans="1:16">
      <c r="A102" s="9" t="s">
        <v>268</v>
      </c>
      <c r="B102" s="5" t="s">
        <v>49</v>
      </c>
      <c r="C102" s="10">
        <v>45645</v>
      </c>
      <c r="D102" s="5" t="s">
        <v>41</v>
      </c>
      <c r="E102" s="5" t="s">
        <v>97</v>
      </c>
      <c r="F102" s="5">
        <v>1813</v>
      </c>
      <c r="G102" s="5">
        <v>623</v>
      </c>
      <c r="H102" s="5">
        <v>72</v>
      </c>
      <c r="I102" s="5">
        <v>19943</v>
      </c>
      <c r="J102" s="5">
        <v>18959</v>
      </c>
      <c r="K102" s="5">
        <v>85</v>
      </c>
      <c r="L102" s="5" t="s">
        <v>52</v>
      </c>
      <c r="M102" s="5" t="s">
        <v>15</v>
      </c>
      <c r="N102" s="13">
        <f>(Posts1116[[#This Row],[Likes]]+Posts1116[[#This Row],[Shares]]+Posts1116[[#This Row],[Comments]])/Posts1116[[#This Row],[Impressions]]</f>
        <v>0.12575841147269717</v>
      </c>
      <c r="O102" t="str">
        <f>_xlfn.XLOOKUP(Posts1116[[#This Row],[Campaign_Name]],Campaign_Metadata[Campaign_Name],Campaign_Metadata[Objective])</f>
        <v>Vehicle Launch</v>
      </c>
      <c r="P102" t="str">
        <f>IF(AND(Posts1116[[#This Row],[Date]]&gt;=DATE(2024,6,15), Posts1116[[#This Row],[Date]]&lt;=DATE(2024,7,15)),"During", "Before")</f>
        <v>Before</v>
      </c>
    </row>
    <row r="103" spans="1:16">
      <c r="A103" s="11" t="s">
        <v>259</v>
      </c>
      <c r="B103" s="6" t="s">
        <v>35</v>
      </c>
      <c r="C103" s="12">
        <v>45648</v>
      </c>
      <c r="D103" s="6" t="s">
        <v>36</v>
      </c>
      <c r="E103" s="6" t="s">
        <v>37</v>
      </c>
      <c r="F103" s="6">
        <v>1644</v>
      </c>
      <c r="G103" s="6">
        <v>546</v>
      </c>
      <c r="H103" s="6">
        <v>150</v>
      </c>
      <c r="I103" s="6">
        <v>27948</v>
      </c>
      <c r="J103" s="6">
        <v>27184</v>
      </c>
      <c r="K103" s="6">
        <v>300</v>
      </c>
      <c r="L103" s="6" t="s">
        <v>52</v>
      </c>
      <c r="M103" s="6" t="s">
        <v>15</v>
      </c>
      <c r="N103" s="14">
        <f>(Posts1116[[#This Row],[Likes]]+Posts1116[[#This Row],[Shares]]+Posts1116[[#This Row],[Comments]])/Posts1116[[#This Row],[Impressions]]</f>
        <v>8.3726921425504502E-2</v>
      </c>
      <c r="O103" t="str">
        <f>_xlfn.XLOOKUP(Posts1116[[#This Row],[Campaign_Name]],Campaign_Metadata[Campaign_Name],Campaign_Metadata[Objective])</f>
        <v>Vehicle Launch</v>
      </c>
      <c r="P103" t="str">
        <f>IF(AND(Posts1116[[#This Row],[Date]]&gt;=DATE(2024,6,15), Posts1116[[#This Row],[Date]]&lt;=DATE(2024,7,15)),"During", "Before")</f>
        <v>Before</v>
      </c>
    </row>
    <row r="104" spans="1:16">
      <c r="A104" s="11" t="s">
        <v>307</v>
      </c>
      <c r="B104" s="6" t="s">
        <v>55</v>
      </c>
      <c r="C104" s="12">
        <v>45648</v>
      </c>
      <c r="D104" s="6" t="s">
        <v>61</v>
      </c>
      <c r="E104" s="6" t="s">
        <v>66</v>
      </c>
      <c r="F104" s="6">
        <v>3196</v>
      </c>
      <c r="G104" s="6">
        <v>941</v>
      </c>
      <c r="H104" s="6">
        <v>376</v>
      </c>
      <c r="I104" s="6">
        <v>35156</v>
      </c>
      <c r="J104" s="6">
        <v>34444</v>
      </c>
      <c r="K104" s="6">
        <v>241</v>
      </c>
      <c r="L104" s="6" t="s">
        <v>43</v>
      </c>
      <c r="M104" s="6" t="s">
        <v>15</v>
      </c>
      <c r="N104" s="14">
        <f>(Posts1116[[#This Row],[Likes]]+Posts1116[[#This Row],[Shares]]+Posts1116[[#This Row],[Comments]])/Posts1116[[#This Row],[Impressions]]</f>
        <v>0.1283706906360223</v>
      </c>
      <c r="O104" t="str">
        <f>_xlfn.XLOOKUP(Posts1116[[#This Row],[Campaign_Name]],Campaign_Metadata[Campaign_Name],Campaign_Metadata[Objective])</f>
        <v>Vehicle Launch</v>
      </c>
      <c r="P104" t="str">
        <f>IF(AND(Posts1116[[#This Row],[Date]]&gt;=DATE(2024,6,15), Posts1116[[#This Row],[Date]]&lt;=DATE(2024,7,15)),"During", "Before")</f>
        <v>Before</v>
      </c>
    </row>
    <row r="105" spans="1:16">
      <c r="A105" s="9" t="s">
        <v>279</v>
      </c>
      <c r="B105" s="5" t="s">
        <v>35</v>
      </c>
      <c r="C105" s="10">
        <v>45655</v>
      </c>
      <c r="D105" s="5" t="s">
        <v>56</v>
      </c>
      <c r="E105" s="5" t="s">
        <v>59</v>
      </c>
      <c r="F105" s="5">
        <v>4274</v>
      </c>
      <c r="G105" s="5">
        <v>340</v>
      </c>
      <c r="H105" s="5">
        <v>281</v>
      </c>
      <c r="I105" s="5">
        <v>34192</v>
      </c>
      <c r="J105" s="5">
        <v>33446</v>
      </c>
      <c r="K105" s="5">
        <v>129</v>
      </c>
      <c r="L105" s="5" t="s">
        <v>43</v>
      </c>
      <c r="M105" s="5" t="s">
        <v>15</v>
      </c>
      <c r="N105" s="13">
        <f>(Posts1116[[#This Row],[Likes]]+Posts1116[[#This Row],[Shares]]+Posts1116[[#This Row],[Comments]])/Posts1116[[#This Row],[Impressions]]</f>
        <v>0.14316214319138981</v>
      </c>
      <c r="O105" t="str">
        <f>_xlfn.XLOOKUP(Posts1116[[#This Row],[Campaign_Name]],Campaign_Metadata[Campaign_Name],Campaign_Metadata[Objective])</f>
        <v>Vehicle Launch</v>
      </c>
      <c r="P105" t="str">
        <f>IF(AND(Posts1116[[#This Row],[Date]]&gt;=DATE(2024,6,15), Posts1116[[#This Row],[Date]]&lt;=DATE(2024,7,15)),"During", "Before")</f>
        <v>Before</v>
      </c>
    </row>
    <row r="106" spans="1:16">
      <c r="A106" s="11" t="s">
        <v>279</v>
      </c>
      <c r="B106" s="6" t="s">
        <v>35</v>
      </c>
      <c r="C106" s="12">
        <v>45655</v>
      </c>
      <c r="D106" s="6" t="s">
        <v>56</v>
      </c>
      <c r="E106" s="6" t="s">
        <v>59</v>
      </c>
      <c r="F106" s="6">
        <v>4274</v>
      </c>
      <c r="G106" s="6">
        <v>340</v>
      </c>
      <c r="H106" s="6">
        <v>281</v>
      </c>
      <c r="I106" s="6">
        <v>34192</v>
      </c>
      <c r="J106" s="6">
        <v>33446</v>
      </c>
      <c r="K106" s="6">
        <v>129</v>
      </c>
      <c r="L106" s="6" t="s">
        <v>18</v>
      </c>
      <c r="M106" s="6" t="s">
        <v>15</v>
      </c>
      <c r="N106" s="14">
        <f>(Posts1116[[#This Row],[Likes]]+Posts1116[[#This Row],[Shares]]+Posts1116[[#This Row],[Comments]])/Posts1116[[#This Row],[Impressions]]</f>
        <v>0.14316214319138981</v>
      </c>
      <c r="O106" t="str">
        <f>_xlfn.XLOOKUP(Posts1116[[#This Row],[Campaign_Name]],Campaign_Metadata[Campaign_Name],Campaign_Metadata[Objective])</f>
        <v>Vehicle Launch</v>
      </c>
      <c r="P106" t="str">
        <f>IF(AND(Posts1116[[#This Row],[Date]]&gt;=DATE(2024,6,15), Posts1116[[#This Row],[Date]]&lt;=DATE(2024,7,15)),"During", "Before")</f>
        <v>Before</v>
      </c>
    </row>
    <row r="107" spans="1:16">
      <c r="A107" s="9" t="s">
        <v>225</v>
      </c>
      <c r="B107" s="5" t="s">
        <v>35</v>
      </c>
      <c r="C107" s="10">
        <v>45658</v>
      </c>
      <c r="D107" s="5" t="s">
        <v>75</v>
      </c>
      <c r="E107" s="5" t="s">
        <v>114</v>
      </c>
      <c r="F107" s="5">
        <v>754</v>
      </c>
      <c r="G107" s="5">
        <v>197</v>
      </c>
      <c r="H107" s="5">
        <v>257</v>
      </c>
      <c r="I107" s="5">
        <v>6786</v>
      </c>
      <c r="J107" s="5">
        <v>6221</v>
      </c>
      <c r="K107" s="5">
        <v>212</v>
      </c>
      <c r="L107" s="5" t="s">
        <v>43</v>
      </c>
      <c r="M107" s="5" t="s">
        <v>15</v>
      </c>
      <c r="N107" s="13">
        <f>(Posts1116[[#This Row],[Likes]]+Posts1116[[#This Row],[Shares]]+Posts1116[[#This Row],[Comments]])/Posts1116[[#This Row],[Impressions]]</f>
        <v>0.17801355732390214</v>
      </c>
      <c r="O107" t="str">
        <f>_xlfn.XLOOKUP(Posts1116[[#This Row],[Campaign_Name]],Campaign_Metadata[Campaign_Name],Campaign_Metadata[Objective])</f>
        <v>Vehicle Launch</v>
      </c>
      <c r="P107" t="str">
        <f>IF(AND(Posts1116[[#This Row],[Date]]&gt;=DATE(2024,6,15), Posts1116[[#This Row],[Date]]&lt;=DATE(2024,7,15)),"During", "Before")</f>
        <v>Before</v>
      </c>
    </row>
    <row r="108" spans="1:16">
      <c r="A108" s="9" t="s">
        <v>276</v>
      </c>
      <c r="B108" s="5" t="s">
        <v>49</v>
      </c>
      <c r="C108" s="10">
        <v>45658</v>
      </c>
      <c r="D108" s="5" t="s">
        <v>56</v>
      </c>
      <c r="E108" s="5" t="s">
        <v>84</v>
      </c>
      <c r="F108" s="5">
        <v>2234</v>
      </c>
      <c r="G108" s="5">
        <v>653</v>
      </c>
      <c r="H108" s="5">
        <v>432</v>
      </c>
      <c r="I108" s="5">
        <v>11170</v>
      </c>
      <c r="J108" s="5">
        <v>10569</v>
      </c>
      <c r="K108" s="5">
        <v>198</v>
      </c>
      <c r="L108" s="5" t="s">
        <v>38</v>
      </c>
      <c r="M108" s="5" t="s">
        <v>15</v>
      </c>
      <c r="N108" s="13">
        <f>(Posts1116[[#This Row],[Likes]]+Posts1116[[#This Row],[Shares]]+Posts1116[[#This Row],[Comments]])/Posts1116[[#This Row],[Impressions]]</f>
        <v>0.29713518352730528</v>
      </c>
      <c r="O108" t="str">
        <f>_xlfn.XLOOKUP(Posts1116[[#This Row],[Campaign_Name]],Campaign_Metadata[Campaign_Name],Campaign_Metadata[Objective])</f>
        <v>Vehicle Launch</v>
      </c>
      <c r="P108" t="str">
        <f>IF(AND(Posts1116[[#This Row],[Date]]&gt;=DATE(2024,6,15), Posts1116[[#This Row],[Date]]&lt;=DATE(2024,7,15)),"During", "Before")</f>
        <v>Before</v>
      </c>
    </row>
    <row r="109" spans="1:16">
      <c r="A109" s="9" t="s">
        <v>342</v>
      </c>
      <c r="B109" s="5" t="s">
        <v>46</v>
      </c>
      <c r="C109" s="10">
        <v>45672</v>
      </c>
      <c r="D109" s="5" t="s">
        <v>36</v>
      </c>
      <c r="E109" s="5" t="s">
        <v>47</v>
      </c>
      <c r="F109" s="5">
        <v>3774</v>
      </c>
      <c r="G109" s="5">
        <v>239</v>
      </c>
      <c r="H109" s="5">
        <v>39</v>
      </c>
      <c r="I109" s="5">
        <v>60384</v>
      </c>
      <c r="J109" s="5">
        <v>59490</v>
      </c>
      <c r="K109" s="5">
        <v>241</v>
      </c>
      <c r="L109" s="5" t="s">
        <v>43</v>
      </c>
      <c r="M109" s="5" t="s">
        <v>15</v>
      </c>
      <c r="N109" s="13">
        <f>(Posts1116[[#This Row],[Likes]]+Posts1116[[#This Row],[Shares]]+Posts1116[[#This Row],[Comments]])/Posts1116[[#This Row],[Impressions]]</f>
        <v>6.7103868574456813E-2</v>
      </c>
      <c r="O109" t="str">
        <f>_xlfn.XLOOKUP(Posts1116[[#This Row],[Campaign_Name]],Campaign_Metadata[Campaign_Name],Campaign_Metadata[Objective])</f>
        <v>Vehicle Launch</v>
      </c>
      <c r="P109" t="str">
        <f>IF(AND(Posts1116[[#This Row],[Date]]&gt;=DATE(2024,6,15), Posts1116[[#This Row],[Date]]&lt;=DATE(2024,7,15)),"During", "Before")</f>
        <v>Before</v>
      </c>
    </row>
    <row r="110" spans="1:16">
      <c r="A110" s="11" t="s">
        <v>88</v>
      </c>
      <c r="B110" s="6" t="s">
        <v>55</v>
      </c>
      <c r="C110" s="12">
        <v>45680</v>
      </c>
      <c r="D110" s="6" t="s">
        <v>75</v>
      </c>
      <c r="E110" s="6" t="s">
        <v>76</v>
      </c>
      <c r="F110" s="6">
        <v>3961</v>
      </c>
      <c r="G110" s="6">
        <v>761</v>
      </c>
      <c r="H110" s="6">
        <v>131</v>
      </c>
      <c r="I110" s="6">
        <v>67337</v>
      </c>
      <c r="J110" s="6">
        <v>66615</v>
      </c>
      <c r="K110" s="6">
        <v>161</v>
      </c>
      <c r="L110" s="6" t="s">
        <v>38</v>
      </c>
      <c r="M110" s="6" t="s">
        <v>15</v>
      </c>
      <c r="N110" s="14">
        <f>(Posts1116[[#This Row],[Likes]]+Posts1116[[#This Row],[Shares]]+Posts1116[[#This Row],[Comments]])/Posts1116[[#This Row],[Impressions]]</f>
        <v>7.2070332803659209E-2</v>
      </c>
      <c r="O110" t="str">
        <f>_xlfn.XLOOKUP(Posts1116[[#This Row],[Campaign_Name]],Campaign_Metadata[Campaign_Name],Campaign_Metadata[Objective])</f>
        <v>Vehicle Launch</v>
      </c>
      <c r="P110" t="str">
        <f>IF(AND(Posts1116[[#This Row],[Date]]&gt;=DATE(2024,6,15), Posts1116[[#This Row],[Date]]&lt;=DATE(2024,7,15)),"During", "Before")</f>
        <v>Before</v>
      </c>
    </row>
    <row r="111" spans="1:16">
      <c r="A111" s="9" t="s">
        <v>199</v>
      </c>
      <c r="B111" s="5" t="s">
        <v>55</v>
      </c>
      <c r="C111" s="10">
        <v>45684</v>
      </c>
      <c r="D111" s="5" t="s">
        <v>36</v>
      </c>
      <c r="E111" s="5" t="s">
        <v>69</v>
      </c>
      <c r="F111" s="5">
        <v>3452</v>
      </c>
      <c r="G111" s="5">
        <v>652</v>
      </c>
      <c r="H111" s="5">
        <v>442</v>
      </c>
      <c r="I111" s="5">
        <v>65588</v>
      </c>
      <c r="J111" s="5">
        <v>65049</v>
      </c>
      <c r="K111" s="5">
        <v>158</v>
      </c>
      <c r="L111" s="5" t="s">
        <v>38</v>
      </c>
      <c r="M111" s="5" t="s">
        <v>15</v>
      </c>
      <c r="N111" s="13">
        <f>(Posts1116[[#This Row],[Likes]]+Posts1116[[#This Row],[Shares]]+Posts1116[[#This Row],[Comments]])/Posts1116[[#This Row],[Impressions]]</f>
        <v>6.9311459413307311E-2</v>
      </c>
      <c r="O111" t="str">
        <f>_xlfn.XLOOKUP(Posts1116[[#This Row],[Campaign_Name]],Campaign_Metadata[Campaign_Name],Campaign_Metadata[Objective])</f>
        <v>Vehicle Launch</v>
      </c>
      <c r="P111" t="str">
        <f>IF(AND(Posts1116[[#This Row],[Date]]&gt;=DATE(2024,6,15), Posts1116[[#This Row],[Date]]&lt;=DATE(2024,7,15)),"During", "Before")</f>
        <v>Before</v>
      </c>
    </row>
    <row r="112" spans="1:16">
      <c r="A112" s="9" t="s">
        <v>130</v>
      </c>
      <c r="B112" s="5" t="s">
        <v>49</v>
      </c>
      <c r="C112" s="10">
        <v>45685</v>
      </c>
      <c r="D112" s="5" t="s">
        <v>75</v>
      </c>
      <c r="E112" s="5" t="s">
        <v>82</v>
      </c>
      <c r="F112" s="5">
        <v>904</v>
      </c>
      <c r="G112" s="5">
        <v>973</v>
      </c>
      <c r="H112" s="5">
        <v>63</v>
      </c>
      <c r="I112" s="5">
        <v>11752</v>
      </c>
      <c r="J112" s="5">
        <v>11580</v>
      </c>
      <c r="K112" s="5">
        <v>84</v>
      </c>
      <c r="L112" s="5" t="s">
        <v>52</v>
      </c>
      <c r="M112" s="5" t="s">
        <v>15</v>
      </c>
      <c r="N112" s="13">
        <f>(Posts1116[[#This Row],[Likes]]+Posts1116[[#This Row],[Shares]]+Posts1116[[#This Row],[Comments]])/Posts1116[[#This Row],[Impressions]]</f>
        <v>0.1650782845473111</v>
      </c>
      <c r="O112" t="str">
        <f>_xlfn.XLOOKUP(Posts1116[[#This Row],[Campaign_Name]],Campaign_Metadata[Campaign_Name],Campaign_Metadata[Objective])</f>
        <v>Vehicle Launch</v>
      </c>
      <c r="P112" t="str">
        <f>IF(AND(Posts1116[[#This Row],[Date]]&gt;=DATE(2024,6,15), Posts1116[[#This Row],[Date]]&lt;=DATE(2024,7,15)),"During", "Before")</f>
        <v>Before</v>
      </c>
    </row>
    <row r="113" spans="1:16">
      <c r="A113" s="11" t="s">
        <v>130</v>
      </c>
      <c r="B113" s="6" t="s">
        <v>49</v>
      </c>
      <c r="C113" s="12">
        <v>45685</v>
      </c>
      <c r="D113" s="6" t="s">
        <v>75</v>
      </c>
      <c r="E113" s="6" t="s">
        <v>82</v>
      </c>
      <c r="F113" s="6">
        <v>904</v>
      </c>
      <c r="G113" s="6">
        <v>973</v>
      </c>
      <c r="H113" s="6">
        <v>63</v>
      </c>
      <c r="I113" s="6">
        <v>11752</v>
      </c>
      <c r="J113" s="6">
        <v>11580</v>
      </c>
      <c r="K113" s="6">
        <v>84</v>
      </c>
      <c r="L113" s="6" t="s">
        <v>43</v>
      </c>
      <c r="M113" s="6" t="s">
        <v>15</v>
      </c>
      <c r="N113" s="14">
        <f>(Posts1116[[#This Row],[Likes]]+Posts1116[[#This Row],[Shares]]+Posts1116[[#This Row],[Comments]])/Posts1116[[#This Row],[Impressions]]</f>
        <v>0.1650782845473111</v>
      </c>
      <c r="O113" t="str">
        <f>_xlfn.XLOOKUP(Posts1116[[#This Row],[Campaign_Name]],Campaign_Metadata[Campaign_Name],Campaign_Metadata[Objective])</f>
        <v>Vehicle Launch</v>
      </c>
      <c r="P113" t="str">
        <f>IF(AND(Posts1116[[#This Row],[Date]]&gt;=DATE(2024,6,15), Posts1116[[#This Row],[Date]]&lt;=DATE(2024,7,15)),"During", "Before")</f>
        <v>Before</v>
      </c>
    </row>
    <row r="114" spans="1:16">
      <c r="A114" s="9" t="s">
        <v>130</v>
      </c>
      <c r="B114" s="5" t="s">
        <v>49</v>
      </c>
      <c r="C114" s="10">
        <v>45685</v>
      </c>
      <c r="D114" s="5" t="s">
        <v>75</v>
      </c>
      <c r="E114" s="5" t="s">
        <v>82</v>
      </c>
      <c r="F114" s="5">
        <v>904</v>
      </c>
      <c r="G114" s="5">
        <v>973</v>
      </c>
      <c r="H114" s="5">
        <v>63</v>
      </c>
      <c r="I114" s="5">
        <v>11752</v>
      </c>
      <c r="J114" s="5">
        <v>11580</v>
      </c>
      <c r="K114" s="5">
        <v>84</v>
      </c>
      <c r="L114" s="5" t="s">
        <v>39</v>
      </c>
      <c r="M114" s="5" t="s">
        <v>15</v>
      </c>
      <c r="N114" s="13">
        <f>(Posts1116[[#This Row],[Likes]]+Posts1116[[#This Row],[Shares]]+Posts1116[[#This Row],[Comments]])/Posts1116[[#This Row],[Impressions]]</f>
        <v>0.1650782845473111</v>
      </c>
      <c r="O114" t="str">
        <f>_xlfn.XLOOKUP(Posts1116[[#This Row],[Campaign_Name]],Campaign_Metadata[Campaign_Name],Campaign_Metadata[Objective])</f>
        <v>Vehicle Launch</v>
      </c>
      <c r="P114" t="str">
        <f>IF(AND(Posts1116[[#This Row],[Date]]&gt;=DATE(2024,6,15), Posts1116[[#This Row],[Date]]&lt;=DATE(2024,7,15)),"During", "Before")</f>
        <v>Before</v>
      </c>
    </row>
    <row r="115" spans="1:16">
      <c r="A115" s="9" t="s">
        <v>94</v>
      </c>
      <c r="B115" s="5" t="s">
        <v>49</v>
      </c>
      <c r="C115" s="10">
        <v>45688</v>
      </c>
      <c r="D115" s="5" t="s">
        <v>56</v>
      </c>
      <c r="E115" s="5" t="s">
        <v>84</v>
      </c>
      <c r="F115" s="5">
        <v>2566</v>
      </c>
      <c r="G115" s="5">
        <v>118</v>
      </c>
      <c r="H115" s="5">
        <v>37</v>
      </c>
      <c r="I115" s="5">
        <v>12830</v>
      </c>
      <c r="J115" s="5">
        <v>12264</v>
      </c>
      <c r="K115" s="5">
        <v>221</v>
      </c>
      <c r="L115" s="5" t="s">
        <v>38</v>
      </c>
      <c r="M115" s="5" t="s">
        <v>15</v>
      </c>
      <c r="N115" s="13">
        <f>(Posts1116[[#This Row],[Likes]]+Posts1116[[#This Row],[Shares]]+Posts1116[[#This Row],[Comments]])/Posts1116[[#This Row],[Impressions]]</f>
        <v>0.21208106001558846</v>
      </c>
      <c r="O115" t="str">
        <f>_xlfn.XLOOKUP(Posts1116[[#This Row],[Campaign_Name]],Campaign_Metadata[Campaign_Name],Campaign_Metadata[Objective])</f>
        <v>Vehicle Launch</v>
      </c>
      <c r="P115" t="str">
        <f>IF(AND(Posts1116[[#This Row],[Date]]&gt;=DATE(2024,6,15), Posts1116[[#This Row],[Date]]&lt;=DATE(2024,7,15)),"During", "Before")</f>
        <v>Before</v>
      </c>
    </row>
    <row r="116" spans="1:16">
      <c r="A116" s="9" t="s">
        <v>332</v>
      </c>
      <c r="B116" s="5" t="s">
        <v>49</v>
      </c>
      <c r="C116" s="10">
        <v>45700</v>
      </c>
      <c r="D116" s="5" t="s">
        <v>50</v>
      </c>
      <c r="E116" s="5" t="s">
        <v>51</v>
      </c>
      <c r="F116" s="5">
        <v>4332</v>
      </c>
      <c r="G116" s="5">
        <v>771</v>
      </c>
      <c r="H116" s="5">
        <v>219</v>
      </c>
      <c r="I116" s="5">
        <v>60648</v>
      </c>
      <c r="J116" s="5">
        <v>60397</v>
      </c>
      <c r="K116" s="5">
        <v>10</v>
      </c>
      <c r="L116" s="5" t="s">
        <v>43</v>
      </c>
      <c r="M116" s="5" t="s">
        <v>15</v>
      </c>
      <c r="N116" s="13">
        <f>(Posts1116[[#This Row],[Likes]]+Posts1116[[#This Row],[Shares]]+Posts1116[[#This Row],[Comments]])/Posts1116[[#This Row],[Impressions]]</f>
        <v>8.7752275425405618E-2</v>
      </c>
      <c r="O116" t="str">
        <f>_xlfn.XLOOKUP(Posts1116[[#This Row],[Campaign_Name]],Campaign_Metadata[Campaign_Name],Campaign_Metadata[Objective])</f>
        <v>Vehicle Launch</v>
      </c>
      <c r="P116" t="str">
        <f>IF(AND(Posts1116[[#This Row],[Date]]&gt;=DATE(2024,6,15), Posts1116[[#This Row],[Date]]&lt;=DATE(2024,7,15)),"During", "Before")</f>
        <v>Before</v>
      </c>
    </row>
    <row r="117" spans="1:16">
      <c r="A117" s="11" t="s">
        <v>332</v>
      </c>
      <c r="B117" s="6" t="s">
        <v>49</v>
      </c>
      <c r="C117" s="12">
        <v>45700</v>
      </c>
      <c r="D117" s="6" t="s">
        <v>50</v>
      </c>
      <c r="E117" s="6" t="s">
        <v>51</v>
      </c>
      <c r="F117" s="6">
        <v>4332</v>
      </c>
      <c r="G117" s="6">
        <v>771</v>
      </c>
      <c r="H117" s="6">
        <v>219</v>
      </c>
      <c r="I117" s="6">
        <v>60648</v>
      </c>
      <c r="J117" s="6">
        <v>60397</v>
      </c>
      <c r="K117" s="6">
        <v>10</v>
      </c>
      <c r="L117" s="6" t="s">
        <v>52</v>
      </c>
      <c r="M117" s="6" t="s">
        <v>15</v>
      </c>
      <c r="N117" s="14">
        <f>(Posts1116[[#This Row],[Likes]]+Posts1116[[#This Row],[Shares]]+Posts1116[[#This Row],[Comments]])/Posts1116[[#This Row],[Impressions]]</f>
        <v>8.7752275425405618E-2</v>
      </c>
      <c r="O117" t="str">
        <f>_xlfn.XLOOKUP(Posts1116[[#This Row],[Campaign_Name]],Campaign_Metadata[Campaign_Name],Campaign_Metadata[Objective])</f>
        <v>Vehicle Launch</v>
      </c>
      <c r="P117" t="str">
        <f>IF(AND(Posts1116[[#This Row],[Date]]&gt;=DATE(2024,6,15), Posts1116[[#This Row],[Date]]&lt;=DATE(2024,7,15)),"During", "Before")</f>
        <v>Before</v>
      </c>
    </row>
    <row r="118" spans="1:16">
      <c r="A118" s="9" t="s">
        <v>332</v>
      </c>
      <c r="B118" s="5" t="s">
        <v>49</v>
      </c>
      <c r="C118" s="10">
        <v>45700</v>
      </c>
      <c r="D118" s="5" t="s">
        <v>50</v>
      </c>
      <c r="E118" s="5" t="s">
        <v>51</v>
      </c>
      <c r="F118" s="5">
        <v>4332</v>
      </c>
      <c r="G118" s="5">
        <v>771</v>
      </c>
      <c r="H118" s="5">
        <v>219</v>
      </c>
      <c r="I118" s="5">
        <v>60648</v>
      </c>
      <c r="J118" s="5">
        <v>60397</v>
      </c>
      <c r="K118" s="5">
        <v>10</v>
      </c>
      <c r="L118" s="5" t="s">
        <v>44</v>
      </c>
      <c r="M118" s="5" t="s">
        <v>15</v>
      </c>
      <c r="N118" s="13">
        <f>(Posts1116[[#This Row],[Likes]]+Posts1116[[#This Row],[Shares]]+Posts1116[[#This Row],[Comments]])/Posts1116[[#This Row],[Impressions]]</f>
        <v>8.7752275425405618E-2</v>
      </c>
      <c r="O118" t="str">
        <f>_xlfn.XLOOKUP(Posts1116[[#This Row],[Campaign_Name]],Campaign_Metadata[Campaign_Name],Campaign_Metadata[Objective])</f>
        <v>Vehicle Launch</v>
      </c>
      <c r="P118" t="str">
        <f>IF(AND(Posts1116[[#This Row],[Date]]&gt;=DATE(2024,6,15), Posts1116[[#This Row],[Date]]&lt;=DATE(2024,7,15)),"During", "Before")</f>
        <v>Before</v>
      </c>
    </row>
    <row r="119" spans="1:16">
      <c r="A119" s="11" t="s">
        <v>139</v>
      </c>
      <c r="B119" s="6" t="s">
        <v>35</v>
      </c>
      <c r="C119" s="12">
        <v>45724</v>
      </c>
      <c r="D119" s="6" t="s">
        <v>41</v>
      </c>
      <c r="E119" s="6" t="s">
        <v>42</v>
      </c>
      <c r="F119" s="6">
        <v>1292</v>
      </c>
      <c r="G119" s="6">
        <v>626</v>
      </c>
      <c r="H119" s="6">
        <v>496</v>
      </c>
      <c r="I119" s="6">
        <v>25840</v>
      </c>
      <c r="J119" s="6">
        <v>24916</v>
      </c>
      <c r="K119" s="6">
        <v>149</v>
      </c>
      <c r="L119" s="6" t="s">
        <v>38</v>
      </c>
      <c r="M119" s="6" t="s">
        <v>15</v>
      </c>
      <c r="N119" s="14">
        <f>(Posts1116[[#This Row],[Likes]]+Posts1116[[#This Row],[Shares]]+Posts1116[[#This Row],[Comments]])/Posts1116[[#This Row],[Impressions]]</f>
        <v>9.3421052631578946E-2</v>
      </c>
      <c r="O119" t="str">
        <f>_xlfn.XLOOKUP(Posts1116[[#This Row],[Campaign_Name]],Campaign_Metadata[Campaign_Name],Campaign_Metadata[Objective])</f>
        <v>Vehicle Launch</v>
      </c>
      <c r="P119" t="str">
        <f>IF(AND(Posts1116[[#This Row],[Date]]&gt;=DATE(2024,6,15), Posts1116[[#This Row],[Date]]&lt;=DATE(2024,7,15)),"During", "Before")</f>
        <v>Before</v>
      </c>
    </row>
    <row r="120" spans="1:16">
      <c r="A120" s="11" t="s">
        <v>253</v>
      </c>
      <c r="B120" s="6" t="s">
        <v>46</v>
      </c>
      <c r="C120" s="12">
        <v>45737</v>
      </c>
      <c r="D120" s="6" t="s">
        <v>61</v>
      </c>
      <c r="E120" s="6" t="s">
        <v>62</v>
      </c>
      <c r="F120" s="6">
        <v>606</v>
      </c>
      <c r="G120" s="6">
        <v>789</v>
      </c>
      <c r="H120" s="6">
        <v>470</v>
      </c>
      <c r="I120" s="6">
        <v>7878</v>
      </c>
      <c r="J120" s="6">
        <v>7389</v>
      </c>
      <c r="K120" s="6">
        <v>239</v>
      </c>
      <c r="L120" s="6" t="s">
        <v>52</v>
      </c>
      <c r="M120" s="6" t="s">
        <v>15</v>
      </c>
      <c r="N120" s="14">
        <f>(Posts1116[[#This Row],[Likes]]+Posts1116[[#This Row],[Shares]]+Posts1116[[#This Row],[Comments]])/Posts1116[[#This Row],[Impressions]]</f>
        <v>0.23673521198273673</v>
      </c>
      <c r="O120" t="str">
        <f>_xlfn.XLOOKUP(Posts1116[[#This Row],[Campaign_Name]],Campaign_Metadata[Campaign_Name],Campaign_Metadata[Objective])</f>
        <v>Vehicle Launch</v>
      </c>
      <c r="P120" t="str">
        <f>IF(AND(Posts1116[[#This Row],[Date]]&gt;=DATE(2024,6,15), Posts1116[[#This Row],[Date]]&lt;=DATE(2024,7,15)),"During", "Before")</f>
        <v>Before</v>
      </c>
    </row>
    <row r="121" spans="1:16">
      <c r="A121" s="9" t="s">
        <v>176</v>
      </c>
      <c r="B121" s="5" t="s">
        <v>46</v>
      </c>
      <c r="C121" s="10">
        <v>45739</v>
      </c>
      <c r="D121" s="5" t="s">
        <v>50</v>
      </c>
      <c r="E121" s="5" t="s">
        <v>120</v>
      </c>
      <c r="F121" s="5">
        <v>3655</v>
      </c>
      <c r="G121" s="5">
        <v>568</v>
      </c>
      <c r="H121" s="5">
        <v>286</v>
      </c>
      <c r="I121" s="5">
        <v>32895</v>
      </c>
      <c r="J121" s="5">
        <v>32015</v>
      </c>
      <c r="K121" s="5">
        <v>199</v>
      </c>
      <c r="L121" s="5" t="s">
        <v>43</v>
      </c>
      <c r="M121" s="5" t="s">
        <v>15</v>
      </c>
      <c r="N121" s="13">
        <f>(Posts1116[[#This Row],[Likes]]+Posts1116[[#This Row],[Shares]]+Posts1116[[#This Row],[Comments]])/Posts1116[[#This Row],[Impressions]]</f>
        <v>0.13707250341997265</v>
      </c>
      <c r="O121" t="str">
        <f>_xlfn.XLOOKUP(Posts1116[[#This Row],[Campaign_Name]],Campaign_Metadata[Campaign_Name],Campaign_Metadata[Objective])</f>
        <v>Vehicle Launch</v>
      </c>
      <c r="P121" t="str">
        <f>IF(AND(Posts1116[[#This Row],[Date]]&gt;=DATE(2024,6,15), Posts1116[[#This Row],[Date]]&lt;=DATE(2024,7,15)),"During", "Before")</f>
        <v>Before</v>
      </c>
    </row>
    <row r="122" spans="1:16">
      <c r="A122" s="11" t="s">
        <v>100</v>
      </c>
      <c r="B122" s="6" t="s">
        <v>55</v>
      </c>
      <c r="C122" s="12">
        <v>45742</v>
      </c>
      <c r="D122" s="6" t="s">
        <v>41</v>
      </c>
      <c r="E122" s="6" t="s">
        <v>64</v>
      </c>
      <c r="F122" s="6">
        <v>1652</v>
      </c>
      <c r="G122" s="6">
        <v>89</v>
      </c>
      <c r="H122" s="6">
        <v>357</v>
      </c>
      <c r="I122" s="6">
        <v>29736</v>
      </c>
      <c r="J122" s="6">
        <v>28771</v>
      </c>
      <c r="K122" s="6">
        <v>215</v>
      </c>
      <c r="L122" s="6" t="s">
        <v>43</v>
      </c>
      <c r="M122" s="6" t="s">
        <v>15</v>
      </c>
      <c r="N122" s="14">
        <f>(Posts1116[[#This Row],[Likes]]+Posts1116[[#This Row],[Shares]]+Posts1116[[#This Row],[Comments]])/Posts1116[[#This Row],[Impressions]]</f>
        <v>7.055421038471886E-2</v>
      </c>
      <c r="O122" t="str">
        <f>_xlfn.XLOOKUP(Posts1116[[#This Row],[Campaign_Name]],Campaign_Metadata[Campaign_Name],Campaign_Metadata[Objective])</f>
        <v>Vehicle Launch</v>
      </c>
      <c r="P122" t="str">
        <f>IF(AND(Posts1116[[#This Row],[Date]]&gt;=DATE(2024,6,15), Posts1116[[#This Row],[Date]]&lt;=DATE(2024,7,15)),"During", "Before")</f>
        <v>Before</v>
      </c>
    </row>
    <row r="123" spans="1:16">
      <c r="A123" s="9" t="s">
        <v>344</v>
      </c>
      <c r="B123" s="5" t="s">
        <v>49</v>
      </c>
      <c r="C123" s="10">
        <v>45743</v>
      </c>
      <c r="D123" s="5" t="s">
        <v>41</v>
      </c>
      <c r="E123" s="5" t="s">
        <v>97</v>
      </c>
      <c r="F123" s="5">
        <v>4941</v>
      </c>
      <c r="G123" s="5">
        <v>414</v>
      </c>
      <c r="H123" s="5">
        <v>266</v>
      </c>
      <c r="I123" s="5">
        <v>39528</v>
      </c>
      <c r="J123" s="5">
        <v>39154</v>
      </c>
      <c r="K123" s="5">
        <v>217</v>
      </c>
      <c r="L123" s="5" t="s">
        <v>43</v>
      </c>
      <c r="M123" s="5" t="s">
        <v>15</v>
      </c>
      <c r="N123" s="13">
        <f>(Posts1116[[#This Row],[Likes]]+Posts1116[[#This Row],[Shares]]+Posts1116[[#This Row],[Comments]])/Posts1116[[#This Row],[Impressions]]</f>
        <v>0.14220299534507186</v>
      </c>
      <c r="O123" t="str">
        <f>_xlfn.XLOOKUP(Posts1116[[#This Row],[Campaign_Name]],Campaign_Metadata[Campaign_Name],Campaign_Metadata[Objective])</f>
        <v>Vehicle Launch</v>
      </c>
      <c r="P123" t="str">
        <f>IF(AND(Posts1116[[#This Row],[Date]]&gt;=DATE(2024,6,15), Posts1116[[#This Row],[Date]]&lt;=DATE(2024,7,15)),"During", "Before")</f>
        <v>Before</v>
      </c>
    </row>
    <row r="124" spans="1:16">
      <c r="A124" s="11" t="s">
        <v>137</v>
      </c>
      <c r="B124" s="6" t="s">
        <v>55</v>
      </c>
      <c r="C124" s="12">
        <v>45745</v>
      </c>
      <c r="D124" s="6" t="s">
        <v>56</v>
      </c>
      <c r="E124" s="6" t="s">
        <v>57</v>
      </c>
      <c r="F124" s="6">
        <v>4712</v>
      </c>
      <c r="G124" s="6">
        <v>568</v>
      </c>
      <c r="H124" s="6">
        <v>127</v>
      </c>
      <c r="I124" s="6">
        <v>84816</v>
      </c>
      <c r="J124" s="6">
        <v>84691</v>
      </c>
      <c r="K124" s="6">
        <v>100</v>
      </c>
      <c r="L124" s="6" t="s">
        <v>52</v>
      </c>
      <c r="M124" s="6" t="s">
        <v>15</v>
      </c>
      <c r="N124" s="14">
        <f>(Posts1116[[#This Row],[Likes]]+Posts1116[[#This Row],[Shares]]+Posts1116[[#This Row],[Comments]])/Posts1116[[#This Row],[Impressions]]</f>
        <v>6.3749764195434822E-2</v>
      </c>
      <c r="O124" t="str">
        <f>_xlfn.XLOOKUP(Posts1116[[#This Row],[Campaign_Name]],Campaign_Metadata[Campaign_Name],Campaign_Metadata[Objective])</f>
        <v>Vehicle Launch</v>
      </c>
      <c r="P124" t="str">
        <f>IF(AND(Posts1116[[#This Row],[Date]]&gt;=DATE(2024,6,15), Posts1116[[#This Row],[Date]]&lt;=DATE(2024,7,15)),"During", "Before")</f>
        <v>Before</v>
      </c>
    </row>
    <row r="125" spans="1:16">
      <c r="A125" s="11" t="s">
        <v>210</v>
      </c>
      <c r="B125" s="6" t="s">
        <v>35</v>
      </c>
      <c r="C125" s="12">
        <v>45745</v>
      </c>
      <c r="D125" s="6" t="s">
        <v>61</v>
      </c>
      <c r="E125" s="6" t="s">
        <v>107</v>
      </c>
      <c r="F125" s="6">
        <v>305</v>
      </c>
      <c r="G125" s="6">
        <v>187</v>
      </c>
      <c r="H125" s="6">
        <v>243</v>
      </c>
      <c r="I125" s="6">
        <v>4575</v>
      </c>
      <c r="J125" s="6">
        <v>3704</v>
      </c>
      <c r="K125" s="6">
        <v>234</v>
      </c>
      <c r="L125" s="6" t="s">
        <v>38</v>
      </c>
      <c r="M125" s="6" t="s">
        <v>15</v>
      </c>
      <c r="N125" s="14">
        <f>(Posts1116[[#This Row],[Likes]]+Posts1116[[#This Row],[Shares]]+Posts1116[[#This Row],[Comments]])/Posts1116[[#This Row],[Impressions]]</f>
        <v>0.16065573770491803</v>
      </c>
      <c r="O125" t="str">
        <f>_xlfn.XLOOKUP(Posts1116[[#This Row],[Campaign_Name]],Campaign_Metadata[Campaign_Name],Campaign_Metadata[Objective])</f>
        <v>Vehicle Launch</v>
      </c>
      <c r="P125" t="str">
        <f>IF(AND(Posts1116[[#This Row],[Date]]&gt;=DATE(2024,6,15), Posts1116[[#This Row],[Date]]&lt;=DATE(2024,7,15)),"During", "Before")</f>
        <v>Before</v>
      </c>
    </row>
    <row r="126" spans="1:16">
      <c r="A126" s="9" t="s">
        <v>360</v>
      </c>
      <c r="B126" s="5" t="s">
        <v>46</v>
      </c>
      <c r="C126" s="10">
        <v>45764</v>
      </c>
      <c r="D126" s="5" t="s">
        <v>56</v>
      </c>
      <c r="E126" s="5" t="s">
        <v>71</v>
      </c>
      <c r="F126" s="5">
        <v>4780</v>
      </c>
      <c r="G126" s="5">
        <v>691</v>
      </c>
      <c r="H126" s="5">
        <v>380</v>
      </c>
      <c r="I126" s="5">
        <v>86040</v>
      </c>
      <c r="J126" s="5">
        <v>85743</v>
      </c>
      <c r="K126" s="5">
        <v>262</v>
      </c>
      <c r="L126" s="5" t="s">
        <v>38</v>
      </c>
      <c r="M126" s="5" t="s">
        <v>15</v>
      </c>
      <c r="N126" s="13">
        <f>(Posts1116[[#This Row],[Likes]]+Posts1116[[#This Row],[Shares]]+Posts1116[[#This Row],[Comments]])/Posts1116[[#This Row],[Impressions]]</f>
        <v>6.800325430032543E-2</v>
      </c>
      <c r="O126" t="str">
        <f>_xlfn.XLOOKUP(Posts1116[[#This Row],[Campaign_Name]],Campaign_Metadata[Campaign_Name],Campaign_Metadata[Objective])</f>
        <v>Vehicle Launch</v>
      </c>
      <c r="P126" t="str">
        <f>IF(AND(Posts1116[[#This Row],[Date]]&gt;=DATE(2024,6,15), Posts1116[[#This Row],[Date]]&lt;=DATE(2024,7,15)),"During", "Before")</f>
        <v>Before</v>
      </c>
    </row>
    <row r="127" spans="1:16">
      <c r="A127" s="9" t="s">
        <v>242</v>
      </c>
      <c r="B127" s="5" t="s">
        <v>35</v>
      </c>
      <c r="C127" s="10">
        <v>45775</v>
      </c>
      <c r="D127" s="5" t="s">
        <v>41</v>
      </c>
      <c r="E127" s="5" t="s">
        <v>42</v>
      </c>
      <c r="F127" s="5">
        <v>3577</v>
      </c>
      <c r="G127" s="5">
        <v>596</v>
      </c>
      <c r="H127" s="5">
        <v>493</v>
      </c>
      <c r="I127" s="5">
        <v>67963</v>
      </c>
      <c r="J127" s="5">
        <v>67839</v>
      </c>
      <c r="K127" s="5">
        <v>53</v>
      </c>
      <c r="L127" s="5" t="s">
        <v>43</v>
      </c>
      <c r="M127" s="5" t="s">
        <v>15</v>
      </c>
      <c r="N127" s="13">
        <f>(Posts1116[[#This Row],[Likes]]+Posts1116[[#This Row],[Shares]]+Posts1116[[#This Row],[Comments]])/Posts1116[[#This Row],[Impressions]]</f>
        <v>6.8655003457763777E-2</v>
      </c>
      <c r="O127" t="str">
        <f>_xlfn.XLOOKUP(Posts1116[[#This Row],[Campaign_Name]],Campaign_Metadata[Campaign_Name],Campaign_Metadata[Objective])</f>
        <v>Vehicle Launch</v>
      </c>
      <c r="P127" t="str">
        <f>IF(AND(Posts1116[[#This Row],[Date]]&gt;=DATE(2024,6,15), Posts1116[[#This Row],[Date]]&lt;=DATE(2024,7,15)),"During", "Before")</f>
        <v>Before</v>
      </c>
    </row>
    <row r="128" spans="1:16">
      <c r="A128" s="9" t="s">
        <v>324</v>
      </c>
      <c r="B128" s="5" t="s">
        <v>55</v>
      </c>
      <c r="C128" s="10">
        <v>45775</v>
      </c>
      <c r="D128" s="5" t="s">
        <v>56</v>
      </c>
      <c r="E128" s="5" t="s">
        <v>57</v>
      </c>
      <c r="F128" s="5">
        <v>2089</v>
      </c>
      <c r="G128" s="5">
        <v>476</v>
      </c>
      <c r="H128" s="5">
        <v>69</v>
      </c>
      <c r="I128" s="5">
        <v>16712</v>
      </c>
      <c r="J128" s="5">
        <v>16309</v>
      </c>
      <c r="K128" s="5">
        <v>64</v>
      </c>
      <c r="L128" s="5" t="s">
        <v>38</v>
      </c>
      <c r="M128" s="5" t="s">
        <v>15</v>
      </c>
      <c r="N128" s="13">
        <f>(Posts1116[[#This Row],[Likes]]+Posts1116[[#This Row],[Shares]]+Posts1116[[#This Row],[Comments]])/Posts1116[[#This Row],[Impressions]]</f>
        <v>0.15761129727142173</v>
      </c>
      <c r="O128" t="str">
        <f>_xlfn.XLOOKUP(Posts1116[[#This Row],[Campaign_Name]],Campaign_Metadata[Campaign_Name],Campaign_Metadata[Objective])</f>
        <v>Vehicle Launch</v>
      </c>
      <c r="P128" t="str">
        <f>IF(AND(Posts1116[[#This Row],[Date]]&gt;=DATE(2024,6,15), Posts1116[[#This Row],[Date]]&lt;=DATE(2024,7,15)),"During", "Before")</f>
        <v>Before</v>
      </c>
    </row>
    <row r="129" spans="1:16">
      <c r="A129" s="9" t="s">
        <v>45</v>
      </c>
      <c r="B129" s="5" t="s">
        <v>46</v>
      </c>
      <c r="C129" s="10">
        <v>45789</v>
      </c>
      <c r="D129" s="5" t="s">
        <v>36</v>
      </c>
      <c r="E129" s="5" t="s">
        <v>47</v>
      </c>
      <c r="F129" s="5">
        <v>2795</v>
      </c>
      <c r="G129" s="5">
        <v>105</v>
      </c>
      <c r="H129" s="5">
        <v>49</v>
      </c>
      <c r="I129" s="5">
        <v>53105</v>
      </c>
      <c r="J129" s="5">
        <v>52307</v>
      </c>
      <c r="K129" s="5">
        <v>204</v>
      </c>
      <c r="L129" s="5" t="s">
        <v>43</v>
      </c>
      <c r="M129" s="5" t="s">
        <v>15</v>
      </c>
      <c r="N129" s="13">
        <f>(Posts1116[[#This Row],[Likes]]+Posts1116[[#This Row],[Shares]]+Posts1116[[#This Row],[Comments]])/Posts1116[[#This Row],[Impressions]]</f>
        <v>5.5531494209584788E-2</v>
      </c>
      <c r="O129" t="str">
        <f>_xlfn.XLOOKUP(Posts1116[[#This Row],[Campaign_Name]],Campaign_Metadata[Campaign_Name],Campaign_Metadata[Objective])</f>
        <v>Vehicle Launch</v>
      </c>
      <c r="P129" t="str">
        <f>IF(AND(Posts1116[[#This Row],[Date]]&gt;=DATE(2024,6,15), Posts1116[[#This Row],[Date]]&lt;=DATE(2024,7,15)),"During", "Before")</f>
        <v>Before</v>
      </c>
    </row>
    <row r="130" spans="1:16">
      <c r="A130" s="9" t="s">
        <v>296</v>
      </c>
      <c r="B130" s="5" t="s">
        <v>55</v>
      </c>
      <c r="C130" s="10">
        <v>45790</v>
      </c>
      <c r="D130" s="5" t="s">
        <v>61</v>
      </c>
      <c r="E130" s="5" t="s">
        <v>66</v>
      </c>
      <c r="F130" s="5">
        <v>602</v>
      </c>
      <c r="G130" s="5">
        <v>594</v>
      </c>
      <c r="H130" s="5">
        <v>156</v>
      </c>
      <c r="I130" s="5">
        <v>4214</v>
      </c>
      <c r="J130" s="5">
        <v>3363</v>
      </c>
      <c r="K130" s="5">
        <v>164</v>
      </c>
      <c r="L130" s="5" t="s">
        <v>43</v>
      </c>
      <c r="M130" s="5" t="s">
        <v>15</v>
      </c>
      <c r="N130" s="13">
        <f>(Posts1116[[#This Row],[Likes]]+Posts1116[[#This Row],[Shares]]+Posts1116[[#This Row],[Comments]])/Posts1116[[#This Row],[Impressions]]</f>
        <v>0.32083531086853345</v>
      </c>
      <c r="O130" t="str">
        <f>_xlfn.XLOOKUP(Posts1116[[#This Row],[Campaign_Name]],Campaign_Metadata[Campaign_Name],Campaign_Metadata[Objective])</f>
        <v>Vehicle Launch</v>
      </c>
      <c r="P130" t="str">
        <f>IF(AND(Posts1116[[#This Row],[Date]]&gt;=DATE(2024,6,15), Posts1116[[#This Row],[Date]]&lt;=DATE(2024,7,15)),"During", "Before")</f>
        <v>Before</v>
      </c>
    </row>
    <row r="131" spans="1:16">
      <c r="A131" s="9" t="s">
        <v>260</v>
      </c>
      <c r="B131" s="5" t="s">
        <v>46</v>
      </c>
      <c r="C131" s="10">
        <v>45449</v>
      </c>
      <c r="D131" s="5" t="s">
        <v>36</v>
      </c>
      <c r="E131" s="5" t="s">
        <v>47</v>
      </c>
      <c r="F131" s="5">
        <v>2728</v>
      </c>
      <c r="G131" s="5">
        <v>533</v>
      </c>
      <c r="H131" s="5">
        <v>215</v>
      </c>
      <c r="I131" s="5">
        <v>40920</v>
      </c>
      <c r="J131" s="5">
        <v>40816</v>
      </c>
      <c r="K131" s="5">
        <v>137</v>
      </c>
      <c r="L131" s="5" t="s">
        <v>38</v>
      </c>
      <c r="M131" s="5" t="s">
        <v>11</v>
      </c>
      <c r="N131" s="13">
        <f>(Posts1116[[#This Row],[Likes]]+Posts1116[[#This Row],[Shares]]+Posts1116[[#This Row],[Comments]])/Posts1116[[#This Row],[Impressions]]</f>
        <v>8.4946236559139784E-2</v>
      </c>
      <c r="O131" t="str">
        <f>_xlfn.XLOOKUP(Posts1116[[#This Row],[Campaign_Name]],Campaign_Metadata[Campaign_Name],Campaign_Metadata[Objective])</f>
        <v>Customer Engagement</v>
      </c>
      <c r="P131" t="str">
        <f>IF(AND(Posts1116[[#This Row],[Date]]&gt;=DATE(2024,6,15), Posts1116[[#This Row],[Date]]&lt;=DATE(2024,7,15)),"During", "Before")</f>
        <v>Before</v>
      </c>
    </row>
    <row r="132" spans="1:16">
      <c r="A132" s="9" t="s">
        <v>348</v>
      </c>
      <c r="B132" s="5" t="s">
        <v>35</v>
      </c>
      <c r="C132" s="10">
        <v>45450</v>
      </c>
      <c r="D132" s="5" t="s">
        <v>56</v>
      </c>
      <c r="E132" s="5" t="s">
        <v>59</v>
      </c>
      <c r="F132" s="5">
        <v>1556</v>
      </c>
      <c r="G132" s="5">
        <v>195</v>
      </c>
      <c r="H132" s="5">
        <v>131</v>
      </c>
      <c r="I132" s="5">
        <v>9336</v>
      </c>
      <c r="J132" s="5">
        <v>8875</v>
      </c>
      <c r="K132" s="5">
        <v>137</v>
      </c>
      <c r="L132" s="5" t="s">
        <v>43</v>
      </c>
      <c r="M132" s="5" t="s">
        <v>11</v>
      </c>
      <c r="N132" s="13">
        <f>(Posts1116[[#This Row],[Likes]]+Posts1116[[#This Row],[Shares]]+Posts1116[[#This Row],[Comments]])/Posts1116[[#This Row],[Impressions]]</f>
        <v>0.2015852613538989</v>
      </c>
      <c r="O132" t="str">
        <f>_xlfn.XLOOKUP(Posts1116[[#This Row],[Campaign_Name]],Campaign_Metadata[Campaign_Name],Campaign_Metadata[Objective])</f>
        <v>Customer Engagement</v>
      </c>
      <c r="P132" t="str">
        <f>IF(AND(Posts1116[[#This Row],[Date]]&gt;=DATE(2024,6,15), Posts1116[[#This Row],[Date]]&lt;=DATE(2024,7,15)),"During", "Before")</f>
        <v>Before</v>
      </c>
    </row>
    <row r="133" spans="1:16">
      <c r="A133" s="11" t="s">
        <v>175</v>
      </c>
      <c r="B133" s="6" t="s">
        <v>55</v>
      </c>
      <c r="C133" s="12">
        <v>45454</v>
      </c>
      <c r="D133" s="6" t="s">
        <v>61</v>
      </c>
      <c r="E133" s="6" t="s">
        <v>66</v>
      </c>
      <c r="F133" s="6">
        <v>3689</v>
      </c>
      <c r="G133" s="6">
        <v>48</v>
      </c>
      <c r="H133" s="6">
        <v>306</v>
      </c>
      <c r="I133" s="6">
        <v>40579</v>
      </c>
      <c r="J133" s="6">
        <v>39588</v>
      </c>
      <c r="K133" s="6">
        <v>212</v>
      </c>
      <c r="L133" s="6" t="s">
        <v>52</v>
      </c>
      <c r="M133" s="6" t="s">
        <v>11</v>
      </c>
      <c r="N133" s="14">
        <f>(Posts1116[[#This Row],[Likes]]+Posts1116[[#This Row],[Shares]]+Posts1116[[#This Row],[Comments]])/Posts1116[[#This Row],[Impressions]]</f>
        <v>9.9632815002833983E-2</v>
      </c>
      <c r="O133" t="str">
        <f>_xlfn.XLOOKUP(Posts1116[[#This Row],[Campaign_Name]],Campaign_Metadata[Campaign_Name],Campaign_Metadata[Objective])</f>
        <v>Customer Engagement</v>
      </c>
      <c r="P133" t="str">
        <f>IF(AND(Posts1116[[#This Row],[Date]]&gt;=DATE(2024,6,15), Posts1116[[#This Row],[Date]]&lt;=DATE(2024,7,15)),"During", "Before")</f>
        <v>Before</v>
      </c>
    </row>
    <row r="134" spans="1:16">
      <c r="A134" s="9" t="s">
        <v>121</v>
      </c>
      <c r="B134" s="5" t="s">
        <v>55</v>
      </c>
      <c r="C134" s="10">
        <v>45456</v>
      </c>
      <c r="D134" s="5" t="s">
        <v>56</v>
      </c>
      <c r="E134" s="5" t="s">
        <v>57</v>
      </c>
      <c r="F134" s="5">
        <v>2200</v>
      </c>
      <c r="G134" s="5">
        <v>504</v>
      </c>
      <c r="H134" s="5">
        <v>239</v>
      </c>
      <c r="I134" s="5">
        <v>37400</v>
      </c>
      <c r="J134" s="5">
        <v>36938</v>
      </c>
      <c r="K134" s="5">
        <v>225</v>
      </c>
      <c r="L134" s="5" t="s">
        <v>38</v>
      </c>
      <c r="M134" s="5" t="s">
        <v>11</v>
      </c>
      <c r="N134" s="13">
        <f>(Posts1116[[#This Row],[Likes]]+Posts1116[[#This Row],[Shares]]+Posts1116[[#This Row],[Comments]])/Posts1116[[#This Row],[Impressions]]</f>
        <v>7.8689839572192513E-2</v>
      </c>
      <c r="O134" t="str">
        <f>_xlfn.XLOOKUP(Posts1116[[#This Row],[Campaign_Name]],Campaign_Metadata[Campaign_Name],Campaign_Metadata[Objective])</f>
        <v>Customer Engagement</v>
      </c>
      <c r="P134" t="str">
        <f>IF(AND(Posts1116[[#This Row],[Date]]&gt;=DATE(2024,6,15), Posts1116[[#This Row],[Date]]&lt;=DATE(2024,7,15)),"During", "Before")</f>
        <v>Before</v>
      </c>
    </row>
    <row r="135" spans="1:16">
      <c r="A135" s="11" t="s">
        <v>58</v>
      </c>
      <c r="B135" s="6" t="s">
        <v>35</v>
      </c>
      <c r="C135" s="12">
        <v>45467</v>
      </c>
      <c r="D135" s="6" t="s">
        <v>56</v>
      </c>
      <c r="E135" s="6" t="s">
        <v>59</v>
      </c>
      <c r="F135" s="6">
        <v>3860</v>
      </c>
      <c r="G135" s="6">
        <v>201</v>
      </c>
      <c r="H135" s="6">
        <v>279</v>
      </c>
      <c r="I135" s="6">
        <v>61760</v>
      </c>
      <c r="J135" s="6">
        <v>61660</v>
      </c>
      <c r="K135" s="6">
        <v>235</v>
      </c>
      <c r="L135" s="6" t="s">
        <v>43</v>
      </c>
      <c r="M135" s="6" t="s">
        <v>11</v>
      </c>
      <c r="N135" s="14">
        <f>(Posts1116[[#This Row],[Likes]]+Posts1116[[#This Row],[Shares]]+Posts1116[[#This Row],[Comments]])/Posts1116[[#This Row],[Impressions]]</f>
        <v>7.0272020725388601E-2</v>
      </c>
      <c r="O135" t="str">
        <f>_xlfn.XLOOKUP(Posts1116[[#This Row],[Campaign_Name]],Campaign_Metadata[Campaign_Name],Campaign_Metadata[Objective])</f>
        <v>Customer Engagement</v>
      </c>
      <c r="P135" t="str">
        <f>IF(AND(Posts1116[[#This Row],[Date]]&gt;=DATE(2024,6,15), Posts1116[[#This Row],[Date]]&lt;=DATE(2024,7,15)),"During", "Before")</f>
        <v>During</v>
      </c>
    </row>
    <row r="136" spans="1:16">
      <c r="A136" s="9" t="s">
        <v>280</v>
      </c>
      <c r="B136" s="5" t="s">
        <v>46</v>
      </c>
      <c r="C136" s="10">
        <v>45467</v>
      </c>
      <c r="D136" s="5" t="s">
        <v>75</v>
      </c>
      <c r="E136" s="5" t="s">
        <v>155</v>
      </c>
      <c r="F136" s="5">
        <v>2949</v>
      </c>
      <c r="G136" s="5">
        <v>476</v>
      </c>
      <c r="H136" s="5">
        <v>403</v>
      </c>
      <c r="I136" s="5">
        <v>44235</v>
      </c>
      <c r="J136" s="5">
        <v>43705</v>
      </c>
      <c r="K136" s="5">
        <v>135</v>
      </c>
      <c r="L136" s="5" t="s">
        <v>43</v>
      </c>
      <c r="M136" s="5" t="s">
        <v>11</v>
      </c>
      <c r="N136" s="13">
        <f>(Posts1116[[#This Row],[Likes]]+Posts1116[[#This Row],[Shares]]+Posts1116[[#This Row],[Comments]])/Posts1116[[#This Row],[Impressions]]</f>
        <v>8.6537809426924378E-2</v>
      </c>
      <c r="O136" t="str">
        <f>_xlfn.XLOOKUP(Posts1116[[#This Row],[Campaign_Name]],Campaign_Metadata[Campaign_Name],Campaign_Metadata[Objective])</f>
        <v>Customer Engagement</v>
      </c>
      <c r="P136" t="str">
        <f>IF(AND(Posts1116[[#This Row],[Date]]&gt;=DATE(2024,6,15), Posts1116[[#This Row],[Date]]&lt;=DATE(2024,7,15)),"During", "Before")</f>
        <v>During</v>
      </c>
    </row>
    <row r="137" spans="1:16">
      <c r="A137" s="11" t="s">
        <v>212</v>
      </c>
      <c r="B137" s="6" t="s">
        <v>55</v>
      </c>
      <c r="C137" s="12">
        <v>45488</v>
      </c>
      <c r="D137" s="6" t="s">
        <v>61</v>
      </c>
      <c r="E137" s="6" t="s">
        <v>66</v>
      </c>
      <c r="F137" s="6">
        <v>2291</v>
      </c>
      <c r="G137" s="6">
        <v>78</v>
      </c>
      <c r="H137" s="6">
        <v>485</v>
      </c>
      <c r="I137" s="6">
        <v>18328</v>
      </c>
      <c r="J137" s="6">
        <v>18101</v>
      </c>
      <c r="K137" s="6">
        <v>10</v>
      </c>
      <c r="L137" s="6" t="s">
        <v>52</v>
      </c>
      <c r="M137" s="6" t="s">
        <v>11</v>
      </c>
      <c r="N137" s="14">
        <f>(Posts1116[[#This Row],[Likes]]+Posts1116[[#This Row],[Shares]]+Posts1116[[#This Row],[Comments]])/Posts1116[[#This Row],[Impressions]]</f>
        <v>0.15571802706241816</v>
      </c>
      <c r="O137" t="str">
        <f>_xlfn.XLOOKUP(Posts1116[[#This Row],[Campaign_Name]],Campaign_Metadata[Campaign_Name],Campaign_Metadata[Objective])</f>
        <v>Customer Engagement</v>
      </c>
      <c r="P137" t="str">
        <f>IF(AND(Posts1116[[#This Row],[Date]]&gt;=DATE(2024,6,15), Posts1116[[#This Row],[Date]]&lt;=DATE(2024,7,15)),"During", "Before")</f>
        <v>During</v>
      </c>
    </row>
    <row r="138" spans="1:16">
      <c r="A138" s="9" t="s">
        <v>212</v>
      </c>
      <c r="B138" s="5" t="s">
        <v>55</v>
      </c>
      <c r="C138" s="10">
        <v>45488</v>
      </c>
      <c r="D138" s="5" t="s">
        <v>61</v>
      </c>
      <c r="E138" s="5" t="s">
        <v>66</v>
      </c>
      <c r="F138" s="5">
        <v>2291</v>
      </c>
      <c r="G138" s="5">
        <v>78</v>
      </c>
      <c r="H138" s="5">
        <v>485</v>
      </c>
      <c r="I138" s="5">
        <v>18328</v>
      </c>
      <c r="J138" s="5">
        <v>18101</v>
      </c>
      <c r="K138" s="5">
        <v>10</v>
      </c>
      <c r="L138" s="5" t="s">
        <v>18</v>
      </c>
      <c r="M138" s="5" t="s">
        <v>11</v>
      </c>
      <c r="N138" s="13">
        <f>(Posts1116[[#This Row],[Likes]]+Posts1116[[#This Row],[Shares]]+Posts1116[[#This Row],[Comments]])/Posts1116[[#This Row],[Impressions]]</f>
        <v>0.15571802706241816</v>
      </c>
      <c r="O138" t="str">
        <f>_xlfn.XLOOKUP(Posts1116[[#This Row],[Campaign_Name]],Campaign_Metadata[Campaign_Name],Campaign_Metadata[Objective])</f>
        <v>Customer Engagement</v>
      </c>
      <c r="P138" t="str">
        <f>IF(AND(Posts1116[[#This Row],[Date]]&gt;=DATE(2024,6,15), Posts1116[[#This Row],[Date]]&lt;=DATE(2024,7,15)),"During", "Before")</f>
        <v>During</v>
      </c>
    </row>
    <row r="139" spans="1:16">
      <c r="A139" s="11" t="s">
        <v>321</v>
      </c>
      <c r="B139" s="6" t="s">
        <v>35</v>
      </c>
      <c r="C139" s="12">
        <v>45491</v>
      </c>
      <c r="D139" s="6" t="s">
        <v>61</v>
      </c>
      <c r="E139" s="6" t="s">
        <v>107</v>
      </c>
      <c r="F139" s="6">
        <v>827</v>
      </c>
      <c r="G139" s="6">
        <v>77</v>
      </c>
      <c r="H139" s="6">
        <v>402</v>
      </c>
      <c r="I139" s="6">
        <v>14886</v>
      </c>
      <c r="J139" s="6">
        <v>14129</v>
      </c>
      <c r="K139" s="6">
        <v>254</v>
      </c>
      <c r="L139" s="6" t="s">
        <v>52</v>
      </c>
      <c r="M139" s="6" t="s">
        <v>11</v>
      </c>
      <c r="N139" s="14">
        <f>(Posts1116[[#This Row],[Likes]]+Posts1116[[#This Row],[Shares]]+Posts1116[[#This Row],[Comments]])/Posts1116[[#This Row],[Impressions]]</f>
        <v>8.7733440816874911E-2</v>
      </c>
      <c r="O139" t="str">
        <f>_xlfn.XLOOKUP(Posts1116[[#This Row],[Campaign_Name]],Campaign_Metadata[Campaign_Name],Campaign_Metadata[Objective])</f>
        <v>Customer Engagement</v>
      </c>
      <c r="P139" t="str">
        <f>IF(AND(Posts1116[[#This Row],[Date]]&gt;=DATE(2024,6,15), Posts1116[[#This Row],[Date]]&lt;=DATE(2024,7,15)),"During", "Before")</f>
        <v>Before</v>
      </c>
    </row>
    <row r="140" spans="1:16">
      <c r="A140" s="9" t="s">
        <v>229</v>
      </c>
      <c r="B140" s="5" t="s">
        <v>46</v>
      </c>
      <c r="C140" s="10">
        <v>45496</v>
      </c>
      <c r="D140" s="5" t="s">
        <v>50</v>
      </c>
      <c r="E140" s="5" t="s">
        <v>120</v>
      </c>
      <c r="F140" s="5">
        <v>4775</v>
      </c>
      <c r="G140" s="5">
        <v>173</v>
      </c>
      <c r="H140" s="5">
        <v>206</v>
      </c>
      <c r="I140" s="5">
        <v>47750</v>
      </c>
      <c r="J140" s="5">
        <v>47544</v>
      </c>
      <c r="K140" s="5">
        <v>187</v>
      </c>
      <c r="L140" s="5" t="s">
        <v>38</v>
      </c>
      <c r="M140" s="5" t="s">
        <v>11</v>
      </c>
      <c r="N140" s="13">
        <f>(Posts1116[[#This Row],[Likes]]+Posts1116[[#This Row],[Shares]]+Posts1116[[#This Row],[Comments]])/Posts1116[[#This Row],[Impressions]]</f>
        <v>0.10793717277486911</v>
      </c>
      <c r="O140" t="str">
        <f>_xlfn.XLOOKUP(Posts1116[[#This Row],[Campaign_Name]],Campaign_Metadata[Campaign_Name],Campaign_Metadata[Objective])</f>
        <v>Customer Engagement</v>
      </c>
      <c r="P140" t="str">
        <f>IF(AND(Posts1116[[#This Row],[Date]]&gt;=DATE(2024,6,15), Posts1116[[#This Row],[Date]]&lt;=DATE(2024,7,15)),"During", "Before")</f>
        <v>Before</v>
      </c>
    </row>
    <row r="141" spans="1:16">
      <c r="A141" s="9" t="s">
        <v>182</v>
      </c>
      <c r="B141" s="5" t="s">
        <v>49</v>
      </c>
      <c r="C141" s="10">
        <v>45502</v>
      </c>
      <c r="D141" s="5" t="s">
        <v>36</v>
      </c>
      <c r="E141" s="5" t="s">
        <v>80</v>
      </c>
      <c r="F141" s="5">
        <v>3523</v>
      </c>
      <c r="G141" s="5">
        <v>753</v>
      </c>
      <c r="H141" s="5">
        <v>482</v>
      </c>
      <c r="I141" s="5">
        <v>38753</v>
      </c>
      <c r="J141" s="5">
        <v>38579</v>
      </c>
      <c r="K141" s="5">
        <v>270</v>
      </c>
      <c r="L141" s="5" t="s">
        <v>52</v>
      </c>
      <c r="M141" s="5" t="s">
        <v>11</v>
      </c>
      <c r="N141" s="13">
        <f>(Posts1116[[#This Row],[Likes]]+Posts1116[[#This Row],[Shares]]+Posts1116[[#This Row],[Comments]])/Posts1116[[#This Row],[Impressions]]</f>
        <v>0.12277759141227776</v>
      </c>
      <c r="O141" t="str">
        <f>_xlfn.XLOOKUP(Posts1116[[#This Row],[Campaign_Name]],Campaign_Metadata[Campaign_Name],Campaign_Metadata[Objective])</f>
        <v>Customer Engagement</v>
      </c>
      <c r="P141" t="str">
        <f>IF(AND(Posts1116[[#This Row],[Date]]&gt;=DATE(2024,6,15), Posts1116[[#This Row],[Date]]&lt;=DATE(2024,7,15)),"During", "Before")</f>
        <v>Before</v>
      </c>
    </row>
    <row r="142" spans="1:16">
      <c r="A142" s="11" t="s">
        <v>288</v>
      </c>
      <c r="B142" s="6" t="s">
        <v>46</v>
      </c>
      <c r="C142" s="12">
        <v>45502</v>
      </c>
      <c r="D142" s="6" t="s">
        <v>50</v>
      </c>
      <c r="E142" s="6" t="s">
        <v>120</v>
      </c>
      <c r="F142" s="6">
        <v>1509</v>
      </c>
      <c r="G142" s="6">
        <v>88</v>
      </c>
      <c r="H142" s="6">
        <v>163</v>
      </c>
      <c r="I142" s="6">
        <v>30180</v>
      </c>
      <c r="J142" s="6">
        <v>29689</v>
      </c>
      <c r="K142" s="6">
        <v>119</v>
      </c>
      <c r="L142" s="6" t="s">
        <v>52</v>
      </c>
      <c r="M142" s="6" t="s">
        <v>11</v>
      </c>
      <c r="N142" s="14">
        <f>(Posts1116[[#This Row],[Likes]]+Posts1116[[#This Row],[Shares]]+Posts1116[[#This Row],[Comments]])/Posts1116[[#This Row],[Impressions]]</f>
        <v>5.8316766070245198E-2</v>
      </c>
      <c r="O142" t="str">
        <f>_xlfn.XLOOKUP(Posts1116[[#This Row],[Campaign_Name]],Campaign_Metadata[Campaign_Name],Campaign_Metadata[Objective])</f>
        <v>Customer Engagement</v>
      </c>
      <c r="P142" t="str">
        <f>IF(AND(Posts1116[[#This Row],[Date]]&gt;=DATE(2024,6,15), Posts1116[[#This Row],[Date]]&lt;=DATE(2024,7,15)),"During", "Before")</f>
        <v>Before</v>
      </c>
    </row>
    <row r="143" spans="1:16">
      <c r="A143" s="9" t="s">
        <v>330</v>
      </c>
      <c r="B143" s="5" t="s">
        <v>49</v>
      </c>
      <c r="C143" s="10">
        <v>45509</v>
      </c>
      <c r="D143" s="5" t="s">
        <v>50</v>
      </c>
      <c r="E143" s="5" t="s">
        <v>51</v>
      </c>
      <c r="F143" s="5">
        <v>3601</v>
      </c>
      <c r="G143" s="5">
        <v>695</v>
      </c>
      <c r="H143" s="5">
        <v>75</v>
      </c>
      <c r="I143" s="5">
        <v>21606</v>
      </c>
      <c r="J143" s="5">
        <v>21454</v>
      </c>
      <c r="K143" s="5">
        <v>172</v>
      </c>
      <c r="L143" s="5" t="s">
        <v>52</v>
      </c>
      <c r="M143" s="5" t="s">
        <v>11</v>
      </c>
      <c r="N143" s="13">
        <f>(Posts1116[[#This Row],[Likes]]+Posts1116[[#This Row],[Shares]]+Posts1116[[#This Row],[Comments]])/Posts1116[[#This Row],[Impressions]]</f>
        <v>0.2023049153013052</v>
      </c>
      <c r="O143" t="str">
        <f>_xlfn.XLOOKUP(Posts1116[[#This Row],[Campaign_Name]],Campaign_Metadata[Campaign_Name],Campaign_Metadata[Objective])</f>
        <v>Customer Engagement</v>
      </c>
      <c r="P143" t="str">
        <f>IF(AND(Posts1116[[#This Row],[Date]]&gt;=DATE(2024,6,15), Posts1116[[#This Row],[Date]]&lt;=DATE(2024,7,15)),"During", "Before")</f>
        <v>Before</v>
      </c>
    </row>
    <row r="144" spans="1:16">
      <c r="A144" s="9" t="s">
        <v>169</v>
      </c>
      <c r="B144" s="5" t="s">
        <v>49</v>
      </c>
      <c r="C144" s="10">
        <v>45517</v>
      </c>
      <c r="D144" s="5" t="s">
        <v>61</v>
      </c>
      <c r="E144" s="5" t="s">
        <v>153</v>
      </c>
      <c r="F144" s="5">
        <v>4739</v>
      </c>
      <c r="G144" s="5">
        <v>527</v>
      </c>
      <c r="H144" s="5">
        <v>135</v>
      </c>
      <c r="I144" s="5">
        <v>61607</v>
      </c>
      <c r="J144" s="5">
        <v>61333</v>
      </c>
      <c r="K144" s="5">
        <v>36</v>
      </c>
      <c r="L144" s="5" t="s">
        <v>43</v>
      </c>
      <c r="M144" s="5" t="s">
        <v>11</v>
      </c>
      <c r="N144" s="13">
        <f>(Posts1116[[#This Row],[Likes]]+Posts1116[[#This Row],[Shares]]+Posts1116[[#This Row],[Comments]])/Posts1116[[#This Row],[Impressions]]</f>
        <v>8.7668609086629767E-2</v>
      </c>
      <c r="O144" t="str">
        <f>_xlfn.XLOOKUP(Posts1116[[#This Row],[Campaign_Name]],Campaign_Metadata[Campaign_Name],Campaign_Metadata[Objective])</f>
        <v>Customer Engagement</v>
      </c>
      <c r="P144" t="str">
        <f>IF(AND(Posts1116[[#This Row],[Date]]&gt;=DATE(2024,6,15), Posts1116[[#This Row],[Date]]&lt;=DATE(2024,7,15)),"During", "Before")</f>
        <v>Before</v>
      </c>
    </row>
    <row r="145" spans="1:16">
      <c r="A145" s="11" t="s">
        <v>169</v>
      </c>
      <c r="B145" s="6" t="s">
        <v>49</v>
      </c>
      <c r="C145" s="12">
        <v>45517</v>
      </c>
      <c r="D145" s="6" t="s">
        <v>61</v>
      </c>
      <c r="E145" s="6" t="s">
        <v>153</v>
      </c>
      <c r="F145" s="6">
        <v>4739</v>
      </c>
      <c r="G145" s="6">
        <v>527</v>
      </c>
      <c r="H145" s="6">
        <v>135</v>
      </c>
      <c r="I145" s="6">
        <v>61607</v>
      </c>
      <c r="J145" s="6">
        <v>61333</v>
      </c>
      <c r="K145" s="6">
        <v>36</v>
      </c>
      <c r="L145" s="6" t="s">
        <v>39</v>
      </c>
      <c r="M145" s="6" t="s">
        <v>11</v>
      </c>
      <c r="N145" s="14">
        <f>(Posts1116[[#This Row],[Likes]]+Posts1116[[#This Row],[Shares]]+Posts1116[[#This Row],[Comments]])/Posts1116[[#This Row],[Impressions]]</f>
        <v>8.7668609086629767E-2</v>
      </c>
      <c r="O145" t="str">
        <f>_xlfn.XLOOKUP(Posts1116[[#This Row],[Campaign_Name]],Campaign_Metadata[Campaign_Name],Campaign_Metadata[Objective])</f>
        <v>Customer Engagement</v>
      </c>
      <c r="P145" t="str">
        <f>IF(AND(Posts1116[[#This Row],[Date]]&gt;=DATE(2024,6,15), Posts1116[[#This Row],[Date]]&lt;=DATE(2024,7,15)),"During", "Before")</f>
        <v>Before</v>
      </c>
    </row>
    <row r="146" spans="1:16">
      <c r="A146" s="9" t="s">
        <v>308</v>
      </c>
      <c r="B146" s="5" t="s">
        <v>55</v>
      </c>
      <c r="C146" s="10">
        <v>45523</v>
      </c>
      <c r="D146" s="5" t="s">
        <v>41</v>
      </c>
      <c r="E146" s="5" t="s">
        <v>64</v>
      </c>
      <c r="F146" s="5">
        <v>1257</v>
      </c>
      <c r="G146" s="5">
        <v>19</v>
      </c>
      <c r="H146" s="5">
        <v>351</v>
      </c>
      <c r="I146" s="5">
        <v>12570</v>
      </c>
      <c r="J146" s="5">
        <v>11660</v>
      </c>
      <c r="K146" s="5">
        <v>194</v>
      </c>
      <c r="L146" s="5" t="s">
        <v>38</v>
      </c>
      <c r="M146" s="5" t="s">
        <v>11</v>
      </c>
      <c r="N146" s="13">
        <f>(Posts1116[[#This Row],[Likes]]+Posts1116[[#This Row],[Shares]]+Posts1116[[#This Row],[Comments]])/Posts1116[[#This Row],[Impressions]]</f>
        <v>0.12943516308671441</v>
      </c>
      <c r="O146" t="str">
        <f>_xlfn.XLOOKUP(Posts1116[[#This Row],[Campaign_Name]],Campaign_Metadata[Campaign_Name],Campaign_Metadata[Objective])</f>
        <v>Customer Engagement</v>
      </c>
      <c r="P146" t="str">
        <f>IF(AND(Posts1116[[#This Row],[Date]]&gt;=DATE(2024,6,15), Posts1116[[#This Row],[Date]]&lt;=DATE(2024,7,15)),"During", "Before")</f>
        <v>Before</v>
      </c>
    </row>
    <row r="147" spans="1:16">
      <c r="A147" s="11" t="s">
        <v>308</v>
      </c>
      <c r="B147" s="6" t="s">
        <v>55</v>
      </c>
      <c r="C147" s="12">
        <v>45523</v>
      </c>
      <c r="D147" s="6" t="s">
        <v>41</v>
      </c>
      <c r="E147" s="6" t="s">
        <v>64</v>
      </c>
      <c r="F147" s="6">
        <v>1257</v>
      </c>
      <c r="G147" s="6">
        <v>19</v>
      </c>
      <c r="H147" s="6">
        <v>351</v>
      </c>
      <c r="I147" s="6">
        <v>12570</v>
      </c>
      <c r="J147" s="6">
        <v>11660</v>
      </c>
      <c r="K147" s="6">
        <v>194</v>
      </c>
      <c r="L147" s="6" t="s">
        <v>39</v>
      </c>
      <c r="M147" s="6" t="s">
        <v>11</v>
      </c>
      <c r="N147" s="14">
        <f>(Posts1116[[#This Row],[Likes]]+Posts1116[[#This Row],[Shares]]+Posts1116[[#This Row],[Comments]])/Posts1116[[#This Row],[Impressions]]</f>
        <v>0.12943516308671441</v>
      </c>
      <c r="O147" t="str">
        <f>_xlfn.XLOOKUP(Posts1116[[#This Row],[Campaign_Name]],Campaign_Metadata[Campaign_Name],Campaign_Metadata[Objective])</f>
        <v>Customer Engagement</v>
      </c>
      <c r="P147" t="str">
        <f>IF(AND(Posts1116[[#This Row],[Date]]&gt;=DATE(2024,6,15), Posts1116[[#This Row],[Date]]&lt;=DATE(2024,7,15)),"During", "Before")</f>
        <v>Before</v>
      </c>
    </row>
    <row r="148" spans="1:16">
      <c r="A148" s="9" t="s">
        <v>308</v>
      </c>
      <c r="B148" s="5" t="s">
        <v>55</v>
      </c>
      <c r="C148" s="10">
        <v>45523</v>
      </c>
      <c r="D148" s="5" t="s">
        <v>41</v>
      </c>
      <c r="E148" s="5" t="s">
        <v>64</v>
      </c>
      <c r="F148" s="5">
        <v>1257</v>
      </c>
      <c r="G148" s="5">
        <v>19</v>
      </c>
      <c r="H148" s="5">
        <v>351</v>
      </c>
      <c r="I148" s="5">
        <v>12570</v>
      </c>
      <c r="J148" s="5">
        <v>11660</v>
      </c>
      <c r="K148" s="5">
        <v>194</v>
      </c>
      <c r="L148" s="5" t="s">
        <v>52</v>
      </c>
      <c r="M148" s="5" t="s">
        <v>11</v>
      </c>
      <c r="N148" s="13">
        <f>(Posts1116[[#This Row],[Likes]]+Posts1116[[#This Row],[Shares]]+Posts1116[[#This Row],[Comments]])/Posts1116[[#This Row],[Impressions]]</f>
        <v>0.12943516308671441</v>
      </c>
      <c r="O148" t="str">
        <f>_xlfn.XLOOKUP(Posts1116[[#This Row],[Campaign_Name]],Campaign_Metadata[Campaign_Name],Campaign_Metadata[Objective])</f>
        <v>Customer Engagement</v>
      </c>
      <c r="P148" t="str">
        <f>IF(AND(Posts1116[[#This Row],[Date]]&gt;=DATE(2024,6,15), Posts1116[[#This Row],[Date]]&lt;=DATE(2024,7,15)),"During", "Before")</f>
        <v>Before</v>
      </c>
    </row>
    <row r="149" spans="1:16">
      <c r="A149" s="11" t="s">
        <v>335</v>
      </c>
      <c r="B149" s="6" t="s">
        <v>49</v>
      </c>
      <c r="C149" s="12">
        <v>45524</v>
      </c>
      <c r="D149" s="6" t="s">
        <v>36</v>
      </c>
      <c r="E149" s="6" t="s">
        <v>80</v>
      </c>
      <c r="F149" s="6">
        <v>2603</v>
      </c>
      <c r="G149" s="6">
        <v>690</v>
      </c>
      <c r="H149" s="6">
        <v>205</v>
      </c>
      <c r="I149" s="6">
        <v>13015</v>
      </c>
      <c r="J149" s="6">
        <v>12130</v>
      </c>
      <c r="K149" s="6">
        <v>20</v>
      </c>
      <c r="L149" s="6" t="s">
        <v>38</v>
      </c>
      <c r="M149" s="6" t="s">
        <v>11</v>
      </c>
      <c r="N149" s="14">
        <f>(Posts1116[[#This Row],[Likes]]+Posts1116[[#This Row],[Shares]]+Posts1116[[#This Row],[Comments]])/Posts1116[[#This Row],[Impressions]]</f>
        <v>0.26876680752977333</v>
      </c>
      <c r="O149" t="str">
        <f>_xlfn.XLOOKUP(Posts1116[[#This Row],[Campaign_Name]],Campaign_Metadata[Campaign_Name],Campaign_Metadata[Objective])</f>
        <v>Customer Engagement</v>
      </c>
      <c r="P149" t="str">
        <f>IF(AND(Posts1116[[#This Row],[Date]]&gt;=DATE(2024,6,15), Posts1116[[#This Row],[Date]]&lt;=DATE(2024,7,15)),"During", "Before")</f>
        <v>Before</v>
      </c>
    </row>
    <row r="150" spans="1:16">
      <c r="A150" s="11" t="s">
        <v>63</v>
      </c>
      <c r="B150" s="6" t="s">
        <v>55</v>
      </c>
      <c r="C150" s="12">
        <v>45534</v>
      </c>
      <c r="D150" s="6" t="s">
        <v>41</v>
      </c>
      <c r="E150" s="6" t="s">
        <v>64</v>
      </c>
      <c r="F150" s="6">
        <v>3784</v>
      </c>
      <c r="G150" s="6">
        <v>808</v>
      </c>
      <c r="H150" s="6">
        <v>404</v>
      </c>
      <c r="I150" s="6">
        <v>56760</v>
      </c>
      <c r="J150" s="6">
        <v>56343</v>
      </c>
      <c r="K150" s="6">
        <v>131</v>
      </c>
      <c r="L150" s="6" t="s">
        <v>43</v>
      </c>
      <c r="M150" s="6" t="s">
        <v>11</v>
      </c>
      <c r="N150" s="14">
        <f>(Posts1116[[#This Row],[Likes]]+Posts1116[[#This Row],[Shares]]+Posts1116[[#This Row],[Comments]])/Posts1116[[#This Row],[Impressions]]</f>
        <v>8.8019732205778717E-2</v>
      </c>
      <c r="O150" t="str">
        <f>_xlfn.XLOOKUP(Posts1116[[#This Row],[Campaign_Name]],Campaign_Metadata[Campaign_Name],Campaign_Metadata[Objective])</f>
        <v>Customer Engagement</v>
      </c>
      <c r="P150" t="str">
        <f>IF(AND(Posts1116[[#This Row],[Date]]&gt;=DATE(2024,6,15), Posts1116[[#This Row],[Date]]&lt;=DATE(2024,7,15)),"During", "Before")</f>
        <v>Before</v>
      </c>
    </row>
    <row r="151" spans="1:16">
      <c r="A151" s="11" t="s">
        <v>141</v>
      </c>
      <c r="B151" s="6" t="s">
        <v>46</v>
      </c>
      <c r="C151" s="12">
        <v>45537</v>
      </c>
      <c r="D151" s="6" t="s">
        <v>56</v>
      </c>
      <c r="E151" s="6" t="s">
        <v>71</v>
      </c>
      <c r="F151" s="6">
        <v>2551</v>
      </c>
      <c r="G151" s="6">
        <v>915</v>
      </c>
      <c r="H151" s="6">
        <v>205</v>
      </c>
      <c r="I151" s="6">
        <v>30612</v>
      </c>
      <c r="J151" s="6">
        <v>30360</v>
      </c>
      <c r="K151" s="6">
        <v>227</v>
      </c>
      <c r="L151" s="6" t="s">
        <v>43</v>
      </c>
      <c r="M151" s="6" t="s">
        <v>11</v>
      </c>
      <c r="N151" s="14">
        <f>(Posts1116[[#This Row],[Likes]]+Posts1116[[#This Row],[Shares]]+Posts1116[[#This Row],[Comments]])/Posts1116[[#This Row],[Impressions]]</f>
        <v>0.1199202926956749</v>
      </c>
      <c r="O151" t="str">
        <f>_xlfn.XLOOKUP(Posts1116[[#This Row],[Campaign_Name]],Campaign_Metadata[Campaign_Name],Campaign_Metadata[Objective])</f>
        <v>Customer Engagement</v>
      </c>
      <c r="P151" t="str">
        <f>IF(AND(Posts1116[[#This Row],[Date]]&gt;=DATE(2024,6,15), Posts1116[[#This Row],[Date]]&lt;=DATE(2024,7,15)),"During", "Before")</f>
        <v>Before</v>
      </c>
    </row>
    <row r="152" spans="1:16">
      <c r="A152" s="11" t="s">
        <v>351</v>
      </c>
      <c r="B152" s="6" t="s">
        <v>46</v>
      </c>
      <c r="C152" s="12">
        <v>45537</v>
      </c>
      <c r="D152" s="6" t="s">
        <v>61</v>
      </c>
      <c r="E152" s="6" t="s">
        <v>62</v>
      </c>
      <c r="F152" s="6">
        <v>4905</v>
      </c>
      <c r="G152" s="6">
        <v>845</v>
      </c>
      <c r="H152" s="6">
        <v>129</v>
      </c>
      <c r="I152" s="6">
        <v>98100</v>
      </c>
      <c r="J152" s="6">
        <v>97772</v>
      </c>
      <c r="K152" s="6">
        <v>279</v>
      </c>
      <c r="L152" s="6" t="s">
        <v>43</v>
      </c>
      <c r="M152" s="6" t="s">
        <v>11</v>
      </c>
      <c r="N152" s="14">
        <f>(Posts1116[[#This Row],[Likes]]+Posts1116[[#This Row],[Shares]]+Posts1116[[#This Row],[Comments]])/Posts1116[[#This Row],[Impressions]]</f>
        <v>5.9928644240570844E-2</v>
      </c>
      <c r="O152" t="str">
        <f>_xlfn.XLOOKUP(Posts1116[[#This Row],[Campaign_Name]],Campaign_Metadata[Campaign_Name],Campaign_Metadata[Objective])</f>
        <v>Customer Engagement</v>
      </c>
      <c r="P152" t="str">
        <f>IF(AND(Posts1116[[#This Row],[Date]]&gt;=DATE(2024,6,15), Posts1116[[#This Row],[Date]]&lt;=DATE(2024,7,15)),"During", "Before")</f>
        <v>Before</v>
      </c>
    </row>
    <row r="153" spans="1:16">
      <c r="A153" s="9" t="s">
        <v>174</v>
      </c>
      <c r="B153" s="5" t="s">
        <v>35</v>
      </c>
      <c r="C153" s="10">
        <v>45553</v>
      </c>
      <c r="D153" s="5" t="s">
        <v>36</v>
      </c>
      <c r="E153" s="5" t="s">
        <v>37</v>
      </c>
      <c r="F153" s="5">
        <v>1000</v>
      </c>
      <c r="G153" s="5">
        <v>978</v>
      </c>
      <c r="H153" s="5">
        <v>162</v>
      </c>
      <c r="I153" s="5">
        <v>6000</v>
      </c>
      <c r="J153" s="5">
        <v>5221</v>
      </c>
      <c r="K153" s="5">
        <v>223</v>
      </c>
      <c r="L153" s="5" t="s">
        <v>52</v>
      </c>
      <c r="M153" s="5" t="s">
        <v>11</v>
      </c>
      <c r="N153" s="13">
        <f>(Posts1116[[#This Row],[Likes]]+Posts1116[[#This Row],[Shares]]+Posts1116[[#This Row],[Comments]])/Posts1116[[#This Row],[Impressions]]</f>
        <v>0.35666666666666669</v>
      </c>
      <c r="O153" t="str">
        <f>_xlfn.XLOOKUP(Posts1116[[#This Row],[Campaign_Name]],Campaign_Metadata[Campaign_Name],Campaign_Metadata[Objective])</f>
        <v>Customer Engagement</v>
      </c>
      <c r="P153" t="str">
        <f>IF(AND(Posts1116[[#This Row],[Date]]&gt;=DATE(2024,6,15), Posts1116[[#This Row],[Date]]&lt;=DATE(2024,7,15)),"During", "Before")</f>
        <v>Before</v>
      </c>
    </row>
    <row r="154" spans="1:16">
      <c r="A154" s="9" t="s">
        <v>328</v>
      </c>
      <c r="B154" s="5" t="s">
        <v>46</v>
      </c>
      <c r="C154" s="10">
        <v>45553</v>
      </c>
      <c r="D154" s="5" t="s">
        <v>56</v>
      </c>
      <c r="E154" s="5" t="s">
        <v>71</v>
      </c>
      <c r="F154" s="5">
        <v>2143</v>
      </c>
      <c r="G154" s="5">
        <v>12</v>
      </c>
      <c r="H154" s="5">
        <v>204</v>
      </c>
      <c r="I154" s="5">
        <v>40717</v>
      </c>
      <c r="J154" s="5">
        <v>40125</v>
      </c>
      <c r="K154" s="5">
        <v>248</v>
      </c>
      <c r="L154" s="5" t="s">
        <v>52</v>
      </c>
      <c r="M154" s="5" t="s">
        <v>11</v>
      </c>
      <c r="N154" s="13">
        <f>(Posts1116[[#This Row],[Likes]]+Posts1116[[#This Row],[Shares]]+Posts1116[[#This Row],[Comments]])/Posts1116[[#This Row],[Impressions]]</f>
        <v>5.7936488444630008E-2</v>
      </c>
      <c r="O154" t="str">
        <f>_xlfn.XLOOKUP(Posts1116[[#This Row],[Campaign_Name]],Campaign_Metadata[Campaign_Name],Campaign_Metadata[Objective])</f>
        <v>Customer Engagement</v>
      </c>
      <c r="P154" t="str">
        <f>IF(AND(Posts1116[[#This Row],[Date]]&gt;=DATE(2024,6,15), Posts1116[[#This Row],[Date]]&lt;=DATE(2024,7,15)),"During", "Before")</f>
        <v>Before</v>
      </c>
    </row>
    <row r="155" spans="1:16">
      <c r="A155" s="11" t="s">
        <v>194</v>
      </c>
      <c r="B155" s="6" t="s">
        <v>49</v>
      </c>
      <c r="C155" s="12">
        <v>45567</v>
      </c>
      <c r="D155" s="6" t="s">
        <v>41</v>
      </c>
      <c r="E155" s="6" t="s">
        <v>97</v>
      </c>
      <c r="F155" s="6">
        <v>3432</v>
      </c>
      <c r="G155" s="6">
        <v>869</v>
      </c>
      <c r="H155" s="6">
        <v>123</v>
      </c>
      <c r="I155" s="6">
        <v>54912</v>
      </c>
      <c r="J155" s="6">
        <v>53916</v>
      </c>
      <c r="K155" s="6">
        <v>264</v>
      </c>
      <c r="L155" s="6" t="s">
        <v>52</v>
      </c>
      <c r="M155" s="6" t="s">
        <v>11</v>
      </c>
      <c r="N155" s="14">
        <f>(Posts1116[[#This Row],[Likes]]+Posts1116[[#This Row],[Shares]]+Posts1116[[#This Row],[Comments]])/Posts1116[[#This Row],[Impressions]]</f>
        <v>8.0565268065268064E-2</v>
      </c>
      <c r="O155" t="str">
        <f>_xlfn.XLOOKUP(Posts1116[[#This Row],[Campaign_Name]],Campaign_Metadata[Campaign_Name],Campaign_Metadata[Objective])</f>
        <v>Customer Engagement</v>
      </c>
      <c r="P155" t="str">
        <f>IF(AND(Posts1116[[#This Row],[Date]]&gt;=DATE(2024,6,15), Posts1116[[#This Row],[Date]]&lt;=DATE(2024,7,15)),"During", "Before")</f>
        <v>Before</v>
      </c>
    </row>
    <row r="156" spans="1:16">
      <c r="A156" s="11" t="s">
        <v>149</v>
      </c>
      <c r="B156" s="6" t="s">
        <v>49</v>
      </c>
      <c r="C156" s="12">
        <v>45574</v>
      </c>
      <c r="D156" s="6" t="s">
        <v>56</v>
      </c>
      <c r="E156" s="6" t="s">
        <v>84</v>
      </c>
      <c r="F156" s="6">
        <v>3068</v>
      </c>
      <c r="G156" s="6">
        <v>137</v>
      </c>
      <c r="H156" s="6">
        <v>329</v>
      </c>
      <c r="I156" s="6">
        <v>39884</v>
      </c>
      <c r="J156" s="6">
        <v>39404</v>
      </c>
      <c r="K156" s="6">
        <v>266</v>
      </c>
      <c r="L156" s="6" t="s">
        <v>52</v>
      </c>
      <c r="M156" s="6" t="s">
        <v>11</v>
      </c>
      <c r="N156" s="14">
        <f>(Posts1116[[#This Row],[Likes]]+Posts1116[[#This Row],[Shares]]+Posts1116[[#This Row],[Comments]])/Posts1116[[#This Row],[Impressions]]</f>
        <v>8.860696018453515E-2</v>
      </c>
      <c r="O156" t="str">
        <f>_xlfn.XLOOKUP(Posts1116[[#This Row],[Campaign_Name]],Campaign_Metadata[Campaign_Name],Campaign_Metadata[Objective])</f>
        <v>Customer Engagement</v>
      </c>
      <c r="P156" t="str">
        <f>IF(AND(Posts1116[[#This Row],[Date]]&gt;=DATE(2024,6,15), Posts1116[[#This Row],[Date]]&lt;=DATE(2024,7,15)),"During", "Before")</f>
        <v>Before</v>
      </c>
    </row>
    <row r="157" spans="1:16">
      <c r="A157" s="9" t="s">
        <v>318</v>
      </c>
      <c r="B157" s="5" t="s">
        <v>55</v>
      </c>
      <c r="C157" s="10">
        <v>45576</v>
      </c>
      <c r="D157" s="5" t="s">
        <v>61</v>
      </c>
      <c r="E157" s="5" t="s">
        <v>66</v>
      </c>
      <c r="F157" s="5">
        <v>400</v>
      </c>
      <c r="G157" s="5">
        <v>680</v>
      </c>
      <c r="H157" s="5">
        <v>434</v>
      </c>
      <c r="I157" s="5">
        <v>6400</v>
      </c>
      <c r="J157" s="5">
        <v>5472</v>
      </c>
      <c r="K157" s="5">
        <v>160</v>
      </c>
      <c r="L157" s="5" t="s">
        <v>38</v>
      </c>
      <c r="M157" s="5" t="s">
        <v>11</v>
      </c>
      <c r="N157" s="13">
        <f>(Posts1116[[#This Row],[Likes]]+Posts1116[[#This Row],[Shares]]+Posts1116[[#This Row],[Comments]])/Posts1116[[#This Row],[Impressions]]</f>
        <v>0.23656250000000001</v>
      </c>
      <c r="O157" t="str">
        <f>_xlfn.XLOOKUP(Posts1116[[#This Row],[Campaign_Name]],Campaign_Metadata[Campaign_Name],Campaign_Metadata[Objective])</f>
        <v>Customer Engagement</v>
      </c>
      <c r="P157" t="str">
        <f>IF(AND(Posts1116[[#This Row],[Date]]&gt;=DATE(2024,6,15), Posts1116[[#This Row],[Date]]&lt;=DATE(2024,7,15)),"During", "Before")</f>
        <v>Before</v>
      </c>
    </row>
    <row r="158" spans="1:16">
      <c r="A158" s="11" t="s">
        <v>343</v>
      </c>
      <c r="B158" s="6" t="s">
        <v>49</v>
      </c>
      <c r="C158" s="12">
        <v>45582</v>
      </c>
      <c r="D158" s="6" t="s">
        <v>75</v>
      </c>
      <c r="E158" s="6" t="s">
        <v>82</v>
      </c>
      <c r="F158" s="6">
        <v>3575</v>
      </c>
      <c r="G158" s="6">
        <v>749</v>
      </c>
      <c r="H158" s="6">
        <v>111</v>
      </c>
      <c r="I158" s="6">
        <v>21450</v>
      </c>
      <c r="J158" s="6">
        <v>20785</v>
      </c>
      <c r="K158" s="6">
        <v>195</v>
      </c>
      <c r="L158" s="6" t="s">
        <v>52</v>
      </c>
      <c r="M158" s="6" t="s">
        <v>11</v>
      </c>
      <c r="N158" s="14">
        <f>(Posts1116[[#This Row],[Likes]]+Posts1116[[#This Row],[Shares]]+Posts1116[[#This Row],[Comments]])/Posts1116[[#This Row],[Impressions]]</f>
        <v>0.20675990675990677</v>
      </c>
      <c r="O158" t="str">
        <f>_xlfn.XLOOKUP(Posts1116[[#This Row],[Campaign_Name]],Campaign_Metadata[Campaign_Name],Campaign_Metadata[Objective])</f>
        <v>Customer Engagement</v>
      </c>
      <c r="P158" t="str">
        <f>IF(AND(Posts1116[[#This Row],[Date]]&gt;=DATE(2024,6,15), Posts1116[[#This Row],[Date]]&lt;=DATE(2024,7,15)),"During", "Before")</f>
        <v>Before</v>
      </c>
    </row>
    <row r="159" spans="1:16">
      <c r="A159" s="9" t="s">
        <v>219</v>
      </c>
      <c r="B159" s="5" t="s">
        <v>49</v>
      </c>
      <c r="C159" s="10">
        <v>45586</v>
      </c>
      <c r="D159" s="5" t="s">
        <v>36</v>
      </c>
      <c r="E159" s="5" t="s">
        <v>80</v>
      </c>
      <c r="F159" s="5">
        <v>3256</v>
      </c>
      <c r="G159" s="5">
        <v>459</v>
      </c>
      <c r="H159" s="5">
        <v>266</v>
      </c>
      <c r="I159" s="5">
        <v>26048</v>
      </c>
      <c r="J159" s="5">
        <v>25529</v>
      </c>
      <c r="K159" s="5">
        <v>143</v>
      </c>
      <c r="L159" s="5" t="s">
        <v>43</v>
      </c>
      <c r="M159" s="5" t="s">
        <v>11</v>
      </c>
      <c r="N159" s="13">
        <f>(Posts1116[[#This Row],[Likes]]+Posts1116[[#This Row],[Shares]]+Posts1116[[#This Row],[Comments]])/Posts1116[[#This Row],[Impressions]]</f>
        <v>0.15283323095823095</v>
      </c>
      <c r="O159" t="str">
        <f>_xlfn.XLOOKUP(Posts1116[[#This Row],[Campaign_Name]],Campaign_Metadata[Campaign_Name],Campaign_Metadata[Objective])</f>
        <v>Customer Engagement</v>
      </c>
      <c r="P159" t="str">
        <f>IF(AND(Posts1116[[#This Row],[Date]]&gt;=DATE(2024,6,15), Posts1116[[#This Row],[Date]]&lt;=DATE(2024,7,15)),"During", "Before")</f>
        <v>Before</v>
      </c>
    </row>
    <row r="160" spans="1:16">
      <c r="A160" s="11" t="s">
        <v>228</v>
      </c>
      <c r="B160" s="6" t="s">
        <v>55</v>
      </c>
      <c r="C160" s="12">
        <v>45587</v>
      </c>
      <c r="D160" s="6" t="s">
        <v>56</v>
      </c>
      <c r="E160" s="6" t="s">
        <v>57</v>
      </c>
      <c r="F160" s="6">
        <v>3352</v>
      </c>
      <c r="G160" s="6">
        <v>941</v>
      </c>
      <c r="H160" s="6">
        <v>482</v>
      </c>
      <c r="I160" s="6">
        <v>43576</v>
      </c>
      <c r="J160" s="6">
        <v>43338</v>
      </c>
      <c r="K160" s="6">
        <v>240</v>
      </c>
      <c r="L160" s="6" t="s">
        <v>38</v>
      </c>
      <c r="M160" s="6" t="s">
        <v>11</v>
      </c>
      <c r="N160" s="14">
        <f>(Posts1116[[#This Row],[Likes]]+Posts1116[[#This Row],[Shares]]+Posts1116[[#This Row],[Comments]])/Posts1116[[#This Row],[Impressions]]</f>
        <v>0.1095786671562328</v>
      </c>
      <c r="O160" t="str">
        <f>_xlfn.XLOOKUP(Posts1116[[#This Row],[Campaign_Name]],Campaign_Metadata[Campaign_Name],Campaign_Metadata[Objective])</f>
        <v>Customer Engagement</v>
      </c>
      <c r="P160" t="str">
        <f>IF(AND(Posts1116[[#This Row],[Date]]&gt;=DATE(2024,6,15), Posts1116[[#This Row],[Date]]&lt;=DATE(2024,7,15)),"During", "Before")</f>
        <v>Before</v>
      </c>
    </row>
    <row r="161" spans="1:16">
      <c r="A161" s="9" t="s">
        <v>54</v>
      </c>
      <c r="B161" s="5" t="s">
        <v>55</v>
      </c>
      <c r="C161" s="10">
        <v>45596</v>
      </c>
      <c r="D161" s="5" t="s">
        <v>56</v>
      </c>
      <c r="E161" s="5" t="s">
        <v>57</v>
      </c>
      <c r="F161" s="5">
        <v>2945</v>
      </c>
      <c r="G161" s="5">
        <v>930</v>
      </c>
      <c r="H161" s="5">
        <v>355</v>
      </c>
      <c r="I161" s="5">
        <v>23560</v>
      </c>
      <c r="J161" s="5">
        <v>23275</v>
      </c>
      <c r="K161" s="5">
        <v>256</v>
      </c>
      <c r="L161" s="5" t="s">
        <v>43</v>
      </c>
      <c r="M161" s="5" t="s">
        <v>11</v>
      </c>
      <c r="N161" s="13">
        <f>(Posts1116[[#This Row],[Likes]]+Posts1116[[#This Row],[Shares]]+Posts1116[[#This Row],[Comments]])/Posts1116[[#This Row],[Impressions]]</f>
        <v>0.17954159592529711</v>
      </c>
      <c r="O161" t="str">
        <f>_xlfn.XLOOKUP(Posts1116[[#This Row],[Campaign_Name]],Campaign_Metadata[Campaign_Name],Campaign_Metadata[Objective])</f>
        <v>Customer Engagement</v>
      </c>
      <c r="P161" t="str">
        <f>IF(AND(Posts1116[[#This Row],[Date]]&gt;=DATE(2024,6,15), Posts1116[[#This Row],[Date]]&lt;=DATE(2024,7,15)),"During", "Before")</f>
        <v>Before</v>
      </c>
    </row>
    <row r="162" spans="1:16">
      <c r="A162" s="11" t="s">
        <v>341</v>
      </c>
      <c r="B162" s="6" t="s">
        <v>49</v>
      </c>
      <c r="C162" s="12">
        <v>45601</v>
      </c>
      <c r="D162" s="6" t="s">
        <v>75</v>
      </c>
      <c r="E162" s="6" t="s">
        <v>82</v>
      </c>
      <c r="F162" s="6">
        <v>4561</v>
      </c>
      <c r="G162" s="6">
        <v>51</v>
      </c>
      <c r="H162" s="6">
        <v>441</v>
      </c>
      <c r="I162" s="6">
        <v>22805</v>
      </c>
      <c r="J162" s="6">
        <v>21890</v>
      </c>
      <c r="K162" s="6">
        <v>45</v>
      </c>
      <c r="L162" s="6" t="s">
        <v>43</v>
      </c>
      <c r="M162" s="6" t="s">
        <v>11</v>
      </c>
      <c r="N162" s="14">
        <f>(Posts1116[[#This Row],[Likes]]+Posts1116[[#This Row],[Shares]]+Posts1116[[#This Row],[Comments]])/Posts1116[[#This Row],[Impressions]]</f>
        <v>0.22157421618066214</v>
      </c>
      <c r="O162" t="str">
        <f>_xlfn.XLOOKUP(Posts1116[[#This Row],[Campaign_Name]],Campaign_Metadata[Campaign_Name],Campaign_Metadata[Objective])</f>
        <v>Customer Engagement</v>
      </c>
      <c r="P162" t="str">
        <f>IF(AND(Posts1116[[#This Row],[Date]]&gt;=DATE(2024,6,15), Posts1116[[#This Row],[Date]]&lt;=DATE(2024,7,15)),"During", "Before")</f>
        <v>Before</v>
      </c>
    </row>
    <row r="163" spans="1:16">
      <c r="A163" s="11" t="s">
        <v>87</v>
      </c>
      <c r="B163" s="6" t="s">
        <v>55</v>
      </c>
      <c r="C163" s="12">
        <v>45602</v>
      </c>
      <c r="D163" s="6" t="s">
        <v>75</v>
      </c>
      <c r="E163" s="6" t="s">
        <v>76</v>
      </c>
      <c r="F163" s="6">
        <v>1606</v>
      </c>
      <c r="G163" s="6">
        <v>547</v>
      </c>
      <c r="H163" s="6">
        <v>316</v>
      </c>
      <c r="I163" s="6">
        <v>32120</v>
      </c>
      <c r="J163" s="6">
        <v>31736</v>
      </c>
      <c r="K163" s="6">
        <v>225</v>
      </c>
      <c r="L163" s="6" t="s">
        <v>43</v>
      </c>
      <c r="M163" s="6" t="s">
        <v>11</v>
      </c>
      <c r="N163" s="14">
        <f>(Posts1116[[#This Row],[Likes]]+Posts1116[[#This Row],[Shares]]+Posts1116[[#This Row],[Comments]])/Posts1116[[#This Row],[Impressions]]</f>
        <v>7.6867995018679955E-2</v>
      </c>
      <c r="O163" t="str">
        <f>_xlfn.XLOOKUP(Posts1116[[#This Row],[Campaign_Name]],Campaign_Metadata[Campaign_Name],Campaign_Metadata[Objective])</f>
        <v>Customer Engagement</v>
      </c>
      <c r="P163" t="str">
        <f>IF(AND(Posts1116[[#This Row],[Date]]&gt;=DATE(2024,6,15), Posts1116[[#This Row],[Date]]&lt;=DATE(2024,7,15)),"During", "Before")</f>
        <v>Before</v>
      </c>
    </row>
    <row r="164" spans="1:16">
      <c r="A164" s="9" t="s">
        <v>87</v>
      </c>
      <c r="B164" s="5" t="s">
        <v>55</v>
      </c>
      <c r="C164" s="10">
        <v>45602</v>
      </c>
      <c r="D164" s="5" t="s">
        <v>75</v>
      </c>
      <c r="E164" s="5" t="s">
        <v>76</v>
      </c>
      <c r="F164" s="5">
        <v>1606</v>
      </c>
      <c r="G164" s="5">
        <v>547</v>
      </c>
      <c r="H164" s="5">
        <v>316</v>
      </c>
      <c r="I164" s="5">
        <v>32120</v>
      </c>
      <c r="J164" s="5">
        <v>31736</v>
      </c>
      <c r="K164" s="5">
        <v>225</v>
      </c>
      <c r="L164" s="5" t="s">
        <v>39</v>
      </c>
      <c r="M164" s="5" t="s">
        <v>11</v>
      </c>
      <c r="N164" s="13">
        <f>(Posts1116[[#This Row],[Likes]]+Posts1116[[#This Row],[Shares]]+Posts1116[[#This Row],[Comments]])/Posts1116[[#This Row],[Impressions]]</f>
        <v>7.6867995018679955E-2</v>
      </c>
      <c r="O164" t="str">
        <f>_xlfn.XLOOKUP(Posts1116[[#This Row],[Campaign_Name]],Campaign_Metadata[Campaign_Name],Campaign_Metadata[Objective])</f>
        <v>Customer Engagement</v>
      </c>
      <c r="P164" t="str">
        <f>IF(AND(Posts1116[[#This Row],[Date]]&gt;=DATE(2024,6,15), Posts1116[[#This Row],[Date]]&lt;=DATE(2024,7,15)),"During", "Before")</f>
        <v>Before</v>
      </c>
    </row>
    <row r="165" spans="1:16">
      <c r="A165" s="11" t="s">
        <v>183</v>
      </c>
      <c r="B165" s="6" t="s">
        <v>46</v>
      </c>
      <c r="C165" s="12">
        <v>45619</v>
      </c>
      <c r="D165" s="6" t="s">
        <v>61</v>
      </c>
      <c r="E165" s="6" t="s">
        <v>62</v>
      </c>
      <c r="F165" s="6">
        <v>2719</v>
      </c>
      <c r="G165" s="6">
        <v>17</v>
      </c>
      <c r="H165" s="6">
        <v>285</v>
      </c>
      <c r="I165" s="6">
        <v>40785</v>
      </c>
      <c r="J165" s="6">
        <v>40281</v>
      </c>
      <c r="K165" s="6">
        <v>40</v>
      </c>
      <c r="L165" s="6" t="s">
        <v>43</v>
      </c>
      <c r="M165" s="6" t="s">
        <v>11</v>
      </c>
      <c r="N165" s="14">
        <f>(Posts1116[[#This Row],[Likes]]+Posts1116[[#This Row],[Shares]]+Posts1116[[#This Row],[Comments]])/Posts1116[[#This Row],[Impressions]]</f>
        <v>7.4071349760941527E-2</v>
      </c>
      <c r="O165" t="str">
        <f>_xlfn.XLOOKUP(Posts1116[[#This Row],[Campaign_Name]],Campaign_Metadata[Campaign_Name],Campaign_Metadata[Objective])</f>
        <v>Customer Engagement</v>
      </c>
      <c r="P165" t="str">
        <f>IF(AND(Posts1116[[#This Row],[Date]]&gt;=DATE(2024,6,15), Posts1116[[#This Row],[Date]]&lt;=DATE(2024,7,15)),"During", "Before")</f>
        <v>Before</v>
      </c>
    </row>
    <row r="166" spans="1:16">
      <c r="A166" s="9" t="s">
        <v>231</v>
      </c>
      <c r="B166" s="5" t="s">
        <v>55</v>
      </c>
      <c r="C166" s="10">
        <v>45621</v>
      </c>
      <c r="D166" s="5" t="s">
        <v>50</v>
      </c>
      <c r="E166" s="5" t="s">
        <v>73</v>
      </c>
      <c r="F166" s="5">
        <v>2120</v>
      </c>
      <c r="G166" s="5">
        <v>158</v>
      </c>
      <c r="H166" s="5">
        <v>488</v>
      </c>
      <c r="I166" s="5">
        <v>12720</v>
      </c>
      <c r="J166" s="5">
        <v>12085</v>
      </c>
      <c r="K166" s="5">
        <v>17</v>
      </c>
      <c r="L166" s="5" t="s">
        <v>38</v>
      </c>
      <c r="M166" s="5" t="s">
        <v>11</v>
      </c>
      <c r="N166" s="13">
        <f>(Posts1116[[#This Row],[Likes]]+Posts1116[[#This Row],[Shares]]+Posts1116[[#This Row],[Comments]])/Posts1116[[#This Row],[Impressions]]</f>
        <v>0.21745283018867925</v>
      </c>
      <c r="O166" t="str">
        <f>_xlfn.XLOOKUP(Posts1116[[#This Row],[Campaign_Name]],Campaign_Metadata[Campaign_Name],Campaign_Metadata[Objective])</f>
        <v>Customer Engagement</v>
      </c>
      <c r="P166" t="str">
        <f>IF(AND(Posts1116[[#This Row],[Date]]&gt;=DATE(2024,6,15), Posts1116[[#This Row],[Date]]&lt;=DATE(2024,7,15)),"During", "Before")</f>
        <v>Before</v>
      </c>
    </row>
    <row r="167" spans="1:16">
      <c r="A167" s="9" t="s">
        <v>101</v>
      </c>
      <c r="B167" s="5" t="s">
        <v>49</v>
      </c>
      <c r="C167" s="10">
        <v>45626</v>
      </c>
      <c r="D167" s="5" t="s">
        <v>75</v>
      </c>
      <c r="E167" s="5" t="s">
        <v>82</v>
      </c>
      <c r="F167" s="5">
        <v>3775</v>
      </c>
      <c r="G167" s="5">
        <v>16</v>
      </c>
      <c r="H167" s="5">
        <v>239</v>
      </c>
      <c r="I167" s="5">
        <v>33975</v>
      </c>
      <c r="J167" s="5">
        <v>33310</v>
      </c>
      <c r="K167" s="5">
        <v>271</v>
      </c>
      <c r="L167" s="5" t="s">
        <v>38</v>
      </c>
      <c r="M167" s="5" t="s">
        <v>11</v>
      </c>
      <c r="N167" s="13">
        <f>(Posts1116[[#This Row],[Likes]]+Posts1116[[#This Row],[Shares]]+Posts1116[[#This Row],[Comments]])/Posts1116[[#This Row],[Impressions]]</f>
        <v>0.11861662987490802</v>
      </c>
      <c r="O167" t="str">
        <f>_xlfn.XLOOKUP(Posts1116[[#This Row],[Campaign_Name]],Campaign_Metadata[Campaign_Name],Campaign_Metadata[Objective])</f>
        <v>Customer Engagement</v>
      </c>
      <c r="P167" t="str">
        <f>IF(AND(Posts1116[[#This Row],[Date]]&gt;=DATE(2024,6,15), Posts1116[[#This Row],[Date]]&lt;=DATE(2024,7,15)),"During", "Before")</f>
        <v>Before</v>
      </c>
    </row>
    <row r="168" spans="1:16">
      <c r="A168" s="11" t="s">
        <v>271</v>
      </c>
      <c r="B168" s="6" t="s">
        <v>46</v>
      </c>
      <c r="C168" s="12">
        <v>45626</v>
      </c>
      <c r="D168" s="6" t="s">
        <v>56</v>
      </c>
      <c r="E168" s="6" t="s">
        <v>71</v>
      </c>
      <c r="F168" s="6">
        <v>2509</v>
      </c>
      <c r="G168" s="6">
        <v>324</v>
      </c>
      <c r="H168" s="6">
        <v>171</v>
      </c>
      <c r="I168" s="6">
        <v>35126</v>
      </c>
      <c r="J168" s="6">
        <v>34685</v>
      </c>
      <c r="K168" s="6">
        <v>277</v>
      </c>
      <c r="L168" s="6" t="s">
        <v>43</v>
      </c>
      <c r="M168" s="6" t="s">
        <v>11</v>
      </c>
      <c r="N168" s="14">
        <f>(Posts1116[[#This Row],[Likes]]+Posts1116[[#This Row],[Shares]]+Posts1116[[#This Row],[Comments]])/Posts1116[[#This Row],[Impressions]]</f>
        <v>8.5520696919660646E-2</v>
      </c>
      <c r="O168" t="str">
        <f>_xlfn.XLOOKUP(Posts1116[[#This Row],[Campaign_Name]],Campaign_Metadata[Campaign_Name],Campaign_Metadata[Objective])</f>
        <v>Customer Engagement</v>
      </c>
      <c r="P168" t="str">
        <f>IF(AND(Posts1116[[#This Row],[Date]]&gt;=DATE(2024,6,15), Posts1116[[#This Row],[Date]]&lt;=DATE(2024,7,15)),"During", "Before")</f>
        <v>Before</v>
      </c>
    </row>
    <row r="169" spans="1:16">
      <c r="A169" s="11" t="s">
        <v>237</v>
      </c>
      <c r="B169" s="6" t="s">
        <v>35</v>
      </c>
      <c r="C169" s="12">
        <v>45637</v>
      </c>
      <c r="D169" s="6" t="s">
        <v>41</v>
      </c>
      <c r="E169" s="6" t="s">
        <v>42</v>
      </c>
      <c r="F169" s="6">
        <v>3239</v>
      </c>
      <c r="G169" s="6">
        <v>43</v>
      </c>
      <c r="H169" s="6">
        <v>211</v>
      </c>
      <c r="I169" s="6">
        <v>22673</v>
      </c>
      <c r="J169" s="6">
        <v>22171</v>
      </c>
      <c r="K169" s="6">
        <v>230</v>
      </c>
      <c r="L169" s="6" t="s">
        <v>43</v>
      </c>
      <c r="M169" s="6" t="s">
        <v>11</v>
      </c>
      <c r="N169" s="14">
        <f>(Posts1116[[#This Row],[Likes]]+Posts1116[[#This Row],[Shares]]+Posts1116[[#This Row],[Comments]])/Posts1116[[#This Row],[Impressions]]</f>
        <v>0.15405989502933004</v>
      </c>
      <c r="O169" t="str">
        <f>_xlfn.XLOOKUP(Posts1116[[#This Row],[Campaign_Name]],Campaign_Metadata[Campaign_Name],Campaign_Metadata[Objective])</f>
        <v>Customer Engagement</v>
      </c>
      <c r="P169" t="str">
        <f>IF(AND(Posts1116[[#This Row],[Date]]&gt;=DATE(2024,6,15), Posts1116[[#This Row],[Date]]&lt;=DATE(2024,7,15)),"During", "Before")</f>
        <v>Before</v>
      </c>
    </row>
    <row r="170" spans="1:16">
      <c r="A170" s="9" t="s">
        <v>96</v>
      </c>
      <c r="B170" s="5" t="s">
        <v>49</v>
      </c>
      <c r="C170" s="10">
        <v>45642</v>
      </c>
      <c r="D170" s="5" t="s">
        <v>41</v>
      </c>
      <c r="E170" s="5" t="s">
        <v>97</v>
      </c>
      <c r="F170" s="5">
        <v>438</v>
      </c>
      <c r="G170" s="5">
        <v>153</v>
      </c>
      <c r="H170" s="5">
        <v>275</v>
      </c>
      <c r="I170" s="5">
        <v>3066</v>
      </c>
      <c r="J170" s="5">
        <v>2701</v>
      </c>
      <c r="K170" s="5">
        <v>282</v>
      </c>
      <c r="L170" s="5" t="s">
        <v>43</v>
      </c>
      <c r="M170" s="5" t="s">
        <v>11</v>
      </c>
      <c r="N170" s="13">
        <f>(Posts1116[[#This Row],[Likes]]+Posts1116[[#This Row],[Shares]]+Posts1116[[#This Row],[Comments]])/Posts1116[[#This Row],[Impressions]]</f>
        <v>0.28245270711024134</v>
      </c>
      <c r="O170" t="str">
        <f>_xlfn.XLOOKUP(Posts1116[[#This Row],[Campaign_Name]],Campaign_Metadata[Campaign_Name],Campaign_Metadata[Objective])</f>
        <v>Customer Engagement</v>
      </c>
      <c r="P170" t="str">
        <f>IF(AND(Posts1116[[#This Row],[Date]]&gt;=DATE(2024,6,15), Posts1116[[#This Row],[Date]]&lt;=DATE(2024,7,15)),"During", "Before")</f>
        <v>Before</v>
      </c>
    </row>
    <row r="171" spans="1:16">
      <c r="A171" s="11" t="s">
        <v>255</v>
      </c>
      <c r="B171" s="6" t="s">
        <v>49</v>
      </c>
      <c r="C171" s="12">
        <v>45643</v>
      </c>
      <c r="D171" s="6" t="s">
        <v>50</v>
      </c>
      <c r="E171" s="6" t="s">
        <v>51</v>
      </c>
      <c r="F171" s="6">
        <v>360</v>
      </c>
      <c r="G171" s="6">
        <v>590</v>
      </c>
      <c r="H171" s="6">
        <v>393</v>
      </c>
      <c r="I171" s="6">
        <v>4680</v>
      </c>
      <c r="J171" s="6">
        <v>4322</v>
      </c>
      <c r="K171" s="6">
        <v>208</v>
      </c>
      <c r="L171" s="6" t="s">
        <v>38</v>
      </c>
      <c r="M171" s="6" t="s">
        <v>11</v>
      </c>
      <c r="N171" s="14">
        <f>(Posts1116[[#This Row],[Likes]]+Posts1116[[#This Row],[Shares]]+Posts1116[[#This Row],[Comments]])/Posts1116[[#This Row],[Impressions]]</f>
        <v>0.28696581196581195</v>
      </c>
      <c r="O171" t="str">
        <f>_xlfn.XLOOKUP(Posts1116[[#This Row],[Campaign_Name]],Campaign_Metadata[Campaign_Name],Campaign_Metadata[Objective])</f>
        <v>Customer Engagement</v>
      </c>
      <c r="P171" t="str">
        <f>IF(AND(Posts1116[[#This Row],[Date]]&gt;=DATE(2024,6,15), Posts1116[[#This Row],[Date]]&lt;=DATE(2024,7,15)),"During", "Before")</f>
        <v>Before</v>
      </c>
    </row>
    <row r="172" spans="1:16">
      <c r="A172" s="9" t="s">
        <v>227</v>
      </c>
      <c r="B172" s="5" t="s">
        <v>46</v>
      </c>
      <c r="C172" s="10">
        <v>45647</v>
      </c>
      <c r="D172" s="5" t="s">
        <v>61</v>
      </c>
      <c r="E172" s="5" t="s">
        <v>62</v>
      </c>
      <c r="F172" s="5">
        <v>2283</v>
      </c>
      <c r="G172" s="5">
        <v>210</v>
      </c>
      <c r="H172" s="5">
        <v>130</v>
      </c>
      <c r="I172" s="5">
        <v>22830</v>
      </c>
      <c r="J172" s="5">
        <v>22617</v>
      </c>
      <c r="K172" s="5">
        <v>143</v>
      </c>
      <c r="L172" s="5" t="s">
        <v>38</v>
      </c>
      <c r="M172" s="5" t="s">
        <v>11</v>
      </c>
      <c r="N172" s="13">
        <f>(Posts1116[[#This Row],[Likes]]+Posts1116[[#This Row],[Shares]]+Posts1116[[#This Row],[Comments]])/Posts1116[[#This Row],[Impressions]]</f>
        <v>0.11489268506351293</v>
      </c>
      <c r="O172" t="str">
        <f>_xlfn.XLOOKUP(Posts1116[[#This Row],[Campaign_Name]],Campaign_Metadata[Campaign_Name],Campaign_Metadata[Objective])</f>
        <v>Customer Engagement</v>
      </c>
      <c r="P172" t="str">
        <f>IF(AND(Posts1116[[#This Row],[Date]]&gt;=DATE(2024,6,15), Posts1116[[#This Row],[Date]]&lt;=DATE(2024,7,15)),"During", "Before")</f>
        <v>Before</v>
      </c>
    </row>
    <row r="173" spans="1:16">
      <c r="A173" s="11" t="s">
        <v>286</v>
      </c>
      <c r="B173" s="6" t="s">
        <v>49</v>
      </c>
      <c r="C173" s="12">
        <v>45649</v>
      </c>
      <c r="D173" s="6" t="s">
        <v>61</v>
      </c>
      <c r="E173" s="6" t="s">
        <v>153</v>
      </c>
      <c r="F173" s="6">
        <v>521</v>
      </c>
      <c r="G173" s="6">
        <v>746</v>
      </c>
      <c r="H173" s="6">
        <v>315</v>
      </c>
      <c r="I173" s="6">
        <v>4168</v>
      </c>
      <c r="J173" s="6">
        <v>3399</v>
      </c>
      <c r="K173" s="6">
        <v>282</v>
      </c>
      <c r="L173" s="6" t="s">
        <v>38</v>
      </c>
      <c r="M173" s="6" t="s">
        <v>11</v>
      </c>
      <c r="N173" s="14">
        <f>(Posts1116[[#This Row],[Likes]]+Posts1116[[#This Row],[Shares]]+Posts1116[[#This Row],[Comments]])/Posts1116[[#This Row],[Impressions]]</f>
        <v>0.37955854126679461</v>
      </c>
      <c r="O173" t="str">
        <f>_xlfn.XLOOKUP(Posts1116[[#This Row],[Campaign_Name]],Campaign_Metadata[Campaign_Name],Campaign_Metadata[Objective])</f>
        <v>Customer Engagement</v>
      </c>
      <c r="P173" t="str">
        <f>IF(AND(Posts1116[[#This Row],[Date]]&gt;=DATE(2024,6,15), Posts1116[[#This Row],[Date]]&lt;=DATE(2024,7,15)),"During", "Before")</f>
        <v>Before</v>
      </c>
    </row>
    <row r="174" spans="1:16">
      <c r="A174" s="11" t="s">
        <v>243</v>
      </c>
      <c r="B174" s="6" t="s">
        <v>46</v>
      </c>
      <c r="C174" s="12">
        <v>45657</v>
      </c>
      <c r="D174" s="6" t="s">
        <v>75</v>
      </c>
      <c r="E174" s="6" t="s">
        <v>155</v>
      </c>
      <c r="F174" s="6">
        <v>1018</v>
      </c>
      <c r="G174" s="6">
        <v>447</v>
      </c>
      <c r="H174" s="6">
        <v>332</v>
      </c>
      <c r="I174" s="6">
        <v>18324</v>
      </c>
      <c r="J174" s="6">
        <v>18164</v>
      </c>
      <c r="K174" s="6">
        <v>38</v>
      </c>
      <c r="L174" s="6" t="s">
        <v>38</v>
      </c>
      <c r="M174" s="6" t="s">
        <v>11</v>
      </c>
      <c r="N174" s="14">
        <f>(Posts1116[[#This Row],[Likes]]+Posts1116[[#This Row],[Shares]]+Posts1116[[#This Row],[Comments]])/Posts1116[[#This Row],[Impressions]]</f>
        <v>9.8068107400130972E-2</v>
      </c>
      <c r="O174" t="str">
        <f>_xlfn.XLOOKUP(Posts1116[[#This Row],[Campaign_Name]],Campaign_Metadata[Campaign_Name],Campaign_Metadata[Objective])</f>
        <v>Customer Engagement</v>
      </c>
      <c r="P174" t="str">
        <f>IF(AND(Posts1116[[#This Row],[Date]]&gt;=DATE(2024,6,15), Posts1116[[#This Row],[Date]]&lt;=DATE(2024,7,15)),"During", "Before")</f>
        <v>Before</v>
      </c>
    </row>
    <row r="175" spans="1:16">
      <c r="A175" s="9" t="s">
        <v>103</v>
      </c>
      <c r="B175" s="5" t="s">
        <v>55</v>
      </c>
      <c r="C175" s="10">
        <v>45663</v>
      </c>
      <c r="D175" s="5" t="s">
        <v>56</v>
      </c>
      <c r="E175" s="5" t="s">
        <v>57</v>
      </c>
      <c r="F175" s="5">
        <v>3024</v>
      </c>
      <c r="G175" s="5">
        <v>925</v>
      </c>
      <c r="H175" s="5">
        <v>350</v>
      </c>
      <c r="I175" s="5">
        <v>24192</v>
      </c>
      <c r="J175" s="5">
        <v>23518</v>
      </c>
      <c r="K175" s="5">
        <v>36</v>
      </c>
      <c r="L175" s="5" t="s">
        <v>52</v>
      </c>
      <c r="M175" s="5" t="s">
        <v>11</v>
      </c>
      <c r="N175" s="13">
        <f>(Posts1116[[#This Row],[Likes]]+Posts1116[[#This Row],[Shares]]+Posts1116[[#This Row],[Comments]])/Posts1116[[#This Row],[Impressions]]</f>
        <v>0.17770337301587302</v>
      </c>
      <c r="O175" t="str">
        <f>_xlfn.XLOOKUP(Posts1116[[#This Row],[Campaign_Name]],Campaign_Metadata[Campaign_Name],Campaign_Metadata[Objective])</f>
        <v>Customer Engagement</v>
      </c>
      <c r="P175" t="str">
        <f>IF(AND(Posts1116[[#This Row],[Date]]&gt;=DATE(2024,6,15), Posts1116[[#This Row],[Date]]&lt;=DATE(2024,7,15)),"During", "Before")</f>
        <v>Before</v>
      </c>
    </row>
    <row r="176" spans="1:16">
      <c r="A176" s="9" t="s">
        <v>326</v>
      </c>
      <c r="B176" s="5" t="s">
        <v>35</v>
      </c>
      <c r="C176" s="10">
        <v>45671</v>
      </c>
      <c r="D176" s="5" t="s">
        <v>61</v>
      </c>
      <c r="E176" s="5" t="s">
        <v>107</v>
      </c>
      <c r="F176" s="5">
        <v>2692</v>
      </c>
      <c r="G176" s="5">
        <v>115</v>
      </c>
      <c r="H176" s="5">
        <v>64</v>
      </c>
      <c r="I176" s="5">
        <v>21536</v>
      </c>
      <c r="J176" s="5">
        <v>21120</v>
      </c>
      <c r="K176" s="5">
        <v>224</v>
      </c>
      <c r="L176" s="5" t="s">
        <v>38</v>
      </c>
      <c r="M176" s="5" t="s">
        <v>11</v>
      </c>
      <c r="N176" s="13">
        <f>(Posts1116[[#This Row],[Likes]]+Posts1116[[#This Row],[Shares]]+Posts1116[[#This Row],[Comments]])/Posts1116[[#This Row],[Impressions]]</f>
        <v>0.13331166419019316</v>
      </c>
      <c r="O176" t="str">
        <f>_xlfn.XLOOKUP(Posts1116[[#This Row],[Campaign_Name]],Campaign_Metadata[Campaign_Name],Campaign_Metadata[Objective])</f>
        <v>Customer Engagement</v>
      </c>
      <c r="P176" t="str">
        <f>IF(AND(Posts1116[[#This Row],[Date]]&gt;=DATE(2024,6,15), Posts1116[[#This Row],[Date]]&lt;=DATE(2024,7,15)),"During", "Before")</f>
        <v>Before</v>
      </c>
    </row>
    <row r="177" spans="1:16">
      <c r="A177" s="9" t="s">
        <v>336</v>
      </c>
      <c r="B177" s="5" t="s">
        <v>35</v>
      </c>
      <c r="C177" s="10">
        <v>45687</v>
      </c>
      <c r="D177" s="5" t="s">
        <v>61</v>
      </c>
      <c r="E177" s="5" t="s">
        <v>107</v>
      </c>
      <c r="F177" s="5">
        <v>59</v>
      </c>
      <c r="G177" s="5">
        <v>163</v>
      </c>
      <c r="H177" s="5">
        <v>93</v>
      </c>
      <c r="I177" s="5">
        <v>590</v>
      </c>
      <c r="J177" s="5">
        <v>475</v>
      </c>
      <c r="K177" s="5">
        <v>293</v>
      </c>
      <c r="L177" s="5" t="s">
        <v>43</v>
      </c>
      <c r="M177" s="5" t="s">
        <v>11</v>
      </c>
      <c r="N177" s="13">
        <f>(Posts1116[[#This Row],[Likes]]+Posts1116[[#This Row],[Shares]]+Posts1116[[#This Row],[Comments]])/Posts1116[[#This Row],[Impressions]]</f>
        <v>0.53389830508474578</v>
      </c>
      <c r="O177" t="str">
        <f>_xlfn.XLOOKUP(Posts1116[[#This Row],[Campaign_Name]],Campaign_Metadata[Campaign_Name],Campaign_Metadata[Objective])</f>
        <v>Customer Engagement</v>
      </c>
      <c r="P177" t="str">
        <f>IF(AND(Posts1116[[#This Row],[Date]]&gt;=DATE(2024,6,15), Posts1116[[#This Row],[Date]]&lt;=DATE(2024,7,15)),"During", "Before")</f>
        <v>Before</v>
      </c>
    </row>
    <row r="178" spans="1:16">
      <c r="A178" s="9" t="s">
        <v>142</v>
      </c>
      <c r="B178" s="5" t="s">
        <v>46</v>
      </c>
      <c r="C178" s="10">
        <v>45719</v>
      </c>
      <c r="D178" s="5" t="s">
        <v>36</v>
      </c>
      <c r="E178" s="5" t="s">
        <v>47</v>
      </c>
      <c r="F178" s="5">
        <v>296</v>
      </c>
      <c r="G178" s="5">
        <v>60</v>
      </c>
      <c r="H178" s="5">
        <v>141</v>
      </c>
      <c r="I178" s="5">
        <v>5624</v>
      </c>
      <c r="J178" s="5">
        <v>5239</v>
      </c>
      <c r="K178" s="5">
        <v>88</v>
      </c>
      <c r="L178" s="5" t="s">
        <v>52</v>
      </c>
      <c r="M178" s="5" t="s">
        <v>11</v>
      </c>
      <c r="N178" s="13">
        <f>(Posts1116[[#This Row],[Likes]]+Posts1116[[#This Row],[Shares]]+Posts1116[[#This Row],[Comments]])/Posts1116[[#This Row],[Impressions]]</f>
        <v>8.837126600284495E-2</v>
      </c>
      <c r="O178" t="str">
        <f>_xlfn.XLOOKUP(Posts1116[[#This Row],[Campaign_Name]],Campaign_Metadata[Campaign_Name],Campaign_Metadata[Objective])</f>
        <v>Customer Engagement</v>
      </c>
      <c r="P178" t="str">
        <f>IF(AND(Posts1116[[#This Row],[Date]]&gt;=DATE(2024,6,15), Posts1116[[#This Row],[Date]]&lt;=DATE(2024,7,15)),"During", "Before")</f>
        <v>Before</v>
      </c>
    </row>
    <row r="179" spans="1:16">
      <c r="A179" s="11" t="s">
        <v>284</v>
      </c>
      <c r="B179" s="6" t="s">
        <v>46</v>
      </c>
      <c r="C179" s="12">
        <v>45719</v>
      </c>
      <c r="D179" s="6" t="s">
        <v>75</v>
      </c>
      <c r="E179" s="6" t="s">
        <v>155</v>
      </c>
      <c r="F179" s="6">
        <v>3874</v>
      </c>
      <c r="G179" s="6">
        <v>884</v>
      </c>
      <c r="H179" s="6">
        <v>19</v>
      </c>
      <c r="I179" s="6">
        <v>38740</v>
      </c>
      <c r="J179" s="6">
        <v>38552</v>
      </c>
      <c r="K179" s="6">
        <v>219</v>
      </c>
      <c r="L179" s="6" t="s">
        <v>43</v>
      </c>
      <c r="M179" s="6" t="s">
        <v>11</v>
      </c>
      <c r="N179" s="14">
        <f>(Posts1116[[#This Row],[Likes]]+Posts1116[[#This Row],[Shares]]+Posts1116[[#This Row],[Comments]])/Posts1116[[#This Row],[Impressions]]</f>
        <v>0.123309241094476</v>
      </c>
      <c r="O179" t="str">
        <f>_xlfn.XLOOKUP(Posts1116[[#This Row],[Campaign_Name]],Campaign_Metadata[Campaign_Name],Campaign_Metadata[Objective])</f>
        <v>Customer Engagement</v>
      </c>
      <c r="P179" t="str">
        <f>IF(AND(Posts1116[[#This Row],[Date]]&gt;=DATE(2024,6,15), Posts1116[[#This Row],[Date]]&lt;=DATE(2024,7,15)),"During", "Before")</f>
        <v>Before</v>
      </c>
    </row>
    <row r="180" spans="1:16">
      <c r="A180" s="11" t="s">
        <v>204</v>
      </c>
      <c r="B180" s="6" t="s">
        <v>49</v>
      </c>
      <c r="C180" s="12">
        <v>45720</v>
      </c>
      <c r="D180" s="6" t="s">
        <v>50</v>
      </c>
      <c r="E180" s="6" t="s">
        <v>51</v>
      </c>
      <c r="F180" s="6">
        <v>1947</v>
      </c>
      <c r="G180" s="6">
        <v>842</v>
      </c>
      <c r="H180" s="6">
        <v>101</v>
      </c>
      <c r="I180" s="6">
        <v>21417</v>
      </c>
      <c r="J180" s="6">
        <v>20967</v>
      </c>
      <c r="K180" s="6">
        <v>186</v>
      </c>
      <c r="L180" s="6" t="s">
        <v>38</v>
      </c>
      <c r="M180" s="6" t="s">
        <v>11</v>
      </c>
      <c r="N180" s="14">
        <f>(Posts1116[[#This Row],[Likes]]+Posts1116[[#This Row],[Shares]]+Posts1116[[#This Row],[Comments]])/Posts1116[[#This Row],[Impressions]]</f>
        <v>0.13493953401503478</v>
      </c>
      <c r="O180" t="str">
        <f>_xlfn.XLOOKUP(Posts1116[[#This Row],[Campaign_Name]],Campaign_Metadata[Campaign_Name],Campaign_Metadata[Objective])</f>
        <v>Customer Engagement</v>
      </c>
      <c r="P180" t="str">
        <f>IF(AND(Posts1116[[#This Row],[Date]]&gt;=DATE(2024,6,15), Posts1116[[#This Row],[Date]]&lt;=DATE(2024,7,15)),"During", "Before")</f>
        <v>Before</v>
      </c>
    </row>
    <row r="181" spans="1:16">
      <c r="A181" s="9" t="s">
        <v>65</v>
      </c>
      <c r="B181" s="5" t="s">
        <v>55</v>
      </c>
      <c r="C181" s="10">
        <v>45727</v>
      </c>
      <c r="D181" s="5" t="s">
        <v>61</v>
      </c>
      <c r="E181" s="5" t="s">
        <v>66</v>
      </c>
      <c r="F181" s="5">
        <v>4241</v>
      </c>
      <c r="G181" s="5">
        <v>902</v>
      </c>
      <c r="H181" s="5">
        <v>47</v>
      </c>
      <c r="I181" s="5">
        <v>72097</v>
      </c>
      <c r="J181" s="5">
        <v>71598</v>
      </c>
      <c r="K181" s="5">
        <v>167</v>
      </c>
      <c r="L181" s="5" t="s">
        <v>43</v>
      </c>
      <c r="M181" s="5" t="s">
        <v>11</v>
      </c>
      <c r="N181" s="13">
        <f>(Posts1116[[#This Row],[Likes]]+Posts1116[[#This Row],[Shares]]+Posts1116[[#This Row],[Comments]])/Posts1116[[#This Row],[Impressions]]</f>
        <v>7.198635172059864E-2</v>
      </c>
      <c r="O181" t="str">
        <f>_xlfn.XLOOKUP(Posts1116[[#This Row],[Campaign_Name]],Campaign_Metadata[Campaign_Name],Campaign_Metadata[Objective])</f>
        <v>Customer Engagement</v>
      </c>
      <c r="P181" t="str">
        <f>IF(AND(Posts1116[[#This Row],[Date]]&gt;=DATE(2024,6,15), Posts1116[[#This Row],[Date]]&lt;=DATE(2024,7,15)),"During", "Before")</f>
        <v>Before</v>
      </c>
    </row>
    <row r="182" spans="1:16">
      <c r="A182" s="9" t="s">
        <v>124</v>
      </c>
      <c r="B182" s="5" t="s">
        <v>46</v>
      </c>
      <c r="C182" s="10">
        <v>45729</v>
      </c>
      <c r="D182" s="5" t="s">
        <v>56</v>
      </c>
      <c r="E182" s="5" t="s">
        <v>71</v>
      </c>
      <c r="F182" s="5">
        <v>1686</v>
      </c>
      <c r="G182" s="5">
        <v>904</v>
      </c>
      <c r="H182" s="5">
        <v>472</v>
      </c>
      <c r="I182" s="5">
        <v>18546</v>
      </c>
      <c r="J182" s="5">
        <v>18171</v>
      </c>
      <c r="K182" s="5">
        <v>52</v>
      </c>
      <c r="L182" s="5" t="s">
        <v>38</v>
      </c>
      <c r="M182" s="5" t="s">
        <v>11</v>
      </c>
      <c r="N182" s="13">
        <f>(Posts1116[[#This Row],[Likes]]+Posts1116[[#This Row],[Shares]]+Posts1116[[#This Row],[Comments]])/Posts1116[[#This Row],[Impressions]]</f>
        <v>0.16510298716704411</v>
      </c>
      <c r="O182" t="str">
        <f>_xlfn.XLOOKUP(Posts1116[[#This Row],[Campaign_Name]],Campaign_Metadata[Campaign_Name],Campaign_Metadata[Objective])</f>
        <v>Customer Engagement</v>
      </c>
      <c r="P182" t="str">
        <f>IF(AND(Posts1116[[#This Row],[Date]]&gt;=DATE(2024,6,15), Posts1116[[#This Row],[Date]]&lt;=DATE(2024,7,15)),"During", "Before")</f>
        <v>Before</v>
      </c>
    </row>
    <row r="183" spans="1:16">
      <c r="A183" s="11" t="s">
        <v>353</v>
      </c>
      <c r="B183" s="6" t="s">
        <v>46</v>
      </c>
      <c r="C183" s="12">
        <v>45738</v>
      </c>
      <c r="D183" s="6" t="s">
        <v>61</v>
      </c>
      <c r="E183" s="6" t="s">
        <v>62</v>
      </c>
      <c r="F183" s="6">
        <v>3166</v>
      </c>
      <c r="G183" s="6">
        <v>90</v>
      </c>
      <c r="H183" s="6">
        <v>341</v>
      </c>
      <c r="I183" s="6">
        <v>56988</v>
      </c>
      <c r="J183" s="6">
        <v>56125</v>
      </c>
      <c r="K183" s="6">
        <v>135</v>
      </c>
      <c r="L183" s="6" t="s">
        <v>52</v>
      </c>
      <c r="M183" s="6" t="s">
        <v>11</v>
      </c>
      <c r="N183" s="14">
        <f>(Posts1116[[#This Row],[Likes]]+Posts1116[[#This Row],[Shares]]+Posts1116[[#This Row],[Comments]])/Posts1116[[#This Row],[Impressions]]</f>
        <v>6.3118551273952411E-2</v>
      </c>
      <c r="O183" t="str">
        <f>_xlfn.XLOOKUP(Posts1116[[#This Row],[Campaign_Name]],Campaign_Metadata[Campaign_Name],Campaign_Metadata[Objective])</f>
        <v>Customer Engagement</v>
      </c>
      <c r="P183" t="str">
        <f>IF(AND(Posts1116[[#This Row],[Date]]&gt;=DATE(2024,6,15), Posts1116[[#This Row],[Date]]&lt;=DATE(2024,7,15)),"During", "Before")</f>
        <v>Before</v>
      </c>
    </row>
    <row r="184" spans="1:16">
      <c r="A184" s="9" t="s">
        <v>180</v>
      </c>
      <c r="B184" s="5" t="s">
        <v>35</v>
      </c>
      <c r="C184" s="10">
        <v>45741</v>
      </c>
      <c r="D184" s="5" t="s">
        <v>75</v>
      </c>
      <c r="E184" s="5" t="s">
        <v>114</v>
      </c>
      <c r="F184" s="5">
        <v>4050</v>
      </c>
      <c r="G184" s="5">
        <v>871</v>
      </c>
      <c r="H184" s="5">
        <v>347</v>
      </c>
      <c r="I184" s="5">
        <v>52650</v>
      </c>
      <c r="J184" s="5">
        <v>51755</v>
      </c>
      <c r="K184" s="5">
        <v>209</v>
      </c>
      <c r="L184" s="5" t="s">
        <v>43</v>
      </c>
      <c r="M184" s="5" t="s">
        <v>11</v>
      </c>
      <c r="N184" s="13">
        <f>(Posts1116[[#This Row],[Likes]]+Posts1116[[#This Row],[Shares]]+Posts1116[[#This Row],[Comments]])/Posts1116[[#This Row],[Impressions]]</f>
        <v>0.10005698005698006</v>
      </c>
      <c r="O184" t="str">
        <f>_xlfn.XLOOKUP(Posts1116[[#This Row],[Campaign_Name]],Campaign_Metadata[Campaign_Name],Campaign_Metadata[Objective])</f>
        <v>Customer Engagement</v>
      </c>
      <c r="P184" t="str">
        <f>IF(AND(Posts1116[[#This Row],[Date]]&gt;=DATE(2024,6,15), Posts1116[[#This Row],[Date]]&lt;=DATE(2024,7,15)),"During", "Before")</f>
        <v>Before</v>
      </c>
    </row>
    <row r="185" spans="1:16">
      <c r="A185" s="9" t="s">
        <v>40</v>
      </c>
      <c r="B185" s="5" t="s">
        <v>35</v>
      </c>
      <c r="C185" s="10">
        <v>45750</v>
      </c>
      <c r="D185" s="5" t="s">
        <v>41</v>
      </c>
      <c r="E185" s="5" t="s">
        <v>42</v>
      </c>
      <c r="F185" s="5">
        <v>4054</v>
      </c>
      <c r="G185" s="5">
        <v>389</v>
      </c>
      <c r="H185" s="5">
        <v>493</v>
      </c>
      <c r="I185" s="5">
        <v>64864</v>
      </c>
      <c r="J185" s="5">
        <v>64383</v>
      </c>
      <c r="K185" s="5">
        <v>117</v>
      </c>
      <c r="L185" s="5" t="s">
        <v>43</v>
      </c>
      <c r="M185" s="5" t="s">
        <v>11</v>
      </c>
      <c r="N185" s="13">
        <f>(Posts1116[[#This Row],[Likes]]+Posts1116[[#This Row],[Shares]]+Posts1116[[#This Row],[Comments]])/Posts1116[[#This Row],[Impressions]]</f>
        <v>7.6097681302417369E-2</v>
      </c>
      <c r="O185" t="str">
        <f>_xlfn.XLOOKUP(Posts1116[[#This Row],[Campaign_Name]],Campaign_Metadata[Campaign_Name],Campaign_Metadata[Objective])</f>
        <v>Customer Engagement</v>
      </c>
      <c r="P185" t="str">
        <f>IF(AND(Posts1116[[#This Row],[Date]]&gt;=DATE(2024,6,15), Posts1116[[#This Row],[Date]]&lt;=DATE(2024,7,15)),"During", "Before")</f>
        <v>Before</v>
      </c>
    </row>
    <row r="186" spans="1:16">
      <c r="A186" s="11" t="s">
        <v>40</v>
      </c>
      <c r="B186" s="6" t="s">
        <v>35</v>
      </c>
      <c r="C186" s="12">
        <v>45750</v>
      </c>
      <c r="D186" s="6" t="s">
        <v>41</v>
      </c>
      <c r="E186" s="6" t="s">
        <v>42</v>
      </c>
      <c r="F186" s="6">
        <v>4054</v>
      </c>
      <c r="G186" s="6">
        <v>389</v>
      </c>
      <c r="H186" s="6">
        <v>493</v>
      </c>
      <c r="I186" s="6">
        <v>64864</v>
      </c>
      <c r="J186" s="6">
        <v>64383</v>
      </c>
      <c r="K186" s="6">
        <v>117</v>
      </c>
      <c r="L186" s="6" t="s">
        <v>44</v>
      </c>
      <c r="M186" s="6" t="s">
        <v>11</v>
      </c>
      <c r="N186" s="14">
        <f>(Posts1116[[#This Row],[Likes]]+Posts1116[[#This Row],[Shares]]+Posts1116[[#This Row],[Comments]])/Posts1116[[#This Row],[Impressions]]</f>
        <v>7.6097681302417369E-2</v>
      </c>
      <c r="O186" t="str">
        <f>_xlfn.XLOOKUP(Posts1116[[#This Row],[Campaign_Name]],Campaign_Metadata[Campaign_Name],Campaign_Metadata[Objective])</f>
        <v>Customer Engagement</v>
      </c>
      <c r="P186" t="str">
        <f>IF(AND(Posts1116[[#This Row],[Date]]&gt;=DATE(2024,6,15), Posts1116[[#This Row],[Date]]&lt;=DATE(2024,7,15)),"During", "Before")</f>
        <v>Before</v>
      </c>
    </row>
    <row r="187" spans="1:16">
      <c r="A187" s="11" t="s">
        <v>90</v>
      </c>
      <c r="B187" s="6" t="s">
        <v>46</v>
      </c>
      <c r="C187" s="12">
        <v>45752</v>
      </c>
      <c r="D187" s="6" t="s">
        <v>36</v>
      </c>
      <c r="E187" s="6" t="s">
        <v>47</v>
      </c>
      <c r="F187" s="6">
        <v>3009</v>
      </c>
      <c r="G187" s="6">
        <v>413</v>
      </c>
      <c r="H187" s="6">
        <v>358</v>
      </c>
      <c r="I187" s="6">
        <v>42126</v>
      </c>
      <c r="J187" s="6">
        <v>41309</v>
      </c>
      <c r="K187" s="6">
        <v>211</v>
      </c>
      <c r="L187" s="6" t="s">
        <v>38</v>
      </c>
      <c r="M187" s="6" t="s">
        <v>11</v>
      </c>
      <c r="N187" s="14">
        <f>(Posts1116[[#This Row],[Likes]]+Posts1116[[#This Row],[Shares]]+Posts1116[[#This Row],[Comments]])/Posts1116[[#This Row],[Impressions]]</f>
        <v>8.9730807577268201E-2</v>
      </c>
      <c r="O187" t="str">
        <f>_xlfn.XLOOKUP(Posts1116[[#This Row],[Campaign_Name]],Campaign_Metadata[Campaign_Name],Campaign_Metadata[Objective])</f>
        <v>Customer Engagement</v>
      </c>
      <c r="P187" t="str">
        <f>IF(AND(Posts1116[[#This Row],[Date]]&gt;=DATE(2024,6,15), Posts1116[[#This Row],[Date]]&lt;=DATE(2024,7,15)),"During", "Before")</f>
        <v>Before</v>
      </c>
    </row>
    <row r="188" spans="1:16">
      <c r="A188" s="11" t="s">
        <v>329</v>
      </c>
      <c r="B188" s="6" t="s">
        <v>55</v>
      </c>
      <c r="C188" s="12">
        <v>45753</v>
      </c>
      <c r="D188" s="6" t="s">
        <v>61</v>
      </c>
      <c r="E188" s="6" t="s">
        <v>66</v>
      </c>
      <c r="F188" s="6">
        <v>3090</v>
      </c>
      <c r="G188" s="6">
        <v>697</v>
      </c>
      <c r="H188" s="6">
        <v>164</v>
      </c>
      <c r="I188" s="6">
        <v>49440</v>
      </c>
      <c r="J188" s="6">
        <v>48524</v>
      </c>
      <c r="K188" s="6">
        <v>25</v>
      </c>
      <c r="L188" s="6" t="s">
        <v>52</v>
      </c>
      <c r="M188" s="6" t="s">
        <v>11</v>
      </c>
      <c r="N188" s="14">
        <f>(Posts1116[[#This Row],[Likes]]+Posts1116[[#This Row],[Shares]]+Posts1116[[#This Row],[Comments]])/Posts1116[[#This Row],[Impressions]]</f>
        <v>7.9915048543689318E-2</v>
      </c>
      <c r="O188" t="str">
        <f>_xlfn.XLOOKUP(Posts1116[[#This Row],[Campaign_Name]],Campaign_Metadata[Campaign_Name],Campaign_Metadata[Objective])</f>
        <v>Customer Engagement</v>
      </c>
      <c r="P188" t="str">
        <f>IF(AND(Posts1116[[#This Row],[Date]]&gt;=DATE(2024,6,15), Posts1116[[#This Row],[Date]]&lt;=DATE(2024,7,15)),"During", "Before")</f>
        <v>Before</v>
      </c>
    </row>
    <row r="189" spans="1:16">
      <c r="A189" s="9" t="s">
        <v>329</v>
      </c>
      <c r="B189" s="5" t="s">
        <v>55</v>
      </c>
      <c r="C189" s="10">
        <v>45753</v>
      </c>
      <c r="D189" s="5" t="s">
        <v>61</v>
      </c>
      <c r="E189" s="5" t="s">
        <v>66</v>
      </c>
      <c r="F189" s="5">
        <v>3090</v>
      </c>
      <c r="G189" s="5">
        <v>697</v>
      </c>
      <c r="H189" s="5">
        <v>164</v>
      </c>
      <c r="I189" s="5">
        <v>49440</v>
      </c>
      <c r="J189" s="5">
        <v>48524</v>
      </c>
      <c r="K189" s="5">
        <v>25</v>
      </c>
      <c r="L189" s="5" t="s">
        <v>52</v>
      </c>
      <c r="M189" s="5" t="s">
        <v>11</v>
      </c>
      <c r="N189" s="13">
        <f>(Posts1116[[#This Row],[Likes]]+Posts1116[[#This Row],[Shares]]+Posts1116[[#This Row],[Comments]])/Posts1116[[#This Row],[Impressions]]</f>
        <v>7.9915048543689318E-2</v>
      </c>
      <c r="O189" t="str">
        <f>_xlfn.XLOOKUP(Posts1116[[#This Row],[Campaign_Name]],Campaign_Metadata[Campaign_Name],Campaign_Metadata[Objective])</f>
        <v>Customer Engagement</v>
      </c>
      <c r="P189" t="str">
        <f>IF(AND(Posts1116[[#This Row],[Date]]&gt;=DATE(2024,6,15), Posts1116[[#This Row],[Date]]&lt;=DATE(2024,7,15)),"During", "Before")</f>
        <v>Before</v>
      </c>
    </row>
    <row r="190" spans="1:16">
      <c r="A190" s="11" t="s">
        <v>329</v>
      </c>
      <c r="B190" s="6" t="s">
        <v>55</v>
      </c>
      <c r="C190" s="12">
        <v>45753</v>
      </c>
      <c r="D190" s="6" t="s">
        <v>61</v>
      </c>
      <c r="E190" s="6" t="s">
        <v>66</v>
      </c>
      <c r="F190" s="6">
        <v>3090</v>
      </c>
      <c r="G190" s="6">
        <v>697</v>
      </c>
      <c r="H190" s="6">
        <v>164</v>
      </c>
      <c r="I190" s="6">
        <v>49440</v>
      </c>
      <c r="J190" s="6">
        <v>48524</v>
      </c>
      <c r="K190" s="6">
        <v>25</v>
      </c>
      <c r="L190" s="6" t="s">
        <v>44</v>
      </c>
      <c r="M190" s="6" t="s">
        <v>11</v>
      </c>
      <c r="N190" s="14">
        <f>(Posts1116[[#This Row],[Likes]]+Posts1116[[#This Row],[Shares]]+Posts1116[[#This Row],[Comments]])/Posts1116[[#This Row],[Impressions]]</f>
        <v>7.9915048543689318E-2</v>
      </c>
      <c r="O190" t="str">
        <f>_xlfn.XLOOKUP(Posts1116[[#This Row],[Campaign_Name]],Campaign_Metadata[Campaign_Name],Campaign_Metadata[Objective])</f>
        <v>Customer Engagement</v>
      </c>
      <c r="P190" t="str">
        <f>IF(AND(Posts1116[[#This Row],[Date]]&gt;=DATE(2024,6,15), Posts1116[[#This Row],[Date]]&lt;=DATE(2024,7,15)),"During", "Before")</f>
        <v>Before</v>
      </c>
    </row>
    <row r="191" spans="1:16">
      <c r="A191" s="9" t="s">
        <v>272</v>
      </c>
      <c r="B191" s="5" t="s">
        <v>55</v>
      </c>
      <c r="C191" s="10">
        <v>45754</v>
      </c>
      <c r="D191" s="5" t="s">
        <v>36</v>
      </c>
      <c r="E191" s="5" t="s">
        <v>69</v>
      </c>
      <c r="F191" s="5">
        <v>3718</v>
      </c>
      <c r="G191" s="5">
        <v>385</v>
      </c>
      <c r="H191" s="5">
        <v>310</v>
      </c>
      <c r="I191" s="5">
        <v>70642</v>
      </c>
      <c r="J191" s="5">
        <v>69749</v>
      </c>
      <c r="K191" s="5">
        <v>233</v>
      </c>
      <c r="L191" s="5" t="s">
        <v>43</v>
      </c>
      <c r="M191" s="5" t="s">
        <v>11</v>
      </c>
      <c r="N191" s="13">
        <f>(Posts1116[[#This Row],[Likes]]+Posts1116[[#This Row],[Shares]]+Posts1116[[#This Row],[Comments]])/Posts1116[[#This Row],[Impressions]]</f>
        <v>6.246991874522239E-2</v>
      </c>
      <c r="O191" t="str">
        <f>_xlfn.XLOOKUP(Posts1116[[#This Row],[Campaign_Name]],Campaign_Metadata[Campaign_Name],Campaign_Metadata[Objective])</f>
        <v>Customer Engagement</v>
      </c>
      <c r="P191" t="str">
        <f>IF(AND(Posts1116[[#This Row],[Date]]&gt;=DATE(2024,6,15), Posts1116[[#This Row],[Date]]&lt;=DATE(2024,7,15)),"During", "Before")</f>
        <v>Before</v>
      </c>
    </row>
    <row r="192" spans="1:16">
      <c r="A192" s="9" t="s">
        <v>235</v>
      </c>
      <c r="B192" s="5" t="s">
        <v>49</v>
      </c>
      <c r="C192" s="10">
        <v>45755</v>
      </c>
      <c r="D192" s="5" t="s">
        <v>61</v>
      </c>
      <c r="E192" s="5" t="s">
        <v>153</v>
      </c>
      <c r="F192" s="5">
        <v>4501</v>
      </c>
      <c r="G192" s="5">
        <v>375</v>
      </c>
      <c r="H192" s="5">
        <v>323</v>
      </c>
      <c r="I192" s="5">
        <v>22505</v>
      </c>
      <c r="J192" s="5">
        <v>21836</v>
      </c>
      <c r="K192" s="5">
        <v>132</v>
      </c>
      <c r="L192" s="5" t="s">
        <v>43</v>
      </c>
      <c r="M192" s="5" t="s">
        <v>11</v>
      </c>
      <c r="N192" s="13">
        <f>(Posts1116[[#This Row],[Likes]]+Posts1116[[#This Row],[Shares]]+Posts1116[[#This Row],[Comments]])/Posts1116[[#This Row],[Impressions]]</f>
        <v>0.23101532992668297</v>
      </c>
      <c r="O192" t="str">
        <f>_xlfn.XLOOKUP(Posts1116[[#This Row],[Campaign_Name]],Campaign_Metadata[Campaign_Name],Campaign_Metadata[Objective])</f>
        <v>Customer Engagement</v>
      </c>
      <c r="P192" t="str">
        <f>IF(AND(Posts1116[[#This Row],[Date]]&gt;=DATE(2024,6,15), Posts1116[[#This Row],[Date]]&lt;=DATE(2024,7,15)),"During", "Before")</f>
        <v>Before</v>
      </c>
    </row>
    <row r="193" spans="1:16">
      <c r="A193" s="11" t="s">
        <v>102</v>
      </c>
      <c r="B193" s="6" t="s">
        <v>49</v>
      </c>
      <c r="C193" s="12">
        <v>45766</v>
      </c>
      <c r="D193" s="6" t="s">
        <v>50</v>
      </c>
      <c r="E193" s="6" t="s">
        <v>51</v>
      </c>
      <c r="F193" s="6">
        <v>4518</v>
      </c>
      <c r="G193" s="6">
        <v>285</v>
      </c>
      <c r="H193" s="6">
        <v>383</v>
      </c>
      <c r="I193" s="6">
        <v>67770</v>
      </c>
      <c r="J193" s="6">
        <v>67621</v>
      </c>
      <c r="K193" s="6">
        <v>31</v>
      </c>
      <c r="L193" s="6" t="s">
        <v>52</v>
      </c>
      <c r="M193" s="6" t="s">
        <v>11</v>
      </c>
      <c r="N193" s="14">
        <f>(Posts1116[[#This Row],[Likes]]+Posts1116[[#This Row],[Shares]]+Posts1116[[#This Row],[Comments]])/Posts1116[[#This Row],[Impressions]]</f>
        <v>7.6523535487678915E-2</v>
      </c>
      <c r="O193" t="str">
        <f>_xlfn.XLOOKUP(Posts1116[[#This Row],[Campaign_Name]],Campaign_Metadata[Campaign_Name],Campaign_Metadata[Objective])</f>
        <v>Customer Engagement</v>
      </c>
      <c r="P193" t="str">
        <f>IF(AND(Posts1116[[#This Row],[Date]]&gt;=DATE(2024,6,15), Posts1116[[#This Row],[Date]]&lt;=DATE(2024,7,15)),"During", "Before")</f>
        <v>Before</v>
      </c>
    </row>
    <row r="194" spans="1:16">
      <c r="A194" s="9" t="s">
        <v>287</v>
      </c>
      <c r="B194" s="5" t="s">
        <v>55</v>
      </c>
      <c r="C194" s="10">
        <v>45783</v>
      </c>
      <c r="D194" s="5" t="s">
        <v>61</v>
      </c>
      <c r="E194" s="5" t="s">
        <v>66</v>
      </c>
      <c r="F194" s="5">
        <v>4872</v>
      </c>
      <c r="G194" s="5">
        <v>925</v>
      </c>
      <c r="H194" s="5">
        <v>176</v>
      </c>
      <c r="I194" s="5">
        <v>82824</v>
      </c>
      <c r="J194" s="5">
        <v>82543</v>
      </c>
      <c r="K194" s="5">
        <v>89</v>
      </c>
      <c r="L194" s="5" t="s">
        <v>52</v>
      </c>
      <c r="M194" s="5" t="s">
        <v>11</v>
      </c>
      <c r="N194" s="13">
        <f>(Posts1116[[#This Row],[Likes]]+Posts1116[[#This Row],[Shares]]+Posts1116[[#This Row],[Comments]])/Posts1116[[#This Row],[Impressions]]</f>
        <v>7.2116777745580993E-2</v>
      </c>
      <c r="O194" t="str">
        <f>_xlfn.XLOOKUP(Posts1116[[#This Row],[Campaign_Name]],Campaign_Metadata[Campaign_Name],Campaign_Metadata[Objective])</f>
        <v>Customer Engagement</v>
      </c>
      <c r="P194" t="str">
        <f>IF(AND(Posts1116[[#This Row],[Date]]&gt;=DATE(2024,6,15), Posts1116[[#This Row],[Date]]&lt;=DATE(2024,7,15)),"During", "Before")</f>
        <v>Before</v>
      </c>
    </row>
    <row r="195" spans="1:16">
      <c r="A195" s="9" t="s">
        <v>367</v>
      </c>
      <c r="B195" s="5" t="s">
        <v>35</v>
      </c>
      <c r="C195" s="10">
        <v>45783</v>
      </c>
      <c r="D195" s="5" t="s">
        <v>61</v>
      </c>
      <c r="E195" s="5" t="s">
        <v>107</v>
      </c>
      <c r="F195" s="5">
        <v>1952</v>
      </c>
      <c r="G195" s="5">
        <v>344</v>
      </c>
      <c r="H195" s="5">
        <v>287</v>
      </c>
      <c r="I195" s="5">
        <v>15616</v>
      </c>
      <c r="J195" s="5">
        <v>15403</v>
      </c>
      <c r="K195" s="5">
        <v>235</v>
      </c>
      <c r="L195" s="5" t="s">
        <v>38</v>
      </c>
      <c r="M195" s="5" t="s">
        <v>11</v>
      </c>
      <c r="N195" s="13">
        <f>(Posts1116[[#This Row],[Likes]]+Posts1116[[#This Row],[Shares]]+Posts1116[[#This Row],[Comments]])/Posts1116[[#This Row],[Impressions]]</f>
        <v>0.16540727459016394</v>
      </c>
      <c r="O195" t="str">
        <f>_xlfn.XLOOKUP(Posts1116[[#This Row],[Campaign_Name]],Campaign_Metadata[Campaign_Name],Campaign_Metadata[Objective])</f>
        <v>Customer Engagement</v>
      </c>
      <c r="P195" t="str">
        <f>IF(AND(Posts1116[[#This Row],[Date]]&gt;=DATE(2024,6,15), Posts1116[[#This Row],[Date]]&lt;=DATE(2024,7,15)),"During", "Before")</f>
        <v>Before</v>
      </c>
    </row>
    <row r="196" spans="1:16">
      <c r="A196" s="11" t="s">
        <v>367</v>
      </c>
      <c r="B196" s="6" t="s">
        <v>35</v>
      </c>
      <c r="C196" s="12">
        <v>45783</v>
      </c>
      <c r="D196" s="6" t="s">
        <v>61</v>
      </c>
      <c r="E196" s="6" t="s">
        <v>107</v>
      </c>
      <c r="F196" s="6">
        <v>1952</v>
      </c>
      <c r="G196" s="6">
        <v>344</v>
      </c>
      <c r="H196" s="6">
        <v>287</v>
      </c>
      <c r="I196" s="6">
        <v>15616</v>
      </c>
      <c r="J196" s="6">
        <v>15403</v>
      </c>
      <c r="K196" s="6">
        <v>235</v>
      </c>
      <c r="L196" s="6" t="s">
        <v>43</v>
      </c>
      <c r="M196" s="6" t="s">
        <v>11</v>
      </c>
      <c r="N196" s="14">
        <f>(Posts1116[[#This Row],[Likes]]+Posts1116[[#This Row],[Shares]]+Posts1116[[#This Row],[Comments]])/Posts1116[[#This Row],[Impressions]]</f>
        <v>0.16540727459016394</v>
      </c>
      <c r="O196" t="str">
        <f>_xlfn.XLOOKUP(Posts1116[[#This Row],[Campaign_Name]],Campaign_Metadata[Campaign_Name],Campaign_Metadata[Objective])</f>
        <v>Customer Engagement</v>
      </c>
      <c r="P196" t="str">
        <f>IF(AND(Posts1116[[#This Row],[Date]]&gt;=DATE(2024,6,15), Posts1116[[#This Row],[Date]]&lt;=DATE(2024,7,15)),"During", "Before")</f>
        <v>Before</v>
      </c>
    </row>
    <row r="197" spans="1:16">
      <c r="A197" s="9" t="s">
        <v>367</v>
      </c>
      <c r="B197" s="5" t="s">
        <v>35</v>
      </c>
      <c r="C197" s="10">
        <v>45783</v>
      </c>
      <c r="D197" s="5" t="s">
        <v>61</v>
      </c>
      <c r="E197" s="5" t="s">
        <v>107</v>
      </c>
      <c r="F197" s="5">
        <v>1952</v>
      </c>
      <c r="G197" s="5">
        <v>344</v>
      </c>
      <c r="H197" s="5">
        <v>287</v>
      </c>
      <c r="I197" s="5">
        <v>15616</v>
      </c>
      <c r="J197" s="5">
        <v>15403</v>
      </c>
      <c r="K197" s="5">
        <v>235</v>
      </c>
      <c r="L197" s="5" t="s">
        <v>39</v>
      </c>
      <c r="M197" s="5" t="s">
        <v>11</v>
      </c>
      <c r="N197" s="13">
        <f>(Posts1116[[#This Row],[Likes]]+Posts1116[[#This Row],[Shares]]+Posts1116[[#This Row],[Comments]])/Posts1116[[#This Row],[Impressions]]</f>
        <v>0.16540727459016394</v>
      </c>
      <c r="O197" t="str">
        <f>_xlfn.XLOOKUP(Posts1116[[#This Row],[Campaign_Name]],Campaign_Metadata[Campaign_Name],Campaign_Metadata[Objective])</f>
        <v>Customer Engagement</v>
      </c>
      <c r="P197" t="str">
        <f>IF(AND(Posts1116[[#This Row],[Date]]&gt;=DATE(2024,6,15), Posts1116[[#This Row],[Date]]&lt;=DATE(2024,7,15)),"During", "Before")</f>
        <v>Before</v>
      </c>
    </row>
    <row r="198" spans="1:16">
      <c r="A198" s="11" t="s">
        <v>355</v>
      </c>
      <c r="B198" s="6" t="s">
        <v>35</v>
      </c>
      <c r="C198" s="12">
        <v>45786</v>
      </c>
      <c r="D198" s="6" t="s">
        <v>36</v>
      </c>
      <c r="E198" s="6" t="s">
        <v>37</v>
      </c>
      <c r="F198" s="6">
        <v>3367</v>
      </c>
      <c r="G198" s="6">
        <v>302</v>
      </c>
      <c r="H198" s="6">
        <v>57</v>
      </c>
      <c r="I198" s="6">
        <v>63973</v>
      </c>
      <c r="J198" s="6">
        <v>63789</v>
      </c>
      <c r="K198" s="6">
        <v>157</v>
      </c>
      <c r="L198" s="6" t="s">
        <v>38</v>
      </c>
      <c r="M198" s="6" t="s">
        <v>11</v>
      </c>
      <c r="N198" s="14">
        <f>(Posts1116[[#This Row],[Likes]]+Posts1116[[#This Row],[Shares]]+Posts1116[[#This Row],[Comments]])/Posts1116[[#This Row],[Impressions]]</f>
        <v>5.8243321401216137E-2</v>
      </c>
      <c r="O198" t="str">
        <f>_xlfn.XLOOKUP(Posts1116[[#This Row],[Campaign_Name]],Campaign_Metadata[Campaign_Name],Campaign_Metadata[Objective])</f>
        <v>Customer Engagement</v>
      </c>
      <c r="P198" t="str">
        <f>IF(AND(Posts1116[[#This Row],[Date]]&gt;=DATE(2024,6,15), Posts1116[[#This Row],[Date]]&lt;=DATE(2024,7,15)),"During", "Before")</f>
        <v>Before</v>
      </c>
    </row>
    <row r="199" spans="1:16">
      <c r="A199" s="11" t="s">
        <v>162</v>
      </c>
      <c r="B199" s="6" t="s">
        <v>49</v>
      </c>
      <c r="C199" s="12">
        <v>45446</v>
      </c>
      <c r="D199" s="6" t="s">
        <v>61</v>
      </c>
      <c r="E199" s="6" t="s">
        <v>153</v>
      </c>
      <c r="F199" s="6">
        <v>3861</v>
      </c>
      <c r="G199" s="6">
        <v>960</v>
      </c>
      <c r="H199" s="6">
        <v>101</v>
      </c>
      <c r="I199" s="6">
        <v>69498</v>
      </c>
      <c r="J199" s="6">
        <v>68817</v>
      </c>
      <c r="K199" s="6">
        <v>297</v>
      </c>
      <c r="L199" s="6" t="s">
        <v>43</v>
      </c>
      <c r="M199" s="6" t="s">
        <v>19</v>
      </c>
      <c r="N199" s="14">
        <f>(Posts1116[[#This Row],[Likes]]+Posts1116[[#This Row],[Shares]]+Posts1116[[#This Row],[Comments]])/Posts1116[[#This Row],[Impressions]]</f>
        <v>7.0822181933293038E-2</v>
      </c>
      <c r="O199" t="str">
        <f>_xlfn.XLOOKUP(Posts1116[[#This Row],[Campaign_Name]],Campaign_Metadata[Campaign_Name],Campaign_Metadata[Objective])</f>
        <v>Community Growth</v>
      </c>
      <c r="P199" t="str">
        <f>IF(AND(Posts1116[[#This Row],[Date]]&gt;=DATE(2024,6,15), Posts1116[[#This Row],[Date]]&lt;=DATE(2024,7,15)),"During", "Before")</f>
        <v>Before</v>
      </c>
    </row>
    <row r="200" spans="1:16">
      <c r="A200" s="9" t="s">
        <v>118</v>
      </c>
      <c r="B200" s="5" t="s">
        <v>35</v>
      </c>
      <c r="C200" s="10">
        <v>45453</v>
      </c>
      <c r="D200" s="5" t="s">
        <v>50</v>
      </c>
      <c r="E200" s="5" t="s">
        <v>117</v>
      </c>
      <c r="F200" s="5">
        <v>2164</v>
      </c>
      <c r="G200" s="5">
        <v>549</v>
      </c>
      <c r="H200" s="5">
        <v>274</v>
      </c>
      <c r="I200" s="5">
        <v>28132</v>
      </c>
      <c r="J200" s="5">
        <v>27361</v>
      </c>
      <c r="K200" s="5">
        <v>177</v>
      </c>
      <c r="L200" s="5" t="s">
        <v>43</v>
      </c>
      <c r="M200" s="5" t="s">
        <v>19</v>
      </c>
      <c r="N200" s="13">
        <f>(Posts1116[[#This Row],[Likes]]+Posts1116[[#This Row],[Shares]]+Posts1116[[#This Row],[Comments]])/Posts1116[[#This Row],[Impressions]]</f>
        <v>0.10617801791554102</v>
      </c>
      <c r="O200" t="str">
        <f>_xlfn.XLOOKUP(Posts1116[[#This Row],[Campaign_Name]],Campaign_Metadata[Campaign_Name],Campaign_Metadata[Objective])</f>
        <v>Community Growth</v>
      </c>
      <c r="P200" t="str">
        <f>IF(AND(Posts1116[[#This Row],[Date]]&gt;=DATE(2024,6,15), Posts1116[[#This Row],[Date]]&lt;=DATE(2024,7,15)),"During", "Before")</f>
        <v>Before</v>
      </c>
    </row>
    <row r="201" spans="1:16">
      <c r="A201" s="9" t="s">
        <v>170</v>
      </c>
      <c r="B201" s="5" t="s">
        <v>35</v>
      </c>
      <c r="C201" s="10">
        <v>45453</v>
      </c>
      <c r="D201" s="5" t="s">
        <v>50</v>
      </c>
      <c r="E201" s="5" t="s">
        <v>117</v>
      </c>
      <c r="F201" s="5">
        <v>1575</v>
      </c>
      <c r="G201" s="5">
        <v>771</v>
      </c>
      <c r="H201" s="5">
        <v>486</v>
      </c>
      <c r="I201" s="5">
        <v>25200</v>
      </c>
      <c r="J201" s="5">
        <v>24826</v>
      </c>
      <c r="K201" s="5">
        <v>17</v>
      </c>
      <c r="L201" s="5" t="s">
        <v>38</v>
      </c>
      <c r="M201" s="5" t="s">
        <v>19</v>
      </c>
      <c r="N201" s="13">
        <f>(Posts1116[[#This Row],[Likes]]+Posts1116[[#This Row],[Shares]]+Posts1116[[#This Row],[Comments]])/Posts1116[[#This Row],[Impressions]]</f>
        <v>0.11238095238095239</v>
      </c>
      <c r="O201" t="str">
        <f>_xlfn.XLOOKUP(Posts1116[[#This Row],[Campaign_Name]],Campaign_Metadata[Campaign_Name],Campaign_Metadata[Objective])</f>
        <v>Community Growth</v>
      </c>
      <c r="P201" t="str">
        <f>IF(AND(Posts1116[[#This Row],[Date]]&gt;=DATE(2024,6,15), Posts1116[[#This Row],[Date]]&lt;=DATE(2024,7,15)),"During", "Before")</f>
        <v>Before</v>
      </c>
    </row>
    <row r="202" spans="1:16">
      <c r="A202" s="11" t="s">
        <v>290</v>
      </c>
      <c r="B202" s="6" t="s">
        <v>55</v>
      </c>
      <c r="C202" s="12">
        <v>45454</v>
      </c>
      <c r="D202" s="6" t="s">
        <v>56</v>
      </c>
      <c r="E202" s="6" t="s">
        <v>57</v>
      </c>
      <c r="F202" s="6">
        <v>1869</v>
      </c>
      <c r="G202" s="6">
        <v>453</v>
      </c>
      <c r="H202" s="6">
        <v>490</v>
      </c>
      <c r="I202" s="6">
        <v>14952</v>
      </c>
      <c r="J202" s="6">
        <v>14309</v>
      </c>
      <c r="K202" s="6">
        <v>275</v>
      </c>
      <c r="L202" s="6" t="s">
        <v>43</v>
      </c>
      <c r="M202" s="6" t="s">
        <v>19</v>
      </c>
      <c r="N202" s="14">
        <f>(Posts1116[[#This Row],[Likes]]+Posts1116[[#This Row],[Shares]]+Posts1116[[#This Row],[Comments]])/Posts1116[[#This Row],[Impressions]]</f>
        <v>0.18806848582129482</v>
      </c>
      <c r="O202" t="str">
        <f>_xlfn.XLOOKUP(Posts1116[[#This Row],[Campaign_Name]],Campaign_Metadata[Campaign_Name],Campaign_Metadata[Objective])</f>
        <v>Community Growth</v>
      </c>
      <c r="P202" t="str">
        <f>IF(AND(Posts1116[[#This Row],[Date]]&gt;=DATE(2024,6,15), Posts1116[[#This Row],[Date]]&lt;=DATE(2024,7,15)),"During", "Before")</f>
        <v>Before</v>
      </c>
    </row>
    <row r="203" spans="1:16">
      <c r="A203" s="11" t="s">
        <v>125</v>
      </c>
      <c r="B203" s="6" t="s">
        <v>55</v>
      </c>
      <c r="C203" s="12">
        <v>45460</v>
      </c>
      <c r="D203" s="6" t="s">
        <v>61</v>
      </c>
      <c r="E203" s="6" t="s">
        <v>66</v>
      </c>
      <c r="F203" s="6">
        <v>1226</v>
      </c>
      <c r="G203" s="6">
        <v>119</v>
      </c>
      <c r="H203" s="6">
        <v>7</v>
      </c>
      <c r="I203" s="6">
        <v>14712</v>
      </c>
      <c r="J203" s="6">
        <v>14049</v>
      </c>
      <c r="K203" s="6">
        <v>123</v>
      </c>
      <c r="L203" s="6" t="s">
        <v>52</v>
      </c>
      <c r="M203" s="6" t="s">
        <v>19</v>
      </c>
      <c r="N203" s="14">
        <f>(Posts1116[[#This Row],[Likes]]+Posts1116[[#This Row],[Shares]]+Posts1116[[#This Row],[Comments]])/Posts1116[[#This Row],[Impressions]]</f>
        <v>9.1897770527460579E-2</v>
      </c>
      <c r="O203" t="str">
        <f>_xlfn.XLOOKUP(Posts1116[[#This Row],[Campaign_Name]],Campaign_Metadata[Campaign_Name],Campaign_Metadata[Objective])</f>
        <v>Community Growth</v>
      </c>
      <c r="P203" t="str">
        <f>IF(AND(Posts1116[[#This Row],[Date]]&gt;=DATE(2024,6,15), Posts1116[[#This Row],[Date]]&lt;=DATE(2024,7,15)),"During", "Before")</f>
        <v>During</v>
      </c>
    </row>
    <row r="204" spans="1:16">
      <c r="A204" s="9" t="s">
        <v>148</v>
      </c>
      <c r="B204" s="5" t="s">
        <v>35</v>
      </c>
      <c r="C204" s="10">
        <v>45460</v>
      </c>
      <c r="D204" s="5" t="s">
        <v>61</v>
      </c>
      <c r="E204" s="5" t="s">
        <v>107</v>
      </c>
      <c r="F204" s="5">
        <v>954</v>
      </c>
      <c r="G204" s="5">
        <v>324</v>
      </c>
      <c r="H204" s="5">
        <v>288</v>
      </c>
      <c r="I204" s="5">
        <v>19080</v>
      </c>
      <c r="J204" s="5">
        <v>18859</v>
      </c>
      <c r="K204" s="5">
        <v>21</v>
      </c>
      <c r="L204" s="5" t="s">
        <v>38</v>
      </c>
      <c r="M204" s="5" t="s">
        <v>19</v>
      </c>
      <c r="N204" s="13">
        <f>(Posts1116[[#This Row],[Likes]]+Posts1116[[#This Row],[Shares]]+Posts1116[[#This Row],[Comments]])/Posts1116[[#This Row],[Impressions]]</f>
        <v>8.2075471698113203E-2</v>
      </c>
      <c r="O204" t="str">
        <f>_xlfn.XLOOKUP(Posts1116[[#This Row],[Campaign_Name]],Campaign_Metadata[Campaign_Name],Campaign_Metadata[Objective])</f>
        <v>Community Growth</v>
      </c>
      <c r="P204" t="str">
        <f>IF(AND(Posts1116[[#This Row],[Date]]&gt;=DATE(2024,6,15), Posts1116[[#This Row],[Date]]&lt;=DATE(2024,7,15)),"During", "Before")</f>
        <v>During</v>
      </c>
    </row>
    <row r="205" spans="1:16">
      <c r="A205" s="11" t="s">
        <v>81</v>
      </c>
      <c r="B205" s="6" t="s">
        <v>49</v>
      </c>
      <c r="C205" s="12">
        <v>45466</v>
      </c>
      <c r="D205" s="6" t="s">
        <v>75</v>
      </c>
      <c r="E205" s="6" t="s">
        <v>82</v>
      </c>
      <c r="F205" s="6">
        <v>1071</v>
      </c>
      <c r="G205" s="6">
        <v>519</v>
      </c>
      <c r="H205" s="6">
        <v>22</v>
      </c>
      <c r="I205" s="6">
        <v>16065</v>
      </c>
      <c r="J205" s="6">
        <v>15865</v>
      </c>
      <c r="K205" s="6">
        <v>103</v>
      </c>
      <c r="L205" s="6" t="s">
        <v>43</v>
      </c>
      <c r="M205" s="6" t="s">
        <v>19</v>
      </c>
      <c r="N205" s="14">
        <f>(Posts1116[[#This Row],[Likes]]+Posts1116[[#This Row],[Shares]]+Posts1116[[#This Row],[Comments]])/Posts1116[[#This Row],[Impressions]]</f>
        <v>0.10034235916588857</v>
      </c>
      <c r="O205" t="str">
        <f>_xlfn.XLOOKUP(Posts1116[[#This Row],[Campaign_Name]],Campaign_Metadata[Campaign_Name],Campaign_Metadata[Objective])</f>
        <v>Community Growth</v>
      </c>
      <c r="P205" t="str">
        <f>IF(AND(Posts1116[[#This Row],[Date]]&gt;=DATE(2024,6,15), Posts1116[[#This Row],[Date]]&lt;=DATE(2024,7,15)),"During", "Before")</f>
        <v>During</v>
      </c>
    </row>
    <row r="206" spans="1:16">
      <c r="A206" s="11" t="s">
        <v>160</v>
      </c>
      <c r="B206" s="6" t="s">
        <v>55</v>
      </c>
      <c r="C206" s="12">
        <v>45480</v>
      </c>
      <c r="D206" s="6" t="s">
        <v>50</v>
      </c>
      <c r="E206" s="6" t="s">
        <v>73</v>
      </c>
      <c r="F206" s="6">
        <v>302</v>
      </c>
      <c r="G206" s="6">
        <v>47</v>
      </c>
      <c r="H206" s="6">
        <v>430</v>
      </c>
      <c r="I206" s="6">
        <v>5738</v>
      </c>
      <c r="J206" s="6">
        <v>4890</v>
      </c>
      <c r="K206" s="6">
        <v>25</v>
      </c>
      <c r="L206" s="6" t="s">
        <v>43</v>
      </c>
      <c r="M206" s="6" t="s">
        <v>19</v>
      </c>
      <c r="N206" s="14">
        <f>(Posts1116[[#This Row],[Likes]]+Posts1116[[#This Row],[Shares]]+Posts1116[[#This Row],[Comments]])/Posts1116[[#This Row],[Impressions]]</f>
        <v>0.13576158940397351</v>
      </c>
      <c r="O206" t="str">
        <f>_xlfn.XLOOKUP(Posts1116[[#This Row],[Campaign_Name]],Campaign_Metadata[Campaign_Name],Campaign_Metadata[Objective])</f>
        <v>Community Growth</v>
      </c>
      <c r="P206" t="str">
        <f>IF(AND(Posts1116[[#This Row],[Date]]&gt;=DATE(2024,6,15), Posts1116[[#This Row],[Date]]&lt;=DATE(2024,7,15)),"During", "Before")</f>
        <v>During</v>
      </c>
    </row>
    <row r="207" spans="1:16">
      <c r="A207" s="11" t="s">
        <v>208</v>
      </c>
      <c r="B207" s="6" t="s">
        <v>49</v>
      </c>
      <c r="C207" s="12">
        <v>45484</v>
      </c>
      <c r="D207" s="6" t="s">
        <v>41</v>
      </c>
      <c r="E207" s="6" t="s">
        <v>97</v>
      </c>
      <c r="F207" s="6">
        <v>3134</v>
      </c>
      <c r="G207" s="6">
        <v>888</v>
      </c>
      <c r="H207" s="6">
        <v>444</v>
      </c>
      <c r="I207" s="6">
        <v>21938</v>
      </c>
      <c r="J207" s="6">
        <v>21337</v>
      </c>
      <c r="K207" s="6">
        <v>130</v>
      </c>
      <c r="L207" s="6" t="s">
        <v>52</v>
      </c>
      <c r="M207" s="6" t="s">
        <v>19</v>
      </c>
      <c r="N207" s="14">
        <f>(Posts1116[[#This Row],[Likes]]+Posts1116[[#This Row],[Shares]]+Posts1116[[#This Row],[Comments]])/Posts1116[[#This Row],[Impressions]]</f>
        <v>0.20357370772176134</v>
      </c>
      <c r="O207" t="str">
        <f>_xlfn.XLOOKUP(Posts1116[[#This Row],[Campaign_Name]],Campaign_Metadata[Campaign_Name],Campaign_Metadata[Objective])</f>
        <v>Community Growth</v>
      </c>
      <c r="P207" t="str">
        <f>IF(AND(Posts1116[[#This Row],[Date]]&gt;=DATE(2024,6,15), Posts1116[[#This Row],[Date]]&lt;=DATE(2024,7,15)),"During", "Before")</f>
        <v>During</v>
      </c>
    </row>
    <row r="208" spans="1:16">
      <c r="A208" s="9" t="s">
        <v>60</v>
      </c>
      <c r="B208" s="5" t="s">
        <v>46</v>
      </c>
      <c r="C208" s="10">
        <v>45486</v>
      </c>
      <c r="D208" s="5" t="s">
        <v>61</v>
      </c>
      <c r="E208" s="5" t="s">
        <v>62</v>
      </c>
      <c r="F208" s="5">
        <v>3929</v>
      </c>
      <c r="G208" s="5">
        <v>262</v>
      </c>
      <c r="H208" s="5">
        <v>278</v>
      </c>
      <c r="I208" s="5">
        <v>43219</v>
      </c>
      <c r="J208" s="5">
        <v>42841</v>
      </c>
      <c r="K208" s="5">
        <v>39</v>
      </c>
      <c r="L208" s="5" t="s">
        <v>52</v>
      </c>
      <c r="M208" s="5" t="s">
        <v>19</v>
      </c>
      <c r="N208" s="13">
        <f>(Posts1116[[#This Row],[Likes]]+Posts1116[[#This Row],[Shares]]+Posts1116[[#This Row],[Comments]])/Posts1116[[#This Row],[Impressions]]</f>
        <v>0.10340359564080613</v>
      </c>
      <c r="O208" t="str">
        <f>_xlfn.XLOOKUP(Posts1116[[#This Row],[Campaign_Name]],Campaign_Metadata[Campaign_Name],Campaign_Metadata[Objective])</f>
        <v>Community Growth</v>
      </c>
      <c r="P208" t="str">
        <f>IF(AND(Posts1116[[#This Row],[Date]]&gt;=DATE(2024,6,15), Posts1116[[#This Row],[Date]]&lt;=DATE(2024,7,15)),"During", "Before")</f>
        <v>During</v>
      </c>
    </row>
    <row r="209" spans="1:16">
      <c r="A209" s="9" t="s">
        <v>310</v>
      </c>
      <c r="B209" s="5" t="s">
        <v>35</v>
      </c>
      <c r="C209" s="10">
        <v>45489</v>
      </c>
      <c r="D209" s="5" t="s">
        <v>41</v>
      </c>
      <c r="E209" s="5" t="s">
        <v>42</v>
      </c>
      <c r="F209" s="5">
        <v>4725</v>
      </c>
      <c r="G209" s="5">
        <v>400</v>
      </c>
      <c r="H209" s="5">
        <v>362</v>
      </c>
      <c r="I209" s="5">
        <v>75600</v>
      </c>
      <c r="J209" s="5">
        <v>74927</v>
      </c>
      <c r="K209" s="5">
        <v>43</v>
      </c>
      <c r="L209" s="5" t="s">
        <v>38</v>
      </c>
      <c r="M209" s="5" t="s">
        <v>19</v>
      </c>
      <c r="N209" s="13">
        <f>(Posts1116[[#This Row],[Likes]]+Posts1116[[#This Row],[Shares]]+Posts1116[[#This Row],[Comments]])/Posts1116[[#This Row],[Impressions]]</f>
        <v>7.2579365079365077E-2</v>
      </c>
      <c r="O209" t="str">
        <f>_xlfn.XLOOKUP(Posts1116[[#This Row],[Campaign_Name]],Campaign_Metadata[Campaign_Name],Campaign_Metadata[Objective])</f>
        <v>Community Growth</v>
      </c>
      <c r="P209" t="str">
        <f>IF(AND(Posts1116[[#This Row],[Date]]&gt;=DATE(2024,6,15), Posts1116[[#This Row],[Date]]&lt;=DATE(2024,7,15)),"During", "Before")</f>
        <v>Before</v>
      </c>
    </row>
    <row r="210" spans="1:16">
      <c r="A210" s="9" t="s">
        <v>283</v>
      </c>
      <c r="B210" s="5" t="s">
        <v>35</v>
      </c>
      <c r="C210" s="10">
        <v>45491</v>
      </c>
      <c r="D210" s="5" t="s">
        <v>56</v>
      </c>
      <c r="E210" s="5" t="s">
        <v>59</v>
      </c>
      <c r="F210" s="5">
        <v>2120</v>
      </c>
      <c r="G210" s="5">
        <v>38</v>
      </c>
      <c r="H210" s="5">
        <v>212</v>
      </c>
      <c r="I210" s="5">
        <v>12720</v>
      </c>
      <c r="J210" s="5">
        <v>12564</v>
      </c>
      <c r="K210" s="5">
        <v>21</v>
      </c>
      <c r="L210" s="5" t="s">
        <v>38</v>
      </c>
      <c r="M210" s="5" t="s">
        <v>19</v>
      </c>
      <c r="N210" s="13">
        <f>(Posts1116[[#This Row],[Likes]]+Posts1116[[#This Row],[Shares]]+Posts1116[[#This Row],[Comments]])/Posts1116[[#This Row],[Impressions]]</f>
        <v>0.18632075471698112</v>
      </c>
      <c r="O210" t="str">
        <f>_xlfn.XLOOKUP(Posts1116[[#This Row],[Campaign_Name]],Campaign_Metadata[Campaign_Name],Campaign_Metadata[Objective])</f>
        <v>Community Growth</v>
      </c>
      <c r="P210" t="str">
        <f>IF(AND(Posts1116[[#This Row],[Date]]&gt;=DATE(2024,6,15), Posts1116[[#This Row],[Date]]&lt;=DATE(2024,7,15)),"During", "Before")</f>
        <v>Before</v>
      </c>
    </row>
    <row r="211" spans="1:16">
      <c r="A211" s="9" t="s">
        <v>254</v>
      </c>
      <c r="B211" s="5" t="s">
        <v>55</v>
      </c>
      <c r="C211" s="10">
        <v>45504</v>
      </c>
      <c r="D211" s="5" t="s">
        <v>61</v>
      </c>
      <c r="E211" s="5" t="s">
        <v>66</v>
      </c>
      <c r="F211" s="5">
        <v>4689</v>
      </c>
      <c r="G211" s="5">
        <v>134</v>
      </c>
      <c r="H211" s="5">
        <v>403</v>
      </c>
      <c r="I211" s="5">
        <v>51579</v>
      </c>
      <c r="J211" s="5">
        <v>50924</v>
      </c>
      <c r="K211" s="5">
        <v>173</v>
      </c>
      <c r="L211" s="5" t="s">
        <v>43</v>
      </c>
      <c r="M211" s="5" t="s">
        <v>19</v>
      </c>
      <c r="N211" s="13">
        <f>(Posts1116[[#This Row],[Likes]]+Posts1116[[#This Row],[Shares]]+Posts1116[[#This Row],[Comments]])/Posts1116[[#This Row],[Impressions]]</f>
        <v>0.10132030477519921</v>
      </c>
      <c r="O211" t="str">
        <f>_xlfn.XLOOKUP(Posts1116[[#This Row],[Campaign_Name]],Campaign_Metadata[Campaign_Name],Campaign_Metadata[Objective])</f>
        <v>Community Growth</v>
      </c>
      <c r="P211" t="str">
        <f>IF(AND(Posts1116[[#This Row],[Date]]&gt;=DATE(2024,6,15), Posts1116[[#This Row],[Date]]&lt;=DATE(2024,7,15)),"During", "Before")</f>
        <v>Before</v>
      </c>
    </row>
    <row r="212" spans="1:16">
      <c r="A212" s="11" t="s">
        <v>145</v>
      </c>
      <c r="B212" s="6" t="s">
        <v>49</v>
      </c>
      <c r="C212" s="12">
        <v>45505</v>
      </c>
      <c r="D212" s="6" t="s">
        <v>36</v>
      </c>
      <c r="E212" s="6" t="s">
        <v>80</v>
      </c>
      <c r="F212" s="6">
        <v>1674</v>
      </c>
      <c r="G212" s="6">
        <v>929</v>
      </c>
      <c r="H212" s="6">
        <v>37</v>
      </c>
      <c r="I212" s="6">
        <v>21762</v>
      </c>
      <c r="J212" s="6">
        <v>20998</v>
      </c>
      <c r="K212" s="6">
        <v>255</v>
      </c>
      <c r="L212" s="6" t="s">
        <v>43</v>
      </c>
      <c r="M212" s="6" t="s">
        <v>19</v>
      </c>
      <c r="N212" s="14">
        <f>(Posts1116[[#This Row],[Likes]]+Posts1116[[#This Row],[Shares]]+Posts1116[[#This Row],[Comments]])/Posts1116[[#This Row],[Impressions]]</f>
        <v>0.12131237937689551</v>
      </c>
      <c r="O212" t="str">
        <f>_xlfn.XLOOKUP(Posts1116[[#This Row],[Campaign_Name]],Campaign_Metadata[Campaign_Name],Campaign_Metadata[Objective])</f>
        <v>Community Growth</v>
      </c>
      <c r="P212" t="str">
        <f>IF(AND(Posts1116[[#This Row],[Date]]&gt;=DATE(2024,6,15), Posts1116[[#This Row],[Date]]&lt;=DATE(2024,7,15)),"During", "Before")</f>
        <v>Before</v>
      </c>
    </row>
    <row r="213" spans="1:16">
      <c r="A213" s="11" t="s">
        <v>48</v>
      </c>
      <c r="B213" s="6" t="s">
        <v>49</v>
      </c>
      <c r="C213" s="12">
        <v>45516</v>
      </c>
      <c r="D213" s="6" t="s">
        <v>50</v>
      </c>
      <c r="E213" s="6" t="s">
        <v>51</v>
      </c>
      <c r="F213" s="6">
        <v>2404</v>
      </c>
      <c r="G213" s="6">
        <v>363</v>
      </c>
      <c r="H213" s="6">
        <v>138</v>
      </c>
      <c r="I213" s="6">
        <v>19232</v>
      </c>
      <c r="J213" s="6">
        <v>18636</v>
      </c>
      <c r="K213" s="6">
        <v>128</v>
      </c>
      <c r="L213" s="6" t="s">
        <v>52</v>
      </c>
      <c r="M213" s="6" t="s">
        <v>19</v>
      </c>
      <c r="N213" s="14">
        <f>(Posts1116[[#This Row],[Likes]]+Posts1116[[#This Row],[Shares]]+Posts1116[[#This Row],[Comments]])/Posts1116[[#This Row],[Impressions]]</f>
        <v>0.15105033277870217</v>
      </c>
      <c r="O213" t="str">
        <f>_xlfn.XLOOKUP(Posts1116[[#This Row],[Campaign_Name]],Campaign_Metadata[Campaign_Name],Campaign_Metadata[Objective])</f>
        <v>Community Growth</v>
      </c>
      <c r="P213" t="str">
        <f>IF(AND(Posts1116[[#This Row],[Date]]&gt;=DATE(2024,6,15), Posts1116[[#This Row],[Date]]&lt;=DATE(2024,7,15)),"During", "Before")</f>
        <v>Before</v>
      </c>
    </row>
    <row r="214" spans="1:16">
      <c r="A214" s="11" t="s">
        <v>217</v>
      </c>
      <c r="B214" s="6" t="s">
        <v>49</v>
      </c>
      <c r="C214" s="12">
        <v>45516</v>
      </c>
      <c r="D214" s="6" t="s">
        <v>56</v>
      </c>
      <c r="E214" s="6" t="s">
        <v>84</v>
      </c>
      <c r="F214" s="6">
        <v>1878</v>
      </c>
      <c r="G214" s="6">
        <v>62</v>
      </c>
      <c r="H214" s="6">
        <v>179</v>
      </c>
      <c r="I214" s="6">
        <v>37560</v>
      </c>
      <c r="J214" s="6">
        <v>36874</v>
      </c>
      <c r="K214" s="6">
        <v>142</v>
      </c>
      <c r="L214" s="6" t="s">
        <v>43</v>
      </c>
      <c r="M214" s="6" t="s">
        <v>19</v>
      </c>
      <c r="N214" s="14">
        <f>(Posts1116[[#This Row],[Likes]]+Posts1116[[#This Row],[Shares]]+Posts1116[[#This Row],[Comments]])/Posts1116[[#This Row],[Impressions]]</f>
        <v>5.6416400425985093E-2</v>
      </c>
      <c r="O214" t="str">
        <f>_xlfn.XLOOKUP(Posts1116[[#This Row],[Campaign_Name]],Campaign_Metadata[Campaign_Name],Campaign_Metadata[Objective])</f>
        <v>Community Growth</v>
      </c>
      <c r="P214" t="str">
        <f>IF(AND(Posts1116[[#This Row],[Date]]&gt;=DATE(2024,6,15), Posts1116[[#This Row],[Date]]&lt;=DATE(2024,7,15)),"During", "Before")</f>
        <v>Before</v>
      </c>
    </row>
    <row r="215" spans="1:16">
      <c r="A215" s="11" t="s">
        <v>267</v>
      </c>
      <c r="B215" s="6" t="s">
        <v>49</v>
      </c>
      <c r="C215" s="12">
        <v>45519</v>
      </c>
      <c r="D215" s="6" t="s">
        <v>56</v>
      </c>
      <c r="E215" s="6" t="s">
        <v>84</v>
      </c>
      <c r="F215" s="6">
        <v>914</v>
      </c>
      <c r="G215" s="6">
        <v>464</v>
      </c>
      <c r="H215" s="6">
        <v>246</v>
      </c>
      <c r="I215" s="6">
        <v>11882</v>
      </c>
      <c r="J215" s="6">
        <v>11500</v>
      </c>
      <c r="K215" s="6">
        <v>282</v>
      </c>
      <c r="L215" s="6" t="s">
        <v>38</v>
      </c>
      <c r="M215" s="6" t="s">
        <v>19</v>
      </c>
      <c r="N215" s="14">
        <f>(Posts1116[[#This Row],[Likes]]+Posts1116[[#This Row],[Shares]]+Posts1116[[#This Row],[Comments]])/Posts1116[[#This Row],[Impressions]]</f>
        <v>0.13667732704931829</v>
      </c>
      <c r="O215" t="str">
        <f>_xlfn.XLOOKUP(Posts1116[[#This Row],[Campaign_Name]],Campaign_Metadata[Campaign_Name],Campaign_Metadata[Objective])</f>
        <v>Community Growth</v>
      </c>
      <c r="P215" t="str">
        <f>IF(AND(Posts1116[[#This Row],[Date]]&gt;=DATE(2024,6,15), Posts1116[[#This Row],[Date]]&lt;=DATE(2024,7,15)),"During", "Before")</f>
        <v>Before</v>
      </c>
    </row>
    <row r="216" spans="1:16">
      <c r="A216" s="9" t="s">
        <v>267</v>
      </c>
      <c r="B216" s="5" t="s">
        <v>49</v>
      </c>
      <c r="C216" s="10">
        <v>45519</v>
      </c>
      <c r="D216" s="5" t="s">
        <v>56</v>
      </c>
      <c r="E216" s="5" t="s">
        <v>84</v>
      </c>
      <c r="F216" s="5">
        <v>914</v>
      </c>
      <c r="G216" s="5">
        <v>464</v>
      </c>
      <c r="H216" s="5">
        <v>246</v>
      </c>
      <c r="I216" s="5">
        <v>11882</v>
      </c>
      <c r="J216" s="5">
        <v>11500</v>
      </c>
      <c r="K216" s="5">
        <v>282</v>
      </c>
      <c r="L216" s="5" t="s">
        <v>43</v>
      </c>
      <c r="M216" s="5" t="s">
        <v>19</v>
      </c>
      <c r="N216" s="13">
        <f>(Posts1116[[#This Row],[Likes]]+Posts1116[[#This Row],[Shares]]+Posts1116[[#This Row],[Comments]])/Posts1116[[#This Row],[Impressions]]</f>
        <v>0.13667732704931829</v>
      </c>
      <c r="O216" t="str">
        <f>_xlfn.XLOOKUP(Posts1116[[#This Row],[Campaign_Name]],Campaign_Metadata[Campaign_Name],Campaign_Metadata[Objective])</f>
        <v>Community Growth</v>
      </c>
      <c r="P216" t="str">
        <f>IF(AND(Posts1116[[#This Row],[Date]]&gt;=DATE(2024,6,15), Posts1116[[#This Row],[Date]]&lt;=DATE(2024,7,15)),"During", "Before")</f>
        <v>Before</v>
      </c>
    </row>
    <row r="217" spans="1:16">
      <c r="A217" s="11" t="s">
        <v>267</v>
      </c>
      <c r="B217" s="6" t="s">
        <v>49</v>
      </c>
      <c r="C217" s="12">
        <v>45519</v>
      </c>
      <c r="D217" s="6" t="s">
        <v>56</v>
      </c>
      <c r="E217" s="6" t="s">
        <v>84</v>
      </c>
      <c r="F217" s="6">
        <v>914</v>
      </c>
      <c r="G217" s="6">
        <v>464</v>
      </c>
      <c r="H217" s="6">
        <v>246</v>
      </c>
      <c r="I217" s="6">
        <v>11882</v>
      </c>
      <c r="J217" s="6">
        <v>11500</v>
      </c>
      <c r="K217" s="6">
        <v>282</v>
      </c>
      <c r="L217" s="6" t="s">
        <v>39</v>
      </c>
      <c r="M217" s="6" t="s">
        <v>19</v>
      </c>
      <c r="N217" s="14">
        <f>(Posts1116[[#This Row],[Likes]]+Posts1116[[#This Row],[Shares]]+Posts1116[[#This Row],[Comments]])/Posts1116[[#This Row],[Impressions]]</f>
        <v>0.13667732704931829</v>
      </c>
      <c r="O217" t="str">
        <f>_xlfn.XLOOKUP(Posts1116[[#This Row],[Campaign_Name]],Campaign_Metadata[Campaign_Name],Campaign_Metadata[Objective])</f>
        <v>Community Growth</v>
      </c>
      <c r="P217" t="str">
        <f>IF(AND(Posts1116[[#This Row],[Date]]&gt;=DATE(2024,6,15), Posts1116[[#This Row],[Date]]&lt;=DATE(2024,7,15)),"During", "Before")</f>
        <v>Before</v>
      </c>
    </row>
    <row r="218" spans="1:16">
      <c r="A218" s="11" t="s">
        <v>222</v>
      </c>
      <c r="B218" s="6" t="s">
        <v>46</v>
      </c>
      <c r="C218" s="12">
        <v>45526</v>
      </c>
      <c r="D218" s="6" t="s">
        <v>56</v>
      </c>
      <c r="E218" s="6" t="s">
        <v>71</v>
      </c>
      <c r="F218" s="6">
        <v>4295</v>
      </c>
      <c r="G218" s="6">
        <v>853</v>
      </c>
      <c r="H218" s="6">
        <v>325</v>
      </c>
      <c r="I218" s="6">
        <v>85900</v>
      </c>
      <c r="J218" s="6">
        <v>85788</v>
      </c>
      <c r="K218" s="6">
        <v>290</v>
      </c>
      <c r="L218" s="6" t="s">
        <v>43</v>
      </c>
      <c r="M218" s="6" t="s">
        <v>19</v>
      </c>
      <c r="N218" s="14">
        <f>(Posts1116[[#This Row],[Likes]]+Posts1116[[#This Row],[Shares]]+Posts1116[[#This Row],[Comments]])/Posts1116[[#This Row],[Impressions]]</f>
        <v>6.3713620488940623E-2</v>
      </c>
      <c r="O218" t="str">
        <f>_xlfn.XLOOKUP(Posts1116[[#This Row],[Campaign_Name]],Campaign_Metadata[Campaign_Name],Campaign_Metadata[Objective])</f>
        <v>Community Growth</v>
      </c>
      <c r="P218" t="str">
        <f>IF(AND(Posts1116[[#This Row],[Date]]&gt;=DATE(2024,6,15), Posts1116[[#This Row],[Date]]&lt;=DATE(2024,7,15)),"During", "Before")</f>
        <v>Before</v>
      </c>
    </row>
    <row r="219" spans="1:16">
      <c r="A219" s="9" t="s">
        <v>197</v>
      </c>
      <c r="B219" s="5" t="s">
        <v>35</v>
      </c>
      <c r="C219" s="10">
        <v>45543</v>
      </c>
      <c r="D219" s="5" t="s">
        <v>56</v>
      </c>
      <c r="E219" s="5" t="s">
        <v>59</v>
      </c>
      <c r="F219" s="5">
        <v>3811</v>
      </c>
      <c r="G219" s="5">
        <v>866</v>
      </c>
      <c r="H219" s="5">
        <v>216</v>
      </c>
      <c r="I219" s="5">
        <v>34299</v>
      </c>
      <c r="J219" s="5">
        <v>34088</v>
      </c>
      <c r="K219" s="5">
        <v>233</v>
      </c>
      <c r="L219" s="5" t="s">
        <v>43</v>
      </c>
      <c r="M219" s="5" t="s">
        <v>19</v>
      </c>
      <c r="N219" s="13">
        <f>(Posts1116[[#This Row],[Likes]]+Posts1116[[#This Row],[Shares]]+Posts1116[[#This Row],[Comments]])/Posts1116[[#This Row],[Impressions]]</f>
        <v>0.14265722032712325</v>
      </c>
      <c r="O219" t="str">
        <f>_xlfn.XLOOKUP(Posts1116[[#This Row],[Campaign_Name]],Campaign_Metadata[Campaign_Name],Campaign_Metadata[Objective])</f>
        <v>Community Growth</v>
      </c>
      <c r="P219" t="str">
        <f>IF(AND(Posts1116[[#This Row],[Date]]&gt;=DATE(2024,6,15), Posts1116[[#This Row],[Date]]&lt;=DATE(2024,7,15)),"During", "Before")</f>
        <v>Before</v>
      </c>
    </row>
    <row r="220" spans="1:16">
      <c r="A220" s="9" t="s">
        <v>91</v>
      </c>
      <c r="B220" s="5" t="s">
        <v>46</v>
      </c>
      <c r="C220" s="10">
        <v>45552</v>
      </c>
      <c r="D220" s="5" t="s">
        <v>41</v>
      </c>
      <c r="E220" s="5" t="s">
        <v>92</v>
      </c>
      <c r="F220" s="5">
        <v>2076</v>
      </c>
      <c r="G220" s="5">
        <v>195</v>
      </c>
      <c r="H220" s="5">
        <v>104</v>
      </c>
      <c r="I220" s="5">
        <v>33216</v>
      </c>
      <c r="J220" s="5">
        <v>32244</v>
      </c>
      <c r="K220" s="5">
        <v>51</v>
      </c>
      <c r="L220" s="5" t="s">
        <v>38</v>
      </c>
      <c r="M220" s="5" t="s">
        <v>19</v>
      </c>
      <c r="N220" s="13">
        <f>(Posts1116[[#This Row],[Likes]]+Posts1116[[#This Row],[Shares]]+Posts1116[[#This Row],[Comments]])/Posts1116[[#This Row],[Impressions]]</f>
        <v>7.1501685934489398E-2</v>
      </c>
      <c r="O220" t="str">
        <f>_xlfn.XLOOKUP(Posts1116[[#This Row],[Campaign_Name]],Campaign_Metadata[Campaign_Name],Campaign_Metadata[Objective])</f>
        <v>Community Growth</v>
      </c>
      <c r="P220" t="str">
        <f>IF(AND(Posts1116[[#This Row],[Date]]&gt;=DATE(2024,6,15), Posts1116[[#This Row],[Date]]&lt;=DATE(2024,7,15)),"During", "Before")</f>
        <v>Before</v>
      </c>
    </row>
    <row r="221" spans="1:16">
      <c r="A221" s="9" t="s">
        <v>356</v>
      </c>
      <c r="B221" s="5" t="s">
        <v>35</v>
      </c>
      <c r="C221" s="10">
        <v>45552</v>
      </c>
      <c r="D221" s="5" t="s">
        <v>41</v>
      </c>
      <c r="E221" s="5" t="s">
        <v>42</v>
      </c>
      <c r="F221" s="5">
        <v>571</v>
      </c>
      <c r="G221" s="5">
        <v>190</v>
      </c>
      <c r="H221" s="5">
        <v>352</v>
      </c>
      <c r="I221" s="5">
        <v>9707</v>
      </c>
      <c r="J221" s="5">
        <v>9418</v>
      </c>
      <c r="K221" s="5">
        <v>231</v>
      </c>
      <c r="L221" s="5" t="s">
        <v>43</v>
      </c>
      <c r="M221" s="5" t="s">
        <v>19</v>
      </c>
      <c r="N221" s="13">
        <f>(Posts1116[[#This Row],[Likes]]+Posts1116[[#This Row],[Shares]]+Posts1116[[#This Row],[Comments]])/Posts1116[[#This Row],[Impressions]]</f>
        <v>0.11465952405480581</v>
      </c>
      <c r="O221" t="str">
        <f>_xlfn.XLOOKUP(Posts1116[[#This Row],[Campaign_Name]],Campaign_Metadata[Campaign_Name],Campaign_Metadata[Objective])</f>
        <v>Community Growth</v>
      </c>
      <c r="P221" t="str">
        <f>IF(AND(Posts1116[[#This Row],[Date]]&gt;=DATE(2024,6,15), Posts1116[[#This Row],[Date]]&lt;=DATE(2024,7,15)),"During", "Before")</f>
        <v>Before</v>
      </c>
    </row>
    <row r="222" spans="1:16">
      <c r="A222" s="11" t="s">
        <v>202</v>
      </c>
      <c r="B222" s="6" t="s">
        <v>46</v>
      </c>
      <c r="C222" s="12">
        <v>45564</v>
      </c>
      <c r="D222" s="6" t="s">
        <v>36</v>
      </c>
      <c r="E222" s="6" t="s">
        <v>47</v>
      </c>
      <c r="F222" s="6">
        <v>2936</v>
      </c>
      <c r="G222" s="6">
        <v>439</v>
      </c>
      <c r="H222" s="6">
        <v>44</v>
      </c>
      <c r="I222" s="6">
        <v>38168</v>
      </c>
      <c r="J222" s="6">
        <v>37571</v>
      </c>
      <c r="K222" s="6">
        <v>22</v>
      </c>
      <c r="L222" s="6" t="s">
        <v>52</v>
      </c>
      <c r="M222" s="6" t="s">
        <v>19</v>
      </c>
      <c r="N222" s="14">
        <f>(Posts1116[[#This Row],[Likes]]+Posts1116[[#This Row],[Shares]]+Posts1116[[#This Row],[Comments]])/Posts1116[[#This Row],[Impressions]]</f>
        <v>8.9577656675749323E-2</v>
      </c>
      <c r="O222" t="str">
        <f>_xlfn.XLOOKUP(Posts1116[[#This Row],[Campaign_Name]],Campaign_Metadata[Campaign_Name],Campaign_Metadata[Objective])</f>
        <v>Community Growth</v>
      </c>
      <c r="P222" t="str">
        <f>IF(AND(Posts1116[[#This Row],[Date]]&gt;=DATE(2024,6,15), Posts1116[[#This Row],[Date]]&lt;=DATE(2024,7,15)),"During", "Before")</f>
        <v>Before</v>
      </c>
    </row>
    <row r="223" spans="1:16">
      <c r="A223" s="11" t="s">
        <v>226</v>
      </c>
      <c r="B223" s="6" t="s">
        <v>49</v>
      </c>
      <c r="C223" s="12">
        <v>45574</v>
      </c>
      <c r="D223" s="6" t="s">
        <v>56</v>
      </c>
      <c r="E223" s="6" t="s">
        <v>84</v>
      </c>
      <c r="F223" s="6">
        <v>985</v>
      </c>
      <c r="G223" s="6">
        <v>932</v>
      </c>
      <c r="H223" s="6">
        <v>287</v>
      </c>
      <c r="I223" s="6">
        <v>6895</v>
      </c>
      <c r="J223" s="6">
        <v>6757</v>
      </c>
      <c r="K223" s="6">
        <v>64</v>
      </c>
      <c r="L223" s="6" t="s">
        <v>38</v>
      </c>
      <c r="M223" s="6" t="s">
        <v>19</v>
      </c>
      <c r="N223" s="14">
        <f>(Posts1116[[#This Row],[Likes]]+Posts1116[[#This Row],[Shares]]+Posts1116[[#This Row],[Comments]])/Posts1116[[#This Row],[Impressions]]</f>
        <v>0.31965192168237855</v>
      </c>
      <c r="O223" t="str">
        <f>_xlfn.XLOOKUP(Posts1116[[#This Row],[Campaign_Name]],Campaign_Metadata[Campaign_Name],Campaign_Metadata[Objective])</f>
        <v>Community Growth</v>
      </c>
      <c r="P223" t="str">
        <f>IF(AND(Posts1116[[#This Row],[Date]]&gt;=DATE(2024,6,15), Posts1116[[#This Row],[Date]]&lt;=DATE(2024,7,15)),"During", "Before")</f>
        <v>Before</v>
      </c>
    </row>
    <row r="224" spans="1:16">
      <c r="A224" s="11" t="s">
        <v>345</v>
      </c>
      <c r="B224" s="6" t="s">
        <v>46</v>
      </c>
      <c r="C224" s="12">
        <v>45577</v>
      </c>
      <c r="D224" s="6" t="s">
        <v>50</v>
      </c>
      <c r="E224" s="6" t="s">
        <v>120</v>
      </c>
      <c r="F224" s="6">
        <v>3641</v>
      </c>
      <c r="G224" s="6">
        <v>226</v>
      </c>
      <c r="H224" s="6">
        <v>46</v>
      </c>
      <c r="I224" s="6">
        <v>40051</v>
      </c>
      <c r="J224" s="6">
        <v>39319</v>
      </c>
      <c r="K224" s="6">
        <v>296</v>
      </c>
      <c r="L224" s="6" t="s">
        <v>52</v>
      </c>
      <c r="M224" s="6" t="s">
        <v>19</v>
      </c>
      <c r="N224" s="14">
        <f>(Posts1116[[#This Row],[Likes]]+Posts1116[[#This Row],[Shares]]+Posts1116[[#This Row],[Comments]])/Posts1116[[#This Row],[Impressions]]</f>
        <v>9.7700431949264685E-2</v>
      </c>
      <c r="O224" t="str">
        <f>_xlfn.XLOOKUP(Posts1116[[#This Row],[Campaign_Name]],Campaign_Metadata[Campaign_Name],Campaign_Metadata[Objective])</f>
        <v>Community Growth</v>
      </c>
      <c r="P224" t="str">
        <f>IF(AND(Posts1116[[#This Row],[Date]]&gt;=DATE(2024,6,15), Posts1116[[#This Row],[Date]]&lt;=DATE(2024,7,15)),"During", "Before")</f>
        <v>Before</v>
      </c>
    </row>
    <row r="225" spans="1:16">
      <c r="A225" s="11" t="s">
        <v>143</v>
      </c>
      <c r="B225" s="6" t="s">
        <v>55</v>
      </c>
      <c r="C225" s="12">
        <v>45583</v>
      </c>
      <c r="D225" s="6" t="s">
        <v>50</v>
      </c>
      <c r="E225" s="6" t="s">
        <v>73</v>
      </c>
      <c r="F225" s="6">
        <v>4126</v>
      </c>
      <c r="G225" s="6">
        <v>426</v>
      </c>
      <c r="H225" s="6">
        <v>486</v>
      </c>
      <c r="I225" s="6">
        <v>78394</v>
      </c>
      <c r="J225" s="6">
        <v>77798</v>
      </c>
      <c r="K225" s="6">
        <v>88</v>
      </c>
      <c r="L225" s="6" t="s">
        <v>38</v>
      </c>
      <c r="M225" s="6" t="s">
        <v>19</v>
      </c>
      <c r="N225" s="14">
        <f>(Posts1116[[#This Row],[Likes]]+Posts1116[[#This Row],[Shares]]+Posts1116[[#This Row],[Comments]])/Posts1116[[#This Row],[Impressions]]</f>
        <v>6.4265122330790625E-2</v>
      </c>
      <c r="O225" t="str">
        <f>_xlfn.XLOOKUP(Posts1116[[#This Row],[Campaign_Name]],Campaign_Metadata[Campaign_Name],Campaign_Metadata[Objective])</f>
        <v>Community Growth</v>
      </c>
      <c r="P225" t="str">
        <f>IF(AND(Posts1116[[#This Row],[Date]]&gt;=DATE(2024,6,15), Posts1116[[#This Row],[Date]]&lt;=DATE(2024,7,15)),"During", "Before")</f>
        <v>Before</v>
      </c>
    </row>
    <row r="226" spans="1:16">
      <c r="A226" s="9" t="s">
        <v>352</v>
      </c>
      <c r="B226" s="5" t="s">
        <v>46</v>
      </c>
      <c r="C226" s="10">
        <v>45586</v>
      </c>
      <c r="D226" s="5" t="s">
        <v>75</v>
      </c>
      <c r="E226" s="5" t="s">
        <v>155</v>
      </c>
      <c r="F226" s="5">
        <v>4275</v>
      </c>
      <c r="G226" s="5">
        <v>680</v>
      </c>
      <c r="H226" s="5">
        <v>385</v>
      </c>
      <c r="I226" s="5">
        <v>64125</v>
      </c>
      <c r="J226" s="5">
        <v>63650</v>
      </c>
      <c r="K226" s="5">
        <v>104</v>
      </c>
      <c r="L226" s="5" t="s">
        <v>52</v>
      </c>
      <c r="M226" s="5" t="s">
        <v>19</v>
      </c>
      <c r="N226" s="13">
        <f>(Posts1116[[#This Row],[Likes]]+Posts1116[[#This Row],[Shares]]+Posts1116[[#This Row],[Comments]])/Posts1116[[#This Row],[Impressions]]</f>
        <v>8.3274853801169585E-2</v>
      </c>
      <c r="O226" t="str">
        <f>_xlfn.XLOOKUP(Posts1116[[#This Row],[Campaign_Name]],Campaign_Metadata[Campaign_Name],Campaign_Metadata[Objective])</f>
        <v>Community Growth</v>
      </c>
      <c r="P226" t="str">
        <f>IF(AND(Posts1116[[#This Row],[Date]]&gt;=DATE(2024,6,15), Posts1116[[#This Row],[Date]]&lt;=DATE(2024,7,15)),"During", "Before")</f>
        <v>Before</v>
      </c>
    </row>
    <row r="227" spans="1:16">
      <c r="A227" s="11" t="s">
        <v>352</v>
      </c>
      <c r="B227" s="6" t="s">
        <v>46</v>
      </c>
      <c r="C227" s="12">
        <v>45586</v>
      </c>
      <c r="D227" s="6" t="s">
        <v>75</v>
      </c>
      <c r="E227" s="6" t="s">
        <v>155</v>
      </c>
      <c r="F227" s="6">
        <v>4275</v>
      </c>
      <c r="G227" s="6">
        <v>680</v>
      </c>
      <c r="H227" s="6">
        <v>385</v>
      </c>
      <c r="I227" s="6">
        <v>64125</v>
      </c>
      <c r="J227" s="6">
        <v>63650</v>
      </c>
      <c r="K227" s="6">
        <v>104</v>
      </c>
      <c r="L227" s="6" t="s">
        <v>43</v>
      </c>
      <c r="M227" s="6" t="s">
        <v>19</v>
      </c>
      <c r="N227" s="14">
        <f>(Posts1116[[#This Row],[Likes]]+Posts1116[[#This Row],[Shares]]+Posts1116[[#This Row],[Comments]])/Posts1116[[#This Row],[Impressions]]</f>
        <v>8.3274853801169585E-2</v>
      </c>
      <c r="O227" t="str">
        <f>_xlfn.XLOOKUP(Posts1116[[#This Row],[Campaign_Name]],Campaign_Metadata[Campaign_Name],Campaign_Metadata[Objective])</f>
        <v>Community Growth</v>
      </c>
      <c r="P227" t="str">
        <f>IF(AND(Posts1116[[#This Row],[Date]]&gt;=DATE(2024,6,15), Posts1116[[#This Row],[Date]]&lt;=DATE(2024,7,15)),"During", "Before")</f>
        <v>Before</v>
      </c>
    </row>
    <row r="228" spans="1:16">
      <c r="A228" s="9" t="s">
        <v>352</v>
      </c>
      <c r="B228" s="5" t="s">
        <v>46</v>
      </c>
      <c r="C228" s="10">
        <v>45586</v>
      </c>
      <c r="D228" s="5" t="s">
        <v>75</v>
      </c>
      <c r="E228" s="5" t="s">
        <v>155</v>
      </c>
      <c r="F228" s="5">
        <v>4275</v>
      </c>
      <c r="G228" s="5">
        <v>680</v>
      </c>
      <c r="H228" s="5">
        <v>385</v>
      </c>
      <c r="I228" s="5">
        <v>64125</v>
      </c>
      <c r="J228" s="5">
        <v>63650</v>
      </c>
      <c r="K228" s="5">
        <v>104</v>
      </c>
      <c r="L228" s="5" t="s">
        <v>39</v>
      </c>
      <c r="M228" s="5" t="s">
        <v>19</v>
      </c>
      <c r="N228" s="13">
        <f>(Posts1116[[#This Row],[Likes]]+Posts1116[[#This Row],[Shares]]+Posts1116[[#This Row],[Comments]])/Posts1116[[#This Row],[Impressions]]</f>
        <v>8.3274853801169585E-2</v>
      </c>
      <c r="O228" t="str">
        <f>_xlfn.XLOOKUP(Posts1116[[#This Row],[Campaign_Name]],Campaign_Metadata[Campaign_Name],Campaign_Metadata[Objective])</f>
        <v>Community Growth</v>
      </c>
      <c r="P228" t="str">
        <f>IF(AND(Posts1116[[#This Row],[Date]]&gt;=DATE(2024,6,15), Posts1116[[#This Row],[Date]]&lt;=DATE(2024,7,15)),"During", "Before")</f>
        <v>Before</v>
      </c>
    </row>
    <row r="229" spans="1:16">
      <c r="A229" s="9" t="s">
        <v>216</v>
      </c>
      <c r="B229" s="5" t="s">
        <v>46</v>
      </c>
      <c r="C229" s="10">
        <v>45593</v>
      </c>
      <c r="D229" s="5" t="s">
        <v>50</v>
      </c>
      <c r="E229" s="5" t="s">
        <v>120</v>
      </c>
      <c r="F229" s="5">
        <v>4929</v>
      </c>
      <c r="G229" s="5">
        <v>749</v>
      </c>
      <c r="H229" s="5">
        <v>452</v>
      </c>
      <c r="I229" s="5">
        <v>93651</v>
      </c>
      <c r="J229" s="5">
        <v>92810</v>
      </c>
      <c r="K229" s="5">
        <v>66</v>
      </c>
      <c r="L229" s="5" t="s">
        <v>52</v>
      </c>
      <c r="M229" s="5" t="s">
        <v>19</v>
      </c>
      <c r="N229" s="13">
        <f>(Posts1116[[#This Row],[Likes]]+Posts1116[[#This Row],[Shares]]+Posts1116[[#This Row],[Comments]])/Posts1116[[#This Row],[Impressions]]</f>
        <v>6.5455787978772245E-2</v>
      </c>
      <c r="O229" t="str">
        <f>_xlfn.XLOOKUP(Posts1116[[#This Row],[Campaign_Name]],Campaign_Metadata[Campaign_Name],Campaign_Metadata[Objective])</f>
        <v>Community Growth</v>
      </c>
      <c r="P229" t="str">
        <f>IF(AND(Posts1116[[#This Row],[Date]]&gt;=DATE(2024,6,15), Posts1116[[#This Row],[Date]]&lt;=DATE(2024,7,15)),"During", "Before")</f>
        <v>Before</v>
      </c>
    </row>
    <row r="230" spans="1:16">
      <c r="A230" s="9" t="s">
        <v>189</v>
      </c>
      <c r="B230" s="5" t="s">
        <v>35</v>
      </c>
      <c r="C230" s="10">
        <v>45600</v>
      </c>
      <c r="D230" s="5" t="s">
        <v>61</v>
      </c>
      <c r="E230" s="5" t="s">
        <v>107</v>
      </c>
      <c r="F230" s="5">
        <v>1606</v>
      </c>
      <c r="G230" s="5">
        <v>451</v>
      </c>
      <c r="H230" s="5">
        <v>405</v>
      </c>
      <c r="I230" s="5">
        <v>20878</v>
      </c>
      <c r="J230" s="5">
        <v>20190</v>
      </c>
      <c r="K230" s="5">
        <v>219</v>
      </c>
      <c r="L230" s="5" t="s">
        <v>52</v>
      </c>
      <c r="M230" s="5" t="s">
        <v>19</v>
      </c>
      <c r="N230" s="13">
        <f>(Posts1116[[#This Row],[Likes]]+Posts1116[[#This Row],[Shares]]+Posts1116[[#This Row],[Comments]])/Posts1116[[#This Row],[Impressions]]</f>
        <v>0.11792317271769326</v>
      </c>
      <c r="O230" t="str">
        <f>_xlfn.XLOOKUP(Posts1116[[#This Row],[Campaign_Name]],Campaign_Metadata[Campaign_Name],Campaign_Metadata[Objective])</f>
        <v>Community Growth</v>
      </c>
      <c r="P230" t="str">
        <f>IF(AND(Posts1116[[#This Row],[Date]]&gt;=DATE(2024,6,15), Posts1116[[#This Row],[Date]]&lt;=DATE(2024,7,15)),"During", "Before")</f>
        <v>Before</v>
      </c>
    </row>
    <row r="231" spans="1:16">
      <c r="A231" s="11" t="s">
        <v>363</v>
      </c>
      <c r="B231" s="6" t="s">
        <v>55</v>
      </c>
      <c r="C231" s="12">
        <v>45602</v>
      </c>
      <c r="D231" s="6" t="s">
        <v>75</v>
      </c>
      <c r="E231" s="6" t="s">
        <v>76</v>
      </c>
      <c r="F231" s="6">
        <v>4663</v>
      </c>
      <c r="G231" s="6">
        <v>145</v>
      </c>
      <c r="H231" s="6">
        <v>225</v>
      </c>
      <c r="I231" s="6">
        <v>69945</v>
      </c>
      <c r="J231" s="6">
        <v>69596</v>
      </c>
      <c r="K231" s="6">
        <v>35</v>
      </c>
      <c r="L231" s="6" t="s">
        <v>52</v>
      </c>
      <c r="M231" s="6" t="s">
        <v>19</v>
      </c>
      <c r="N231" s="14">
        <f>(Posts1116[[#This Row],[Likes]]+Posts1116[[#This Row],[Shares]]+Posts1116[[#This Row],[Comments]])/Posts1116[[#This Row],[Impressions]]</f>
        <v>7.1956537279290869E-2</v>
      </c>
      <c r="O231" t="str">
        <f>_xlfn.XLOOKUP(Posts1116[[#This Row],[Campaign_Name]],Campaign_Metadata[Campaign_Name],Campaign_Metadata[Objective])</f>
        <v>Community Growth</v>
      </c>
      <c r="P231" t="str">
        <f>IF(AND(Posts1116[[#This Row],[Date]]&gt;=DATE(2024,6,15), Posts1116[[#This Row],[Date]]&lt;=DATE(2024,7,15)),"During", "Before")</f>
        <v>Before</v>
      </c>
    </row>
    <row r="232" spans="1:16">
      <c r="A232" s="9" t="s">
        <v>146</v>
      </c>
      <c r="B232" s="5" t="s">
        <v>35</v>
      </c>
      <c r="C232" s="10">
        <v>45603</v>
      </c>
      <c r="D232" s="5" t="s">
        <v>50</v>
      </c>
      <c r="E232" s="5" t="s">
        <v>117</v>
      </c>
      <c r="F232" s="5">
        <v>1121</v>
      </c>
      <c r="G232" s="5">
        <v>135</v>
      </c>
      <c r="H232" s="5">
        <v>18</v>
      </c>
      <c r="I232" s="5">
        <v>15694</v>
      </c>
      <c r="J232" s="5">
        <v>14957</v>
      </c>
      <c r="K232" s="5">
        <v>99</v>
      </c>
      <c r="L232" s="5" t="s">
        <v>43</v>
      </c>
      <c r="M232" s="5" t="s">
        <v>19</v>
      </c>
      <c r="N232" s="13">
        <f>(Posts1116[[#This Row],[Likes]]+Posts1116[[#This Row],[Shares]]+Posts1116[[#This Row],[Comments]])/Posts1116[[#This Row],[Impressions]]</f>
        <v>8.1177520071364848E-2</v>
      </c>
      <c r="O232" t="str">
        <f>_xlfn.XLOOKUP(Posts1116[[#This Row],[Campaign_Name]],Campaign_Metadata[Campaign_Name],Campaign_Metadata[Objective])</f>
        <v>Community Growth</v>
      </c>
      <c r="P232" t="str">
        <f>IF(AND(Posts1116[[#This Row],[Date]]&gt;=DATE(2024,6,15), Posts1116[[#This Row],[Date]]&lt;=DATE(2024,7,15)),"During", "Before")</f>
        <v>Before</v>
      </c>
    </row>
    <row r="233" spans="1:16">
      <c r="A233" s="9" t="s">
        <v>250</v>
      </c>
      <c r="B233" s="5" t="s">
        <v>49</v>
      </c>
      <c r="C233" s="10">
        <v>45603</v>
      </c>
      <c r="D233" s="5" t="s">
        <v>75</v>
      </c>
      <c r="E233" s="5" t="s">
        <v>82</v>
      </c>
      <c r="F233" s="5">
        <v>129</v>
      </c>
      <c r="G233" s="5">
        <v>643</v>
      </c>
      <c r="H233" s="5">
        <v>136</v>
      </c>
      <c r="I233" s="5">
        <v>1290</v>
      </c>
      <c r="J233" s="5">
        <v>839</v>
      </c>
      <c r="K233" s="5">
        <v>238</v>
      </c>
      <c r="L233" s="5" t="s">
        <v>43</v>
      </c>
      <c r="M233" s="5" t="s">
        <v>19</v>
      </c>
      <c r="N233" s="13">
        <f>(Posts1116[[#This Row],[Likes]]+Posts1116[[#This Row],[Shares]]+Posts1116[[#This Row],[Comments]])/Posts1116[[#This Row],[Impressions]]</f>
        <v>0.70387596899224802</v>
      </c>
      <c r="O233" t="str">
        <f>_xlfn.XLOOKUP(Posts1116[[#This Row],[Campaign_Name]],Campaign_Metadata[Campaign_Name],Campaign_Metadata[Objective])</f>
        <v>Community Growth</v>
      </c>
      <c r="P233" t="str">
        <f>IF(AND(Posts1116[[#This Row],[Date]]&gt;=DATE(2024,6,15), Posts1116[[#This Row],[Date]]&lt;=DATE(2024,7,15)),"During", "Before")</f>
        <v>Before</v>
      </c>
    </row>
    <row r="234" spans="1:16">
      <c r="A234" s="9" t="s">
        <v>167</v>
      </c>
      <c r="B234" s="5" t="s">
        <v>49</v>
      </c>
      <c r="C234" s="10">
        <v>45604</v>
      </c>
      <c r="D234" s="5" t="s">
        <v>41</v>
      </c>
      <c r="E234" s="5" t="s">
        <v>97</v>
      </c>
      <c r="F234" s="5">
        <v>3182</v>
      </c>
      <c r="G234" s="5">
        <v>559</v>
      </c>
      <c r="H234" s="5">
        <v>160</v>
      </c>
      <c r="I234" s="5">
        <v>57276</v>
      </c>
      <c r="J234" s="5">
        <v>56890</v>
      </c>
      <c r="K234" s="5">
        <v>163</v>
      </c>
      <c r="L234" s="5" t="s">
        <v>38</v>
      </c>
      <c r="M234" s="5" t="s">
        <v>19</v>
      </c>
      <c r="N234" s="13">
        <f>(Posts1116[[#This Row],[Likes]]+Posts1116[[#This Row],[Shares]]+Posts1116[[#This Row],[Comments]])/Posts1116[[#This Row],[Impressions]]</f>
        <v>6.8108806480899509E-2</v>
      </c>
      <c r="O234" t="str">
        <f>_xlfn.XLOOKUP(Posts1116[[#This Row],[Campaign_Name]],Campaign_Metadata[Campaign_Name],Campaign_Metadata[Objective])</f>
        <v>Community Growth</v>
      </c>
      <c r="P234" t="str">
        <f>IF(AND(Posts1116[[#This Row],[Date]]&gt;=DATE(2024,6,15), Posts1116[[#This Row],[Date]]&lt;=DATE(2024,7,15)),"During", "Before")</f>
        <v>Before</v>
      </c>
    </row>
    <row r="235" spans="1:16">
      <c r="A235" s="9" t="s">
        <v>350</v>
      </c>
      <c r="B235" s="5" t="s">
        <v>35</v>
      </c>
      <c r="C235" s="10">
        <v>45622</v>
      </c>
      <c r="D235" s="5" t="s">
        <v>41</v>
      </c>
      <c r="E235" s="5" t="s">
        <v>42</v>
      </c>
      <c r="F235" s="5">
        <v>4516</v>
      </c>
      <c r="G235" s="5">
        <v>836</v>
      </c>
      <c r="H235" s="5">
        <v>169</v>
      </c>
      <c r="I235" s="5">
        <v>49676</v>
      </c>
      <c r="J235" s="5">
        <v>49257</v>
      </c>
      <c r="K235" s="5">
        <v>282</v>
      </c>
      <c r="L235" s="5" t="s">
        <v>52</v>
      </c>
      <c r="M235" s="5" t="s">
        <v>19</v>
      </c>
      <c r="N235" s="13">
        <f>(Posts1116[[#This Row],[Likes]]+Posts1116[[#This Row],[Shares]]+Posts1116[[#This Row],[Comments]])/Posts1116[[#This Row],[Impressions]]</f>
        <v>0.11114018842096787</v>
      </c>
      <c r="O235" t="str">
        <f>_xlfn.XLOOKUP(Posts1116[[#This Row],[Campaign_Name]],Campaign_Metadata[Campaign_Name],Campaign_Metadata[Objective])</f>
        <v>Community Growth</v>
      </c>
      <c r="P235" t="str">
        <f>IF(AND(Posts1116[[#This Row],[Date]]&gt;=DATE(2024,6,15), Posts1116[[#This Row],[Date]]&lt;=DATE(2024,7,15)),"During", "Before")</f>
        <v>Before</v>
      </c>
    </row>
    <row r="236" spans="1:16">
      <c r="A236" s="9" t="s">
        <v>207</v>
      </c>
      <c r="B236" s="5" t="s">
        <v>55</v>
      </c>
      <c r="C236" s="10">
        <v>45624</v>
      </c>
      <c r="D236" s="5" t="s">
        <v>41</v>
      </c>
      <c r="E236" s="5" t="s">
        <v>64</v>
      </c>
      <c r="F236" s="5">
        <v>4213</v>
      </c>
      <c r="G236" s="5">
        <v>253</v>
      </c>
      <c r="H236" s="5">
        <v>434</v>
      </c>
      <c r="I236" s="5">
        <v>75834</v>
      </c>
      <c r="J236" s="5">
        <v>75437</v>
      </c>
      <c r="K236" s="5">
        <v>272</v>
      </c>
      <c r="L236" s="5" t="s">
        <v>38</v>
      </c>
      <c r="M236" s="5" t="s">
        <v>19</v>
      </c>
      <c r="N236" s="13">
        <f>(Posts1116[[#This Row],[Likes]]+Posts1116[[#This Row],[Shares]]+Posts1116[[#This Row],[Comments]])/Posts1116[[#This Row],[Impressions]]</f>
        <v>6.461481657304112E-2</v>
      </c>
      <c r="O236" t="str">
        <f>_xlfn.XLOOKUP(Posts1116[[#This Row],[Campaign_Name]],Campaign_Metadata[Campaign_Name],Campaign_Metadata[Objective])</f>
        <v>Community Growth</v>
      </c>
      <c r="P236" t="str">
        <f>IF(AND(Posts1116[[#This Row],[Date]]&gt;=DATE(2024,6,15), Posts1116[[#This Row],[Date]]&lt;=DATE(2024,7,15)),"During", "Before")</f>
        <v>Before</v>
      </c>
    </row>
    <row r="237" spans="1:16">
      <c r="A237" s="9" t="s">
        <v>156</v>
      </c>
      <c r="B237" s="5" t="s">
        <v>55</v>
      </c>
      <c r="C237" s="10">
        <v>45635</v>
      </c>
      <c r="D237" s="5" t="s">
        <v>61</v>
      </c>
      <c r="E237" s="5" t="s">
        <v>66</v>
      </c>
      <c r="F237" s="5">
        <v>1841</v>
      </c>
      <c r="G237" s="5">
        <v>851</v>
      </c>
      <c r="H237" s="5">
        <v>342</v>
      </c>
      <c r="I237" s="5">
        <v>34979</v>
      </c>
      <c r="J237" s="5">
        <v>34154</v>
      </c>
      <c r="K237" s="5">
        <v>255</v>
      </c>
      <c r="L237" s="5" t="s">
        <v>38</v>
      </c>
      <c r="M237" s="5" t="s">
        <v>19</v>
      </c>
      <c r="N237" s="13">
        <f>(Posts1116[[#This Row],[Likes]]+Posts1116[[#This Row],[Shares]]+Posts1116[[#This Row],[Comments]])/Posts1116[[#This Row],[Impressions]]</f>
        <v>8.6737756939878216E-2</v>
      </c>
      <c r="O237" t="str">
        <f>_xlfn.XLOOKUP(Posts1116[[#This Row],[Campaign_Name]],Campaign_Metadata[Campaign_Name],Campaign_Metadata[Objective])</f>
        <v>Community Growth</v>
      </c>
      <c r="P237" t="str">
        <f>IF(AND(Posts1116[[#This Row],[Date]]&gt;=DATE(2024,6,15), Posts1116[[#This Row],[Date]]&lt;=DATE(2024,7,15)),"During", "Before")</f>
        <v>Before</v>
      </c>
    </row>
    <row r="238" spans="1:16">
      <c r="A238" s="9" t="s">
        <v>362</v>
      </c>
      <c r="B238" s="5" t="s">
        <v>49</v>
      </c>
      <c r="C238" s="10">
        <v>45646</v>
      </c>
      <c r="D238" s="5" t="s">
        <v>56</v>
      </c>
      <c r="E238" s="5" t="s">
        <v>84</v>
      </c>
      <c r="F238" s="5">
        <v>2107</v>
      </c>
      <c r="G238" s="5">
        <v>550</v>
      </c>
      <c r="H238" s="5">
        <v>349</v>
      </c>
      <c r="I238" s="5">
        <v>35819</v>
      </c>
      <c r="J238" s="5">
        <v>35340</v>
      </c>
      <c r="K238" s="5">
        <v>191</v>
      </c>
      <c r="L238" s="5" t="s">
        <v>52</v>
      </c>
      <c r="M238" s="5" t="s">
        <v>19</v>
      </c>
      <c r="N238" s="13">
        <f>(Posts1116[[#This Row],[Likes]]+Posts1116[[#This Row],[Shares]]+Posts1116[[#This Row],[Comments]])/Posts1116[[#This Row],[Impressions]]</f>
        <v>8.3921940869371006E-2</v>
      </c>
      <c r="O238" t="str">
        <f>_xlfn.XLOOKUP(Posts1116[[#This Row],[Campaign_Name]],Campaign_Metadata[Campaign_Name],Campaign_Metadata[Objective])</f>
        <v>Community Growth</v>
      </c>
      <c r="P238" t="str">
        <f>IF(AND(Posts1116[[#This Row],[Date]]&gt;=DATE(2024,6,15), Posts1116[[#This Row],[Date]]&lt;=DATE(2024,7,15)),"During", "Before")</f>
        <v>Before</v>
      </c>
    </row>
    <row r="239" spans="1:16">
      <c r="A239" s="11" t="s">
        <v>369</v>
      </c>
      <c r="B239" s="6" t="s">
        <v>35</v>
      </c>
      <c r="C239" s="12">
        <v>45650</v>
      </c>
      <c r="D239" s="6" t="s">
        <v>41</v>
      </c>
      <c r="E239" s="6" t="s">
        <v>42</v>
      </c>
      <c r="F239" s="6">
        <v>2166</v>
      </c>
      <c r="G239" s="6">
        <v>354</v>
      </c>
      <c r="H239" s="6">
        <v>117</v>
      </c>
      <c r="I239" s="6">
        <v>10830</v>
      </c>
      <c r="J239" s="6">
        <v>10245</v>
      </c>
      <c r="K239" s="6">
        <v>24</v>
      </c>
      <c r="L239" s="6" t="s">
        <v>52</v>
      </c>
      <c r="M239" s="6" t="s">
        <v>19</v>
      </c>
      <c r="N239" s="14">
        <f>(Posts1116[[#This Row],[Likes]]+Posts1116[[#This Row],[Shares]]+Posts1116[[#This Row],[Comments]])/Posts1116[[#This Row],[Impressions]]</f>
        <v>0.24349030470914126</v>
      </c>
      <c r="O239" t="str">
        <f>_xlfn.XLOOKUP(Posts1116[[#This Row],[Campaign_Name]],Campaign_Metadata[Campaign_Name],Campaign_Metadata[Objective])</f>
        <v>Community Growth</v>
      </c>
      <c r="P239" t="str">
        <f>IF(AND(Posts1116[[#This Row],[Date]]&gt;=DATE(2024,6,15), Posts1116[[#This Row],[Date]]&lt;=DATE(2024,7,15)),"During", "Before")</f>
        <v>Before</v>
      </c>
    </row>
    <row r="240" spans="1:16">
      <c r="A240" s="9" t="s">
        <v>346</v>
      </c>
      <c r="B240" s="5" t="s">
        <v>35</v>
      </c>
      <c r="C240" s="10">
        <v>45658</v>
      </c>
      <c r="D240" s="5" t="s">
        <v>56</v>
      </c>
      <c r="E240" s="5" t="s">
        <v>59</v>
      </c>
      <c r="F240" s="5">
        <v>3535</v>
      </c>
      <c r="G240" s="5">
        <v>494</v>
      </c>
      <c r="H240" s="5">
        <v>152</v>
      </c>
      <c r="I240" s="5">
        <v>53025</v>
      </c>
      <c r="J240" s="5">
        <v>52791</v>
      </c>
      <c r="K240" s="5">
        <v>44</v>
      </c>
      <c r="L240" s="5" t="s">
        <v>43</v>
      </c>
      <c r="M240" s="5" t="s">
        <v>19</v>
      </c>
      <c r="N240" s="13">
        <f>(Posts1116[[#This Row],[Likes]]+Posts1116[[#This Row],[Shares]]+Posts1116[[#This Row],[Comments]])/Posts1116[[#This Row],[Impressions]]</f>
        <v>7.8849599245638849E-2</v>
      </c>
      <c r="O240" t="str">
        <f>_xlfn.XLOOKUP(Posts1116[[#This Row],[Campaign_Name]],Campaign_Metadata[Campaign_Name],Campaign_Metadata[Objective])</f>
        <v>Community Growth</v>
      </c>
      <c r="P240" t="str">
        <f>IF(AND(Posts1116[[#This Row],[Date]]&gt;=DATE(2024,6,15), Posts1116[[#This Row],[Date]]&lt;=DATE(2024,7,15)),"During", "Before")</f>
        <v>Before</v>
      </c>
    </row>
    <row r="241" spans="1:16">
      <c r="A241" s="11" t="s">
        <v>122</v>
      </c>
      <c r="B241" s="6" t="s">
        <v>55</v>
      </c>
      <c r="C241" s="12">
        <v>45660</v>
      </c>
      <c r="D241" s="6" t="s">
        <v>61</v>
      </c>
      <c r="E241" s="6" t="s">
        <v>66</v>
      </c>
      <c r="F241" s="6">
        <v>947</v>
      </c>
      <c r="G241" s="6">
        <v>338</v>
      </c>
      <c r="H241" s="6">
        <v>350</v>
      </c>
      <c r="I241" s="6">
        <v>10417</v>
      </c>
      <c r="J241" s="6">
        <v>9730</v>
      </c>
      <c r="K241" s="6">
        <v>34</v>
      </c>
      <c r="L241" s="6" t="s">
        <v>43</v>
      </c>
      <c r="M241" s="6" t="s">
        <v>19</v>
      </c>
      <c r="N241" s="14">
        <f>(Posts1116[[#This Row],[Likes]]+Posts1116[[#This Row],[Shares]]+Posts1116[[#This Row],[Comments]])/Posts1116[[#This Row],[Impressions]]</f>
        <v>0.1569549774407219</v>
      </c>
      <c r="O241" t="str">
        <f>_xlfn.XLOOKUP(Posts1116[[#This Row],[Campaign_Name]],Campaign_Metadata[Campaign_Name],Campaign_Metadata[Objective])</f>
        <v>Community Growth</v>
      </c>
      <c r="P241" t="str">
        <f>IF(AND(Posts1116[[#This Row],[Date]]&gt;=DATE(2024,6,15), Posts1116[[#This Row],[Date]]&lt;=DATE(2024,7,15)),"During", "Before")</f>
        <v>Before</v>
      </c>
    </row>
    <row r="242" spans="1:16">
      <c r="A242" s="11" t="s">
        <v>85</v>
      </c>
      <c r="B242" s="6" t="s">
        <v>49</v>
      </c>
      <c r="C242" s="12">
        <v>45661</v>
      </c>
      <c r="D242" s="6" t="s">
        <v>36</v>
      </c>
      <c r="E242" s="6" t="s">
        <v>80</v>
      </c>
      <c r="F242" s="6">
        <v>4838</v>
      </c>
      <c r="G242" s="6">
        <v>640</v>
      </c>
      <c r="H242" s="6">
        <v>128</v>
      </c>
      <c r="I242" s="6">
        <v>72570</v>
      </c>
      <c r="J242" s="6">
        <v>72396</v>
      </c>
      <c r="K242" s="6">
        <v>83</v>
      </c>
      <c r="L242" s="6" t="s">
        <v>38</v>
      </c>
      <c r="M242" s="6" t="s">
        <v>19</v>
      </c>
      <c r="N242" s="14">
        <f>(Posts1116[[#This Row],[Likes]]+Posts1116[[#This Row],[Shares]]+Posts1116[[#This Row],[Comments]])/Posts1116[[#This Row],[Impressions]]</f>
        <v>7.7249552156538517E-2</v>
      </c>
      <c r="O242" t="str">
        <f>_xlfn.XLOOKUP(Posts1116[[#This Row],[Campaign_Name]],Campaign_Metadata[Campaign_Name],Campaign_Metadata[Objective])</f>
        <v>Community Growth</v>
      </c>
      <c r="P242" t="str">
        <f>IF(AND(Posts1116[[#This Row],[Date]]&gt;=DATE(2024,6,15), Posts1116[[#This Row],[Date]]&lt;=DATE(2024,7,15)),"During", "Before")</f>
        <v>Before</v>
      </c>
    </row>
    <row r="243" spans="1:16">
      <c r="A243" s="11" t="s">
        <v>247</v>
      </c>
      <c r="B243" s="6" t="s">
        <v>49</v>
      </c>
      <c r="C243" s="12">
        <v>45674</v>
      </c>
      <c r="D243" s="6" t="s">
        <v>36</v>
      </c>
      <c r="E243" s="6" t="s">
        <v>80</v>
      </c>
      <c r="F243" s="6">
        <v>142</v>
      </c>
      <c r="G243" s="6">
        <v>784</v>
      </c>
      <c r="H243" s="6">
        <v>183</v>
      </c>
      <c r="I243" s="6">
        <v>1704</v>
      </c>
      <c r="J243" s="6">
        <v>995</v>
      </c>
      <c r="K243" s="6">
        <v>154</v>
      </c>
      <c r="L243" s="6" t="s">
        <v>38</v>
      </c>
      <c r="M243" s="6" t="s">
        <v>19</v>
      </c>
      <c r="N243" s="14">
        <f>(Posts1116[[#This Row],[Likes]]+Posts1116[[#This Row],[Shares]]+Posts1116[[#This Row],[Comments]])/Posts1116[[#This Row],[Impressions]]</f>
        <v>0.6508215962441315</v>
      </c>
      <c r="O243" t="str">
        <f>_xlfn.XLOOKUP(Posts1116[[#This Row],[Campaign_Name]],Campaign_Metadata[Campaign_Name],Campaign_Metadata[Objective])</f>
        <v>Community Growth</v>
      </c>
      <c r="P243" t="str">
        <f>IF(AND(Posts1116[[#This Row],[Date]]&gt;=DATE(2024,6,15), Posts1116[[#This Row],[Date]]&lt;=DATE(2024,7,15)),"During", "Before")</f>
        <v>Before</v>
      </c>
    </row>
    <row r="244" spans="1:16">
      <c r="A244" s="11" t="s">
        <v>313</v>
      </c>
      <c r="B244" s="6" t="s">
        <v>55</v>
      </c>
      <c r="C244" s="12">
        <v>45675</v>
      </c>
      <c r="D244" s="6" t="s">
        <v>50</v>
      </c>
      <c r="E244" s="6" t="s">
        <v>73</v>
      </c>
      <c r="F244" s="6">
        <v>4321</v>
      </c>
      <c r="G244" s="6">
        <v>874</v>
      </c>
      <c r="H244" s="6">
        <v>172</v>
      </c>
      <c r="I244" s="6">
        <v>30247</v>
      </c>
      <c r="J244" s="6">
        <v>29254</v>
      </c>
      <c r="K244" s="6">
        <v>122</v>
      </c>
      <c r="L244" s="6" t="s">
        <v>43</v>
      </c>
      <c r="M244" s="6" t="s">
        <v>19</v>
      </c>
      <c r="N244" s="14">
        <f>(Posts1116[[#This Row],[Likes]]+Posts1116[[#This Row],[Shares]]+Posts1116[[#This Row],[Comments]])/Posts1116[[#This Row],[Impressions]]</f>
        <v>0.17743908486792079</v>
      </c>
      <c r="O244" t="str">
        <f>_xlfn.XLOOKUP(Posts1116[[#This Row],[Campaign_Name]],Campaign_Metadata[Campaign_Name],Campaign_Metadata[Objective])</f>
        <v>Community Growth</v>
      </c>
      <c r="P244" t="str">
        <f>IF(AND(Posts1116[[#This Row],[Date]]&gt;=DATE(2024,6,15), Posts1116[[#This Row],[Date]]&lt;=DATE(2024,7,15)),"During", "Before")</f>
        <v>Before</v>
      </c>
    </row>
    <row r="245" spans="1:16">
      <c r="A245" s="9" t="s">
        <v>158</v>
      </c>
      <c r="B245" s="5" t="s">
        <v>46</v>
      </c>
      <c r="C245" s="10">
        <v>45684</v>
      </c>
      <c r="D245" s="5" t="s">
        <v>41</v>
      </c>
      <c r="E245" s="5" t="s">
        <v>92</v>
      </c>
      <c r="F245" s="5">
        <v>3428</v>
      </c>
      <c r="G245" s="5">
        <v>305</v>
      </c>
      <c r="H245" s="5">
        <v>85</v>
      </c>
      <c r="I245" s="5">
        <v>58276</v>
      </c>
      <c r="J245" s="5">
        <v>58052</v>
      </c>
      <c r="K245" s="5">
        <v>242</v>
      </c>
      <c r="L245" s="5" t="s">
        <v>52</v>
      </c>
      <c r="M245" s="5" t="s">
        <v>19</v>
      </c>
      <c r="N245" s="13">
        <f>(Posts1116[[#This Row],[Likes]]+Posts1116[[#This Row],[Shares]]+Posts1116[[#This Row],[Comments]])/Posts1116[[#This Row],[Impressions]]</f>
        <v>6.5515821264328367E-2</v>
      </c>
      <c r="O245" t="str">
        <f>_xlfn.XLOOKUP(Posts1116[[#This Row],[Campaign_Name]],Campaign_Metadata[Campaign_Name],Campaign_Metadata[Objective])</f>
        <v>Community Growth</v>
      </c>
      <c r="P245" t="str">
        <f>IF(AND(Posts1116[[#This Row],[Date]]&gt;=DATE(2024,6,15), Posts1116[[#This Row],[Date]]&lt;=DATE(2024,7,15)),"During", "Before")</f>
        <v>Before</v>
      </c>
    </row>
    <row r="246" spans="1:16">
      <c r="A246" s="11" t="s">
        <v>158</v>
      </c>
      <c r="B246" s="6" t="s">
        <v>46</v>
      </c>
      <c r="C246" s="12">
        <v>45684</v>
      </c>
      <c r="D246" s="6" t="s">
        <v>41</v>
      </c>
      <c r="E246" s="6" t="s">
        <v>92</v>
      </c>
      <c r="F246" s="6">
        <v>3428</v>
      </c>
      <c r="G246" s="6">
        <v>305</v>
      </c>
      <c r="H246" s="6">
        <v>85</v>
      </c>
      <c r="I246" s="6">
        <v>58276</v>
      </c>
      <c r="J246" s="6">
        <v>58052</v>
      </c>
      <c r="K246" s="6">
        <v>242</v>
      </c>
      <c r="L246" s="6" t="s">
        <v>44</v>
      </c>
      <c r="M246" s="6" t="s">
        <v>19</v>
      </c>
      <c r="N246" s="14">
        <f>(Posts1116[[#This Row],[Likes]]+Posts1116[[#This Row],[Shares]]+Posts1116[[#This Row],[Comments]])/Posts1116[[#This Row],[Impressions]]</f>
        <v>6.5515821264328367E-2</v>
      </c>
      <c r="O246" t="str">
        <f>_xlfn.XLOOKUP(Posts1116[[#This Row],[Campaign_Name]],Campaign_Metadata[Campaign_Name],Campaign_Metadata[Objective])</f>
        <v>Community Growth</v>
      </c>
      <c r="P246" t="str">
        <f>IF(AND(Posts1116[[#This Row],[Date]]&gt;=DATE(2024,6,15), Posts1116[[#This Row],[Date]]&lt;=DATE(2024,7,15)),"During", "Before")</f>
        <v>Before</v>
      </c>
    </row>
    <row r="247" spans="1:16">
      <c r="A247" s="9" t="s">
        <v>291</v>
      </c>
      <c r="B247" s="5" t="s">
        <v>35</v>
      </c>
      <c r="C247" s="10">
        <v>45685</v>
      </c>
      <c r="D247" s="5" t="s">
        <v>36</v>
      </c>
      <c r="E247" s="5" t="s">
        <v>37</v>
      </c>
      <c r="F247" s="5">
        <v>1188</v>
      </c>
      <c r="G247" s="5">
        <v>470</v>
      </c>
      <c r="H247" s="5">
        <v>174</v>
      </c>
      <c r="I247" s="5">
        <v>7128</v>
      </c>
      <c r="J247" s="5">
        <v>6145</v>
      </c>
      <c r="K247" s="5">
        <v>270</v>
      </c>
      <c r="L247" s="5" t="s">
        <v>43</v>
      </c>
      <c r="M247" s="5" t="s">
        <v>19</v>
      </c>
      <c r="N247" s="13">
        <f>(Posts1116[[#This Row],[Likes]]+Posts1116[[#This Row],[Shares]]+Posts1116[[#This Row],[Comments]])/Posts1116[[#This Row],[Impressions]]</f>
        <v>0.25701459034792368</v>
      </c>
      <c r="O247" t="str">
        <f>_xlfn.XLOOKUP(Posts1116[[#This Row],[Campaign_Name]],Campaign_Metadata[Campaign_Name],Campaign_Metadata[Objective])</f>
        <v>Community Growth</v>
      </c>
      <c r="P247" t="str">
        <f>IF(AND(Posts1116[[#This Row],[Date]]&gt;=DATE(2024,6,15), Posts1116[[#This Row],[Date]]&lt;=DATE(2024,7,15)),"During", "Before")</f>
        <v>Before</v>
      </c>
    </row>
    <row r="248" spans="1:16">
      <c r="A248" s="11" t="s">
        <v>67</v>
      </c>
      <c r="B248" s="6" t="s">
        <v>49</v>
      </c>
      <c r="C248" s="12">
        <v>45690</v>
      </c>
      <c r="D248" s="6" t="s">
        <v>50</v>
      </c>
      <c r="E248" s="6" t="s">
        <v>51</v>
      </c>
      <c r="F248" s="6">
        <v>1792</v>
      </c>
      <c r="G248" s="6">
        <v>614</v>
      </c>
      <c r="H248" s="6">
        <v>497</v>
      </c>
      <c r="I248" s="6">
        <v>25088</v>
      </c>
      <c r="J248" s="6">
        <v>24675</v>
      </c>
      <c r="K248" s="6">
        <v>65</v>
      </c>
      <c r="L248" s="6" t="s">
        <v>38</v>
      </c>
      <c r="M248" s="6" t="s">
        <v>19</v>
      </c>
      <c r="N248" s="14">
        <f>(Posts1116[[#This Row],[Likes]]+Posts1116[[#This Row],[Shares]]+Posts1116[[#This Row],[Comments]])/Posts1116[[#This Row],[Impressions]]</f>
        <v>0.11571269132653061</v>
      </c>
      <c r="O248" t="str">
        <f>_xlfn.XLOOKUP(Posts1116[[#This Row],[Campaign_Name]],Campaign_Metadata[Campaign_Name],Campaign_Metadata[Objective])</f>
        <v>Community Growth</v>
      </c>
      <c r="P248" t="str">
        <f>IF(AND(Posts1116[[#This Row],[Date]]&gt;=DATE(2024,6,15), Posts1116[[#This Row],[Date]]&lt;=DATE(2024,7,15)),"During", "Before")</f>
        <v>Before</v>
      </c>
    </row>
    <row r="249" spans="1:16">
      <c r="A249" s="9" t="s">
        <v>178</v>
      </c>
      <c r="B249" s="5" t="s">
        <v>49</v>
      </c>
      <c r="C249" s="10">
        <v>45692</v>
      </c>
      <c r="D249" s="5" t="s">
        <v>61</v>
      </c>
      <c r="E249" s="5" t="s">
        <v>153</v>
      </c>
      <c r="F249" s="5">
        <v>4619</v>
      </c>
      <c r="G249" s="5">
        <v>821</v>
      </c>
      <c r="H249" s="5">
        <v>499</v>
      </c>
      <c r="I249" s="5">
        <v>69285</v>
      </c>
      <c r="J249" s="5">
        <v>69141</v>
      </c>
      <c r="K249" s="5">
        <v>298</v>
      </c>
      <c r="L249" s="5" t="s">
        <v>43</v>
      </c>
      <c r="M249" s="5" t="s">
        <v>19</v>
      </c>
      <c r="N249" s="13">
        <f>(Posts1116[[#This Row],[Likes]]+Posts1116[[#This Row],[Shares]]+Posts1116[[#This Row],[Comments]])/Posts1116[[#This Row],[Impressions]]</f>
        <v>8.5718409468138843E-2</v>
      </c>
      <c r="O249" t="str">
        <f>_xlfn.XLOOKUP(Posts1116[[#This Row],[Campaign_Name]],Campaign_Metadata[Campaign_Name],Campaign_Metadata[Objective])</f>
        <v>Community Growth</v>
      </c>
      <c r="P249" t="str">
        <f>IF(AND(Posts1116[[#This Row],[Date]]&gt;=DATE(2024,6,15), Posts1116[[#This Row],[Date]]&lt;=DATE(2024,7,15)),"During", "Before")</f>
        <v>Before</v>
      </c>
    </row>
    <row r="250" spans="1:16">
      <c r="A250" s="9" t="s">
        <v>205</v>
      </c>
      <c r="B250" s="5" t="s">
        <v>55</v>
      </c>
      <c r="C250" s="10">
        <v>45694</v>
      </c>
      <c r="D250" s="5" t="s">
        <v>61</v>
      </c>
      <c r="E250" s="5" t="s">
        <v>66</v>
      </c>
      <c r="F250" s="5">
        <v>2072</v>
      </c>
      <c r="G250" s="5">
        <v>532</v>
      </c>
      <c r="H250" s="5">
        <v>71</v>
      </c>
      <c r="I250" s="5">
        <v>37296</v>
      </c>
      <c r="J250" s="5">
        <v>36467</v>
      </c>
      <c r="K250" s="5">
        <v>25</v>
      </c>
      <c r="L250" s="5" t="s">
        <v>43</v>
      </c>
      <c r="M250" s="5" t="s">
        <v>19</v>
      </c>
      <c r="N250" s="13">
        <f>(Posts1116[[#This Row],[Likes]]+Posts1116[[#This Row],[Shares]]+Posts1116[[#This Row],[Comments]])/Posts1116[[#This Row],[Impressions]]</f>
        <v>7.172350922350923E-2</v>
      </c>
      <c r="O250" t="str">
        <f>_xlfn.XLOOKUP(Posts1116[[#This Row],[Campaign_Name]],Campaign_Metadata[Campaign_Name],Campaign_Metadata[Objective])</f>
        <v>Community Growth</v>
      </c>
      <c r="P250" t="str">
        <f>IF(AND(Posts1116[[#This Row],[Date]]&gt;=DATE(2024,6,15), Posts1116[[#This Row],[Date]]&lt;=DATE(2024,7,15)),"During", "Before")</f>
        <v>Before</v>
      </c>
    </row>
    <row r="251" spans="1:16">
      <c r="A251" s="11" t="s">
        <v>368</v>
      </c>
      <c r="B251" s="6" t="s">
        <v>35</v>
      </c>
      <c r="C251" s="12">
        <v>45699</v>
      </c>
      <c r="D251" s="6" t="s">
        <v>75</v>
      </c>
      <c r="E251" s="6" t="s">
        <v>114</v>
      </c>
      <c r="F251" s="6">
        <v>3440</v>
      </c>
      <c r="G251" s="6">
        <v>13</v>
      </c>
      <c r="H251" s="6">
        <v>20</v>
      </c>
      <c r="I251" s="6">
        <v>58480</v>
      </c>
      <c r="J251" s="6">
        <v>58146</v>
      </c>
      <c r="K251" s="6">
        <v>210</v>
      </c>
      <c r="L251" s="6" t="s">
        <v>43</v>
      </c>
      <c r="M251" s="6" t="s">
        <v>19</v>
      </c>
      <c r="N251" s="14">
        <f>(Posts1116[[#This Row],[Likes]]+Posts1116[[#This Row],[Shares]]+Posts1116[[#This Row],[Comments]])/Posts1116[[#This Row],[Impressions]]</f>
        <v>5.9387824897400819E-2</v>
      </c>
      <c r="O251" t="str">
        <f>_xlfn.XLOOKUP(Posts1116[[#This Row],[Campaign_Name]],Campaign_Metadata[Campaign_Name],Campaign_Metadata[Objective])</f>
        <v>Community Growth</v>
      </c>
      <c r="P251" t="str">
        <f>IF(AND(Posts1116[[#This Row],[Date]]&gt;=DATE(2024,6,15), Posts1116[[#This Row],[Date]]&lt;=DATE(2024,7,15)),"During", "Before")</f>
        <v>Before</v>
      </c>
    </row>
    <row r="252" spans="1:16">
      <c r="A252" s="9" t="s">
        <v>368</v>
      </c>
      <c r="B252" s="5" t="s">
        <v>35</v>
      </c>
      <c r="C252" s="10">
        <v>45699</v>
      </c>
      <c r="D252" s="5" t="s">
        <v>75</v>
      </c>
      <c r="E252" s="5" t="s">
        <v>114</v>
      </c>
      <c r="F252" s="5">
        <v>3440</v>
      </c>
      <c r="G252" s="5">
        <v>13</v>
      </c>
      <c r="H252" s="5">
        <v>20</v>
      </c>
      <c r="I252" s="5">
        <v>58480</v>
      </c>
      <c r="J252" s="5">
        <v>58146</v>
      </c>
      <c r="K252" s="5">
        <v>210</v>
      </c>
      <c r="L252" s="5" t="s">
        <v>18</v>
      </c>
      <c r="M252" s="5" t="s">
        <v>19</v>
      </c>
      <c r="N252" s="13">
        <f>(Posts1116[[#This Row],[Likes]]+Posts1116[[#This Row],[Shares]]+Posts1116[[#This Row],[Comments]])/Posts1116[[#This Row],[Impressions]]</f>
        <v>5.9387824897400819E-2</v>
      </c>
      <c r="O252" t="str">
        <f>_xlfn.XLOOKUP(Posts1116[[#This Row],[Campaign_Name]],Campaign_Metadata[Campaign_Name],Campaign_Metadata[Objective])</f>
        <v>Community Growth</v>
      </c>
      <c r="P252" t="str">
        <f>IF(AND(Posts1116[[#This Row],[Date]]&gt;=DATE(2024,6,15), Posts1116[[#This Row],[Date]]&lt;=DATE(2024,7,15)),"During", "Before")</f>
        <v>Before</v>
      </c>
    </row>
    <row r="253" spans="1:16">
      <c r="A253" s="11" t="s">
        <v>104</v>
      </c>
      <c r="B253" s="6" t="s">
        <v>46</v>
      </c>
      <c r="C253" s="12">
        <v>45705</v>
      </c>
      <c r="D253" s="6" t="s">
        <v>36</v>
      </c>
      <c r="E253" s="6" t="s">
        <v>47</v>
      </c>
      <c r="F253" s="6">
        <v>3138</v>
      </c>
      <c r="G253" s="6">
        <v>123</v>
      </c>
      <c r="H253" s="6">
        <v>291</v>
      </c>
      <c r="I253" s="6">
        <v>28242</v>
      </c>
      <c r="J253" s="6">
        <v>27550</v>
      </c>
      <c r="K253" s="6">
        <v>87</v>
      </c>
      <c r="L253" s="6" t="s">
        <v>43</v>
      </c>
      <c r="M253" s="6" t="s">
        <v>19</v>
      </c>
      <c r="N253" s="14">
        <f>(Posts1116[[#This Row],[Likes]]+Posts1116[[#This Row],[Shares]]+Posts1116[[#This Row],[Comments]])/Posts1116[[#This Row],[Impressions]]</f>
        <v>0.12577012959422137</v>
      </c>
      <c r="O253" t="str">
        <f>_xlfn.XLOOKUP(Posts1116[[#This Row],[Campaign_Name]],Campaign_Metadata[Campaign_Name],Campaign_Metadata[Objective])</f>
        <v>Community Growth</v>
      </c>
      <c r="P253" t="str">
        <f>IF(AND(Posts1116[[#This Row],[Date]]&gt;=DATE(2024,6,15), Posts1116[[#This Row],[Date]]&lt;=DATE(2024,7,15)),"During", "Before")</f>
        <v>Before</v>
      </c>
    </row>
    <row r="254" spans="1:16">
      <c r="A254" s="9" t="s">
        <v>233</v>
      </c>
      <c r="B254" s="5" t="s">
        <v>35</v>
      </c>
      <c r="C254" s="10">
        <v>45707</v>
      </c>
      <c r="D254" s="5" t="s">
        <v>41</v>
      </c>
      <c r="E254" s="5" t="s">
        <v>42</v>
      </c>
      <c r="F254" s="5">
        <v>4671</v>
      </c>
      <c r="G254" s="5">
        <v>876</v>
      </c>
      <c r="H254" s="5">
        <v>366</v>
      </c>
      <c r="I254" s="5">
        <v>51381</v>
      </c>
      <c r="J254" s="5">
        <v>50565</v>
      </c>
      <c r="K254" s="5">
        <v>245</v>
      </c>
      <c r="L254" s="5" t="s">
        <v>43</v>
      </c>
      <c r="M254" s="5" t="s">
        <v>19</v>
      </c>
      <c r="N254" s="13">
        <f>(Posts1116[[#This Row],[Likes]]+Posts1116[[#This Row],[Shares]]+Posts1116[[#This Row],[Comments]])/Posts1116[[#This Row],[Impressions]]</f>
        <v>0.11508145034156594</v>
      </c>
      <c r="O254" t="str">
        <f>_xlfn.XLOOKUP(Posts1116[[#This Row],[Campaign_Name]],Campaign_Metadata[Campaign_Name],Campaign_Metadata[Objective])</f>
        <v>Community Growth</v>
      </c>
      <c r="P254" t="str">
        <f>IF(AND(Posts1116[[#This Row],[Date]]&gt;=DATE(2024,6,15), Posts1116[[#This Row],[Date]]&lt;=DATE(2024,7,15)),"During", "Before")</f>
        <v>Before</v>
      </c>
    </row>
    <row r="255" spans="1:16">
      <c r="A255" s="11" t="s">
        <v>337</v>
      </c>
      <c r="B255" s="6" t="s">
        <v>35</v>
      </c>
      <c r="C255" s="12">
        <v>45708</v>
      </c>
      <c r="D255" s="6" t="s">
        <v>56</v>
      </c>
      <c r="E255" s="6" t="s">
        <v>59</v>
      </c>
      <c r="F255" s="6">
        <v>1877</v>
      </c>
      <c r="G255" s="6">
        <v>745</v>
      </c>
      <c r="H255" s="6">
        <v>225</v>
      </c>
      <c r="I255" s="6">
        <v>11262</v>
      </c>
      <c r="J255" s="6">
        <v>10967</v>
      </c>
      <c r="K255" s="6">
        <v>41</v>
      </c>
      <c r="L255" s="6" t="s">
        <v>52</v>
      </c>
      <c r="M255" s="6" t="s">
        <v>19</v>
      </c>
      <c r="N255" s="14">
        <f>(Posts1116[[#This Row],[Likes]]+Posts1116[[#This Row],[Shares]]+Posts1116[[#This Row],[Comments]])/Posts1116[[#This Row],[Impressions]]</f>
        <v>0.25279701651571657</v>
      </c>
      <c r="O255" t="str">
        <f>_xlfn.XLOOKUP(Posts1116[[#This Row],[Campaign_Name]],Campaign_Metadata[Campaign_Name],Campaign_Metadata[Objective])</f>
        <v>Community Growth</v>
      </c>
      <c r="P255" t="str">
        <f>IF(AND(Posts1116[[#This Row],[Date]]&gt;=DATE(2024,6,15), Posts1116[[#This Row],[Date]]&lt;=DATE(2024,7,15)),"During", "Before")</f>
        <v>Before</v>
      </c>
    </row>
    <row r="256" spans="1:16">
      <c r="A256" s="9" t="s">
        <v>86</v>
      </c>
      <c r="B256" s="5" t="s">
        <v>55</v>
      </c>
      <c r="C256" s="10">
        <v>45715</v>
      </c>
      <c r="D256" s="5" t="s">
        <v>41</v>
      </c>
      <c r="E256" s="5" t="s">
        <v>64</v>
      </c>
      <c r="F256" s="5">
        <v>1570</v>
      </c>
      <c r="G256" s="5">
        <v>187</v>
      </c>
      <c r="H256" s="5">
        <v>260</v>
      </c>
      <c r="I256" s="5">
        <v>25120</v>
      </c>
      <c r="J256" s="5">
        <v>24613</v>
      </c>
      <c r="K256" s="5">
        <v>133</v>
      </c>
      <c r="L256" s="5" t="s">
        <v>43</v>
      </c>
      <c r="M256" s="5" t="s">
        <v>19</v>
      </c>
      <c r="N256" s="13">
        <f>(Posts1116[[#This Row],[Likes]]+Posts1116[[#This Row],[Shares]]+Posts1116[[#This Row],[Comments]])/Posts1116[[#This Row],[Impressions]]</f>
        <v>8.0294585987261149E-2</v>
      </c>
      <c r="O256" t="str">
        <f>_xlfn.XLOOKUP(Posts1116[[#This Row],[Campaign_Name]],Campaign_Metadata[Campaign_Name],Campaign_Metadata[Objective])</f>
        <v>Community Growth</v>
      </c>
      <c r="P256" t="str">
        <f>IF(AND(Posts1116[[#This Row],[Date]]&gt;=DATE(2024,6,15), Posts1116[[#This Row],[Date]]&lt;=DATE(2024,7,15)),"During", "Before")</f>
        <v>Before</v>
      </c>
    </row>
    <row r="257" spans="1:16">
      <c r="A257" s="11" t="s">
        <v>236</v>
      </c>
      <c r="B257" s="6" t="s">
        <v>46</v>
      </c>
      <c r="C257" s="12">
        <v>45715</v>
      </c>
      <c r="D257" s="6" t="s">
        <v>41</v>
      </c>
      <c r="E257" s="6" t="s">
        <v>92</v>
      </c>
      <c r="F257" s="6">
        <v>4934</v>
      </c>
      <c r="G257" s="6">
        <v>971</v>
      </c>
      <c r="H257" s="6">
        <v>156</v>
      </c>
      <c r="I257" s="6">
        <v>39472</v>
      </c>
      <c r="J257" s="6">
        <v>39025</v>
      </c>
      <c r="K257" s="6">
        <v>169</v>
      </c>
      <c r="L257" s="6" t="s">
        <v>43</v>
      </c>
      <c r="M257" s="6" t="s">
        <v>19</v>
      </c>
      <c r="N257" s="14">
        <f>(Posts1116[[#This Row],[Likes]]+Posts1116[[#This Row],[Shares]]+Posts1116[[#This Row],[Comments]])/Posts1116[[#This Row],[Impressions]]</f>
        <v>0.15355188488042157</v>
      </c>
      <c r="O257" t="str">
        <f>_xlfn.XLOOKUP(Posts1116[[#This Row],[Campaign_Name]],Campaign_Metadata[Campaign_Name],Campaign_Metadata[Objective])</f>
        <v>Community Growth</v>
      </c>
      <c r="P257" t="str">
        <f>IF(AND(Posts1116[[#This Row],[Date]]&gt;=DATE(2024,6,15), Posts1116[[#This Row],[Date]]&lt;=DATE(2024,7,15)),"During", "Before")</f>
        <v>Before</v>
      </c>
    </row>
    <row r="258" spans="1:16">
      <c r="A258" s="9" t="s">
        <v>236</v>
      </c>
      <c r="B258" s="5" t="s">
        <v>46</v>
      </c>
      <c r="C258" s="10">
        <v>45715</v>
      </c>
      <c r="D258" s="5" t="s">
        <v>41</v>
      </c>
      <c r="E258" s="5" t="s">
        <v>92</v>
      </c>
      <c r="F258" s="5">
        <v>4934</v>
      </c>
      <c r="G258" s="5">
        <v>971</v>
      </c>
      <c r="H258" s="5">
        <v>156</v>
      </c>
      <c r="I258" s="5">
        <v>39472</v>
      </c>
      <c r="J258" s="5">
        <v>39025</v>
      </c>
      <c r="K258" s="5">
        <v>169</v>
      </c>
      <c r="L258" s="5" t="s">
        <v>39</v>
      </c>
      <c r="M258" s="5" t="s">
        <v>19</v>
      </c>
      <c r="N258" s="13">
        <f>(Posts1116[[#This Row],[Likes]]+Posts1116[[#This Row],[Shares]]+Posts1116[[#This Row],[Comments]])/Posts1116[[#This Row],[Impressions]]</f>
        <v>0.15355188488042157</v>
      </c>
      <c r="O258" t="str">
        <f>_xlfn.XLOOKUP(Posts1116[[#This Row],[Campaign_Name]],Campaign_Metadata[Campaign_Name],Campaign_Metadata[Objective])</f>
        <v>Community Growth</v>
      </c>
      <c r="P258" t="str">
        <f>IF(AND(Posts1116[[#This Row],[Date]]&gt;=DATE(2024,6,15), Posts1116[[#This Row],[Date]]&lt;=DATE(2024,7,15)),"During", "Before")</f>
        <v>Before</v>
      </c>
    </row>
    <row r="259" spans="1:16">
      <c r="A259" s="11" t="s">
        <v>93</v>
      </c>
      <c r="B259" s="6" t="s">
        <v>49</v>
      </c>
      <c r="C259" s="12">
        <v>45720</v>
      </c>
      <c r="D259" s="6" t="s">
        <v>75</v>
      </c>
      <c r="E259" s="6" t="s">
        <v>82</v>
      </c>
      <c r="F259" s="6">
        <v>432</v>
      </c>
      <c r="G259" s="6">
        <v>624</v>
      </c>
      <c r="H259" s="6">
        <v>123</v>
      </c>
      <c r="I259" s="6">
        <v>6912</v>
      </c>
      <c r="J259" s="6">
        <v>6259</v>
      </c>
      <c r="K259" s="6">
        <v>79</v>
      </c>
      <c r="L259" s="6" t="s">
        <v>38</v>
      </c>
      <c r="M259" s="6" t="s">
        <v>19</v>
      </c>
      <c r="N259" s="14">
        <f>(Posts1116[[#This Row],[Likes]]+Posts1116[[#This Row],[Shares]]+Posts1116[[#This Row],[Comments]])/Posts1116[[#This Row],[Impressions]]</f>
        <v>0.17057291666666666</v>
      </c>
      <c r="O259" t="str">
        <f>_xlfn.XLOOKUP(Posts1116[[#This Row],[Campaign_Name]],Campaign_Metadata[Campaign_Name],Campaign_Metadata[Objective])</f>
        <v>Community Growth</v>
      </c>
      <c r="P259" t="str">
        <f>IF(AND(Posts1116[[#This Row],[Date]]&gt;=DATE(2024,6,15), Posts1116[[#This Row],[Date]]&lt;=DATE(2024,7,15)),"During", "Before")</f>
        <v>Before</v>
      </c>
    </row>
    <row r="260" spans="1:16">
      <c r="A260" s="11" t="s">
        <v>315</v>
      </c>
      <c r="B260" s="6" t="s">
        <v>35</v>
      </c>
      <c r="C260" s="12">
        <v>45722</v>
      </c>
      <c r="D260" s="6" t="s">
        <v>61</v>
      </c>
      <c r="E260" s="6" t="s">
        <v>107</v>
      </c>
      <c r="F260" s="6">
        <v>3592</v>
      </c>
      <c r="G260" s="6">
        <v>911</v>
      </c>
      <c r="H260" s="6">
        <v>375</v>
      </c>
      <c r="I260" s="6">
        <v>50288</v>
      </c>
      <c r="J260" s="6">
        <v>49490</v>
      </c>
      <c r="K260" s="6">
        <v>32</v>
      </c>
      <c r="L260" s="6" t="s">
        <v>38</v>
      </c>
      <c r="M260" s="6" t="s">
        <v>19</v>
      </c>
      <c r="N260" s="14">
        <f>(Posts1116[[#This Row],[Likes]]+Posts1116[[#This Row],[Shares]]+Posts1116[[#This Row],[Comments]])/Posts1116[[#This Row],[Impressions]]</f>
        <v>9.7001272669424113E-2</v>
      </c>
      <c r="O260" t="str">
        <f>_xlfn.XLOOKUP(Posts1116[[#This Row],[Campaign_Name]],Campaign_Metadata[Campaign_Name],Campaign_Metadata[Objective])</f>
        <v>Community Growth</v>
      </c>
      <c r="P260" t="str">
        <f>IF(AND(Posts1116[[#This Row],[Date]]&gt;=DATE(2024,6,15), Posts1116[[#This Row],[Date]]&lt;=DATE(2024,7,15)),"During", "Before")</f>
        <v>Before</v>
      </c>
    </row>
    <row r="261" spans="1:16">
      <c r="A261" s="11" t="s">
        <v>106</v>
      </c>
      <c r="B261" s="6" t="s">
        <v>35</v>
      </c>
      <c r="C261" s="12">
        <v>45723</v>
      </c>
      <c r="D261" s="6" t="s">
        <v>61</v>
      </c>
      <c r="E261" s="6" t="s">
        <v>107</v>
      </c>
      <c r="F261" s="6">
        <v>4750</v>
      </c>
      <c r="G261" s="6">
        <v>151</v>
      </c>
      <c r="H261" s="6">
        <v>415</v>
      </c>
      <c r="I261" s="6">
        <v>38000</v>
      </c>
      <c r="J261" s="6">
        <v>37792</v>
      </c>
      <c r="K261" s="6">
        <v>299</v>
      </c>
      <c r="L261" s="6" t="s">
        <v>52</v>
      </c>
      <c r="M261" s="6" t="s">
        <v>19</v>
      </c>
      <c r="N261" s="14">
        <f>(Posts1116[[#This Row],[Likes]]+Posts1116[[#This Row],[Shares]]+Posts1116[[#This Row],[Comments]])/Posts1116[[#This Row],[Impressions]]</f>
        <v>0.13989473684210527</v>
      </c>
      <c r="O261" t="str">
        <f>_xlfn.XLOOKUP(Posts1116[[#This Row],[Campaign_Name]],Campaign_Metadata[Campaign_Name],Campaign_Metadata[Objective])</f>
        <v>Community Growth</v>
      </c>
      <c r="P261" t="str">
        <f>IF(AND(Posts1116[[#This Row],[Date]]&gt;=DATE(2024,6,15), Posts1116[[#This Row],[Date]]&lt;=DATE(2024,7,15)),"During", "Before")</f>
        <v>Before</v>
      </c>
    </row>
    <row r="262" spans="1:16">
      <c r="A262" s="9" t="s">
        <v>108</v>
      </c>
      <c r="B262" s="5" t="s">
        <v>49</v>
      </c>
      <c r="C262" s="10">
        <v>45724</v>
      </c>
      <c r="D262" s="5" t="s">
        <v>36</v>
      </c>
      <c r="E262" s="5" t="s">
        <v>80</v>
      </c>
      <c r="F262" s="5">
        <v>456</v>
      </c>
      <c r="G262" s="5">
        <v>629</v>
      </c>
      <c r="H262" s="5">
        <v>428</v>
      </c>
      <c r="I262" s="5">
        <v>8208</v>
      </c>
      <c r="J262" s="5">
        <v>7377</v>
      </c>
      <c r="K262" s="5">
        <v>205</v>
      </c>
      <c r="L262" s="5" t="s">
        <v>38</v>
      </c>
      <c r="M262" s="5" t="s">
        <v>19</v>
      </c>
      <c r="N262" s="13">
        <f>(Posts1116[[#This Row],[Likes]]+Posts1116[[#This Row],[Shares]]+Posts1116[[#This Row],[Comments]])/Posts1116[[#This Row],[Impressions]]</f>
        <v>0.18433235867446393</v>
      </c>
      <c r="O262" t="str">
        <f>_xlfn.XLOOKUP(Posts1116[[#This Row],[Campaign_Name]],Campaign_Metadata[Campaign_Name],Campaign_Metadata[Objective])</f>
        <v>Community Growth</v>
      </c>
      <c r="P262" t="str">
        <f>IF(AND(Posts1116[[#This Row],[Date]]&gt;=DATE(2024,6,15), Posts1116[[#This Row],[Date]]&lt;=DATE(2024,7,15)),"During", "Before")</f>
        <v>Before</v>
      </c>
    </row>
    <row r="263" spans="1:16">
      <c r="A263" s="11" t="s">
        <v>305</v>
      </c>
      <c r="B263" s="6" t="s">
        <v>55</v>
      </c>
      <c r="C263" s="12">
        <v>45724</v>
      </c>
      <c r="D263" s="6" t="s">
        <v>61</v>
      </c>
      <c r="E263" s="6" t="s">
        <v>66</v>
      </c>
      <c r="F263" s="6">
        <v>2382</v>
      </c>
      <c r="G263" s="6">
        <v>265</v>
      </c>
      <c r="H263" s="6">
        <v>134</v>
      </c>
      <c r="I263" s="6">
        <v>38112</v>
      </c>
      <c r="J263" s="6">
        <v>37437</v>
      </c>
      <c r="K263" s="6">
        <v>249</v>
      </c>
      <c r="L263" s="6" t="s">
        <v>38</v>
      </c>
      <c r="M263" s="6" t="s">
        <v>19</v>
      </c>
      <c r="N263" s="14">
        <f>(Posts1116[[#This Row],[Likes]]+Posts1116[[#This Row],[Shares]]+Posts1116[[#This Row],[Comments]])/Posts1116[[#This Row],[Impressions]]</f>
        <v>7.2969143576826198E-2</v>
      </c>
      <c r="O263" t="str">
        <f>_xlfn.XLOOKUP(Posts1116[[#This Row],[Campaign_Name]],Campaign_Metadata[Campaign_Name],Campaign_Metadata[Objective])</f>
        <v>Community Growth</v>
      </c>
      <c r="P263" t="str">
        <f>IF(AND(Posts1116[[#This Row],[Date]]&gt;=DATE(2024,6,15), Posts1116[[#This Row],[Date]]&lt;=DATE(2024,7,15)),"During", "Before")</f>
        <v>Before</v>
      </c>
    </row>
    <row r="264" spans="1:16">
      <c r="A264" s="11" t="s">
        <v>281</v>
      </c>
      <c r="B264" s="6" t="s">
        <v>35</v>
      </c>
      <c r="C264" s="12">
        <v>45735</v>
      </c>
      <c r="D264" s="6" t="s">
        <v>75</v>
      </c>
      <c r="E264" s="6" t="s">
        <v>114</v>
      </c>
      <c r="F264" s="6">
        <v>3160</v>
      </c>
      <c r="G264" s="6">
        <v>204</v>
      </c>
      <c r="H264" s="6">
        <v>297</v>
      </c>
      <c r="I264" s="6">
        <v>44240</v>
      </c>
      <c r="J264" s="6">
        <v>43666</v>
      </c>
      <c r="K264" s="6">
        <v>49</v>
      </c>
      <c r="L264" s="6" t="s">
        <v>38</v>
      </c>
      <c r="M264" s="6" t="s">
        <v>19</v>
      </c>
      <c r="N264" s="14">
        <f>(Posts1116[[#This Row],[Likes]]+Posts1116[[#This Row],[Shares]]+Posts1116[[#This Row],[Comments]])/Posts1116[[#This Row],[Impressions]]</f>
        <v>8.2753164556962022E-2</v>
      </c>
      <c r="O264" t="str">
        <f>_xlfn.XLOOKUP(Posts1116[[#This Row],[Campaign_Name]],Campaign_Metadata[Campaign_Name],Campaign_Metadata[Objective])</f>
        <v>Community Growth</v>
      </c>
      <c r="P264" t="str">
        <f>IF(AND(Posts1116[[#This Row],[Date]]&gt;=DATE(2024,6,15), Posts1116[[#This Row],[Date]]&lt;=DATE(2024,7,15)),"During", "Before")</f>
        <v>Before</v>
      </c>
    </row>
    <row r="265" spans="1:16">
      <c r="A265" s="9" t="s">
        <v>281</v>
      </c>
      <c r="B265" s="5" t="s">
        <v>35</v>
      </c>
      <c r="C265" s="10">
        <v>45735</v>
      </c>
      <c r="D265" s="5" t="s">
        <v>75</v>
      </c>
      <c r="E265" s="5" t="s">
        <v>114</v>
      </c>
      <c r="F265" s="5">
        <v>3160</v>
      </c>
      <c r="G265" s="5">
        <v>204</v>
      </c>
      <c r="H265" s="5">
        <v>297</v>
      </c>
      <c r="I265" s="5">
        <v>44240</v>
      </c>
      <c r="J265" s="5">
        <v>43666</v>
      </c>
      <c r="K265" s="5">
        <v>49</v>
      </c>
      <c r="L265" s="5" t="s">
        <v>39</v>
      </c>
      <c r="M265" s="5" t="s">
        <v>19</v>
      </c>
      <c r="N265" s="13">
        <f>(Posts1116[[#This Row],[Likes]]+Posts1116[[#This Row],[Shares]]+Posts1116[[#This Row],[Comments]])/Posts1116[[#This Row],[Impressions]]</f>
        <v>8.2753164556962022E-2</v>
      </c>
      <c r="O265" t="str">
        <f>_xlfn.XLOOKUP(Posts1116[[#This Row],[Campaign_Name]],Campaign_Metadata[Campaign_Name],Campaign_Metadata[Objective])</f>
        <v>Community Growth</v>
      </c>
      <c r="P265" t="str">
        <f>IF(AND(Posts1116[[#This Row],[Date]]&gt;=DATE(2024,6,15), Posts1116[[#This Row],[Date]]&lt;=DATE(2024,7,15)),"During", "Before")</f>
        <v>Before</v>
      </c>
    </row>
    <row r="266" spans="1:16">
      <c r="A266" s="9" t="s">
        <v>163</v>
      </c>
      <c r="B266" s="5" t="s">
        <v>55</v>
      </c>
      <c r="C266" s="10">
        <v>45740</v>
      </c>
      <c r="D266" s="5" t="s">
        <v>61</v>
      </c>
      <c r="E266" s="5" t="s">
        <v>66</v>
      </c>
      <c r="F266" s="5">
        <v>1263</v>
      </c>
      <c r="G266" s="5">
        <v>397</v>
      </c>
      <c r="H266" s="5">
        <v>357</v>
      </c>
      <c r="I266" s="5">
        <v>25260</v>
      </c>
      <c r="J266" s="5">
        <v>24615</v>
      </c>
      <c r="K266" s="5">
        <v>137</v>
      </c>
      <c r="L266" s="5" t="s">
        <v>52</v>
      </c>
      <c r="M266" s="5" t="s">
        <v>19</v>
      </c>
      <c r="N266" s="13">
        <f>(Posts1116[[#This Row],[Likes]]+Posts1116[[#This Row],[Shares]]+Posts1116[[#This Row],[Comments]])/Posts1116[[#This Row],[Impressions]]</f>
        <v>7.984956452889945E-2</v>
      </c>
      <c r="O266" t="str">
        <f>_xlfn.XLOOKUP(Posts1116[[#This Row],[Campaign_Name]],Campaign_Metadata[Campaign_Name],Campaign_Metadata[Objective])</f>
        <v>Community Growth</v>
      </c>
      <c r="P266" t="str">
        <f>IF(AND(Posts1116[[#This Row],[Date]]&gt;=DATE(2024,6,15), Posts1116[[#This Row],[Date]]&lt;=DATE(2024,7,15)),"During", "Before")</f>
        <v>Before</v>
      </c>
    </row>
    <row r="267" spans="1:16">
      <c r="A267" s="9" t="s">
        <v>214</v>
      </c>
      <c r="B267" s="5" t="s">
        <v>46</v>
      </c>
      <c r="C267" s="10">
        <v>45741</v>
      </c>
      <c r="D267" s="5" t="s">
        <v>50</v>
      </c>
      <c r="E267" s="5" t="s">
        <v>120</v>
      </c>
      <c r="F267" s="5">
        <v>2070</v>
      </c>
      <c r="G267" s="5">
        <v>275</v>
      </c>
      <c r="H267" s="5">
        <v>386</v>
      </c>
      <c r="I267" s="5">
        <v>39330</v>
      </c>
      <c r="J267" s="5">
        <v>38627</v>
      </c>
      <c r="K267" s="5">
        <v>114</v>
      </c>
      <c r="L267" s="5" t="s">
        <v>38</v>
      </c>
      <c r="M267" s="5" t="s">
        <v>19</v>
      </c>
      <c r="N267" s="13">
        <f>(Posts1116[[#This Row],[Likes]]+Posts1116[[#This Row],[Shares]]+Posts1116[[#This Row],[Comments]])/Posts1116[[#This Row],[Impressions]]</f>
        <v>6.9438087973557078E-2</v>
      </c>
      <c r="O267" t="str">
        <f>_xlfn.XLOOKUP(Posts1116[[#This Row],[Campaign_Name]],Campaign_Metadata[Campaign_Name],Campaign_Metadata[Objective])</f>
        <v>Community Growth</v>
      </c>
      <c r="P267" t="str">
        <f>IF(AND(Posts1116[[#This Row],[Date]]&gt;=DATE(2024,6,15), Posts1116[[#This Row],[Date]]&lt;=DATE(2024,7,15)),"During", "Before")</f>
        <v>Before</v>
      </c>
    </row>
    <row r="268" spans="1:16">
      <c r="A268" s="11" t="s">
        <v>327</v>
      </c>
      <c r="B268" s="6" t="s">
        <v>55</v>
      </c>
      <c r="C268" s="12">
        <v>45750</v>
      </c>
      <c r="D268" s="6" t="s">
        <v>50</v>
      </c>
      <c r="E268" s="6" t="s">
        <v>73</v>
      </c>
      <c r="F268" s="6">
        <v>3767</v>
      </c>
      <c r="G268" s="6">
        <v>514</v>
      </c>
      <c r="H268" s="6">
        <v>238</v>
      </c>
      <c r="I268" s="6">
        <v>37670</v>
      </c>
      <c r="J268" s="6">
        <v>36807</v>
      </c>
      <c r="K268" s="6">
        <v>226</v>
      </c>
      <c r="L268" s="6" t="s">
        <v>38</v>
      </c>
      <c r="M268" s="6" t="s">
        <v>19</v>
      </c>
      <c r="N268" s="14">
        <f>(Posts1116[[#This Row],[Likes]]+Posts1116[[#This Row],[Shares]]+Posts1116[[#This Row],[Comments]])/Posts1116[[#This Row],[Impressions]]</f>
        <v>0.11996283514733209</v>
      </c>
      <c r="O268" t="str">
        <f>_xlfn.XLOOKUP(Posts1116[[#This Row],[Campaign_Name]],Campaign_Metadata[Campaign_Name],Campaign_Metadata[Objective])</f>
        <v>Community Growth</v>
      </c>
      <c r="P268" t="str">
        <f>IF(AND(Posts1116[[#This Row],[Date]]&gt;=DATE(2024,6,15), Posts1116[[#This Row],[Date]]&lt;=DATE(2024,7,15)),"During", "Before")</f>
        <v>Before</v>
      </c>
    </row>
    <row r="269" spans="1:16">
      <c r="A269" s="9" t="s">
        <v>128</v>
      </c>
      <c r="B269" s="5" t="s">
        <v>49</v>
      </c>
      <c r="C269" s="10">
        <v>45762</v>
      </c>
      <c r="D269" s="5" t="s">
        <v>36</v>
      </c>
      <c r="E269" s="5" t="s">
        <v>80</v>
      </c>
      <c r="F269" s="5">
        <v>103</v>
      </c>
      <c r="G269" s="5">
        <v>770</v>
      </c>
      <c r="H269" s="5">
        <v>19</v>
      </c>
      <c r="I269" s="5">
        <v>1030</v>
      </c>
      <c r="J269" s="5">
        <v>410</v>
      </c>
      <c r="K269" s="5">
        <v>262</v>
      </c>
      <c r="L269" s="5" t="s">
        <v>43</v>
      </c>
      <c r="M269" s="5" t="s">
        <v>19</v>
      </c>
      <c r="N269" s="13">
        <f>(Posts1116[[#This Row],[Likes]]+Posts1116[[#This Row],[Shares]]+Posts1116[[#This Row],[Comments]])/Posts1116[[#This Row],[Impressions]]</f>
        <v>0.86601941747572819</v>
      </c>
      <c r="O269" t="str">
        <f>_xlfn.XLOOKUP(Posts1116[[#This Row],[Campaign_Name]],Campaign_Metadata[Campaign_Name],Campaign_Metadata[Objective])</f>
        <v>Community Growth</v>
      </c>
      <c r="P269" t="str">
        <f>IF(AND(Posts1116[[#This Row],[Date]]&gt;=DATE(2024,6,15), Posts1116[[#This Row],[Date]]&lt;=DATE(2024,7,15)),"During", "Before")</f>
        <v>Before</v>
      </c>
    </row>
    <row r="270" spans="1:16">
      <c r="A270" s="11" t="s">
        <v>220</v>
      </c>
      <c r="B270" s="6" t="s">
        <v>49</v>
      </c>
      <c r="C270" s="12">
        <v>45762</v>
      </c>
      <c r="D270" s="6" t="s">
        <v>75</v>
      </c>
      <c r="E270" s="6" t="s">
        <v>82</v>
      </c>
      <c r="F270" s="6">
        <v>4133</v>
      </c>
      <c r="G270" s="6">
        <v>466</v>
      </c>
      <c r="H270" s="6">
        <v>327</v>
      </c>
      <c r="I270" s="6">
        <v>24798</v>
      </c>
      <c r="J270" s="6">
        <v>24620</v>
      </c>
      <c r="K270" s="6">
        <v>176</v>
      </c>
      <c r="L270" s="6" t="s">
        <v>52</v>
      </c>
      <c r="M270" s="6" t="s">
        <v>19</v>
      </c>
      <c r="N270" s="14">
        <f>(Posts1116[[#This Row],[Likes]]+Posts1116[[#This Row],[Shares]]+Posts1116[[#This Row],[Comments]])/Posts1116[[#This Row],[Impressions]]</f>
        <v>0.19864505202032423</v>
      </c>
      <c r="O270" t="str">
        <f>_xlfn.XLOOKUP(Posts1116[[#This Row],[Campaign_Name]],Campaign_Metadata[Campaign_Name],Campaign_Metadata[Objective])</f>
        <v>Community Growth</v>
      </c>
      <c r="P270" t="str">
        <f>IF(AND(Posts1116[[#This Row],[Date]]&gt;=DATE(2024,6,15), Posts1116[[#This Row],[Date]]&lt;=DATE(2024,7,15)),"During", "Before")</f>
        <v>Before</v>
      </c>
    </row>
    <row r="271" spans="1:16">
      <c r="A271" s="11" t="s">
        <v>224</v>
      </c>
      <c r="B271" s="6" t="s">
        <v>55</v>
      </c>
      <c r="C271" s="12">
        <v>45769</v>
      </c>
      <c r="D271" s="6" t="s">
        <v>61</v>
      </c>
      <c r="E271" s="6" t="s">
        <v>66</v>
      </c>
      <c r="F271" s="6">
        <v>4804</v>
      </c>
      <c r="G271" s="6">
        <v>550</v>
      </c>
      <c r="H271" s="6">
        <v>270</v>
      </c>
      <c r="I271" s="6">
        <v>28824</v>
      </c>
      <c r="J271" s="6">
        <v>28370</v>
      </c>
      <c r="K271" s="6">
        <v>47</v>
      </c>
      <c r="L271" s="6" t="s">
        <v>52</v>
      </c>
      <c r="M271" s="6" t="s">
        <v>19</v>
      </c>
      <c r="N271" s="14">
        <f>(Posts1116[[#This Row],[Likes]]+Posts1116[[#This Row],[Shares]]+Posts1116[[#This Row],[Comments]])/Posts1116[[#This Row],[Impressions]]</f>
        <v>0.19511518179295032</v>
      </c>
      <c r="O271" t="str">
        <f>_xlfn.XLOOKUP(Posts1116[[#This Row],[Campaign_Name]],Campaign_Metadata[Campaign_Name],Campaign_Metadata[Objective])</f>
        <v>Community Growth</v>
      </c>
      <c r="P271" t="str">
        <f>IF(AND(Posts1116[[#This Row],[Date]]&gt;=DATE(2024,6,15), Posts1116[[#This Row],[Date]]&lt;=DATE(2024,7,15)),"During", "Before")</f>
        <v>Before</v>
      </c>
    </row>
    <row r="272" spans="1:16">
      <c r="A272" s="11" t="s">
        <v>277</v>
      </c>
      <c r="B272" s="6" t="s">
        <v>35</v>
      </c>
      <c r="C272" s="12">
        <v>45771</v>
      </c>
      <c r="D272" s="6" t="s">
        <v>75</v>
      </c>
      <c r="E272" s="6" t="s">
        <v>114</v>
      </c>
      <c r="F272" s="6">
        <v>3820</v>
      </c>
      <c r="G272" s="6">
        <v>697</v>
      </c>
      <c r="H272" s="6">
        <v>268</v>
      </c>
      <c r="I272" s="6">
        <v>45840</v>
      </c>
      <c r="J272" s="6">
        <v>45631</v>
      </c>
      <c r="K272" s="6">
        <v>171</v>
      </c>
      <c r="L272" s="6" t="s">
        <v>43</v>
      </c>
      <c r="M272" s="6" t="s">
        <v>19</v>
      </c>
      <c r="N272" s="14">
        <f>(Posts1116[[#This Row],[Likes]]+Posts1116[[#This Row],[Shares]]+Posts1116[[#This Row],[Comments]])/Posts1116[[#This Row],[Impressions]]</f>
        <v>0.1043848167539267</v>
      </c>
      <c r="O272" t="str">
        <f>_xlfn.XLOOKUP(Posts1116[[#This Row],[Campaign_Name]],Campaign_Metadata[Campaign_Name],Campaign_Metadata[Objective])</f>
        <v>Community Growth</v>
      </c>
      <c r="P272" t="str">
        <f>IF(AND(Posts1116[[#This Row],[Date]]&gt;=DATE(2024,6,15), Posts1116[[#This Row],[Date]]&lt;=DATE(2024,7,15)),"During", "Before")</f>
        <v>Before</v>
      </c>
    </row>
    <row r="273" spans="1:16">
      <c r="A273" s="9" t="s">
        <v>277</v>
      </c>
      <c r="B273" s="5" t="s">
        <v>35</v>
      </c>
      <c r="C273" s="10">
        <v>45771</v>
      </c>
      <c r="D273" s="5" t="s">
        <v>75</v>
      </c>
      <c r="E273" s="5" t="s">
        <v>114</v>
      </c>
      <c r="F273" s="5">
        <v>3820</v>
      </c>
      <c r="G273" s="5">
        <v>697</v>
      </c>
      <c r="H273" s="5">
        <v>268</v>
      </c>
      <c r="I273" s="5">
        <v>45840</v>
      </c>
      <c r="J273" s="5">
        <v>45631</v>
      </c>
      <c r="K273" s="5">
        <v>171</v>
      </c>
      <c r="L273" s="5" t="s">
        <v>18</v>
      </c>
      <c r="M273" s="5" t="s">
        <v>19</v>
      </c>
      <c r="N273" s="13">
        <f>(Posts1116[[#This Row],[Likes]]+Posts1116[[#This Row],[Shares]]+Posts1116[[#This Row],[Comments]])/Posts1116[[#This Row],[Impressions]]</f>
        <v>0.1043848167539267</v>
      </c>
      <c r="O273" t="str">
        <f>_xlfn.XLOOKUP(Posts1116[[#This Row],[Campaign_Name]],Campaign_Metadata[Campaign_Name],Campaign_Metadata[Objective])</f>
        <v>Community Growth</v>
      </c>
      <c r="P273" t="str">
        <f>IF(AND(Posts1116[[#This Row],[Date]]&gt;=DATE(2024,6,15), Posts1116[[#This Row],[Date]]&lt;=DATE(2024,7,15)),"During", "Before")</f>
        <v>Before</v>
      </c>
    </row>
    <row r="274" spans="1:16">
      <c r="A274" s="9" t="s">
        <v>304</v>
      </c>
      <c r="B274" s="5" t="s">
        <v>35</v>
      </c>
      <c r="C274" s="10">
        <v>45776</v>
      </c>
      <c r="D274" s="5" t="s">
        <v>50</v>
      </c>
      <c r="E274" s="5" t="s">
        <v>117</v>
      </c>
      <c r="F274" s="5">
        <v>249</v>
      </c>
      <c r="G274" s="5">
        <v>592</v>
      </c>
      <c r="H274" s="5">
        <v>230</v>
      </c>
      <c r="I274" s="5">
        <v>1494</v>
      </c>
      <c r="J274" s="5">
        <v>1044</v>
      </c>
      <c r="K274" s="5">
        <v>201</v>
      </c>
      <c r="L274" s="5" t="s">
        <v>52</v>
      </c>
      <c r="M274" s="5" t="s">
        <v>19</v>
      </c>
      <c r="N274" s="13">
        <f>(Posts1116[[#This Row],[Likes]]+Posts1116[[#This Row],[Shares]]+Posts1116[[#This Row],[Comments]])/Posts1116[[#This Row],[Impressions]]</f>
        <v>0.7168674698795181</v>
      </c>
      <c r="O274" t="str">
        <f>_xlfn.XLOOKUP(Posts1116[[#This Row],[Campaign_Name]],Campaign_Metadata[Campaign_Name],Campaign_Metadata[Objective])</f>
        <v>Community Growth</v>
      </c>
      <c r="P274" t="str">
        <f>IF(AND(Posts1116[[#This Row],[Date]]&gt;=DATE(2024,6,15), Posts1116[[#This Row],[Date]]&lt;=DATE(2024,7,15)),"During", "Before")</f>
        <v>Before</v>
      </c>
    </row>
    <row r="275" spans="1:16">
      <c r="A275" s="9" t="s">
        <v>285</v>
      </c>
      <c r="B275" s="5" t="s">
        <v>55</v>
      </c>
      <c r="C275" s="10">
        <v>45778</v>
      </c>
      <c r="D275" s="5" t="s">
        <v>56</v>
      </c>
      <c r="E275" s="5" t="s">
        <v>57</v>
      </c>
      <c r="F275" s="5">
        <v>2696</v>
      </c>
      <c r="G275" s="5">
        <v>628</v>
      </c>
      <c r="H275" s="5">
        <v>443</v>
      </c>
      <c r="I275" s="5">
        <v>45832</v>
      </c>
      <c r="J275" s="5">
        <v>45632</v>
      </c>
      <c r="K275" s="5">
        <v>248</v>
      </c>
      <c r="L275" s="5" t="s">
        <v>52</v>
      </c>
      <c r="M275" s="5" t="s">
        <v>19</v>
      </c>
      <c r="N275" s="13">
        <f>(Posts1116[[#This Row],[Likes]]+Posts1116[[#This Row],[Shares]]+Posts1116[[#This Row],[Comments]])/Posts1116[[#This Row],[Impressions]]</f>
        <v>8.21914819340199E-2</v>
      </c>
      <c r="O275" t="str">
        <f>_xlfn.XLOOKUP(Posts1116[[#This Row],[Campaign_Name]],Campaign_Metadata[Campaign_Name],Campaign_Metadata[Objective])</f>
        <v>Community Growth</v>
      </c>
      <c r="P275" t="str">
        <f>IF(AND(Posts1116[[#This Row],[Date]]&gt;=DATE(2024,6,15), Posts1116[[#This Row],[Date]]&lt;=DATE(2024,7,15)),"During", "Before")</f>
        <v>Before</v>
      </c>
    </row>
    <row r="276" spans="1:16">
      <c r="A276" s="11" t="s">
        <v>113</v>
      </c>
      <c r="B276" s="6" t="s">
        <v>35</v>
      </c>
      <c r="C276" s="12">
        <v>45779</v>
      </c>
      <c r="D276" s="6" t="s">
        <v>75</v>
      </c>
      <c r="E276" s="6" t="s">
        <v>114</v>
      </c>
      <c r="F276" s="6">
        <v>1108</v>
      </c>
      <c r="G276" s="6">
        <v>177</v>
      </c>
      <c r="H276" s="6">
        <v>212</v>
      </c>
      <c r="I276" s="6">
        <v>8864</v>
      </c>
      <c r="J276" s="6">
        <v>8710</v>
      </c>
      <c r="K276" s="6">
        <v>97</v>
      </c>
      <c r="L276" s="6" t="s">
        <v>43</v>
      </c>
      <c r="M276" s="6" t="s">
        <v>19</v>
      </c>
      <c r="N276" s="14">
        <f>(Posts1116[[#This Row],[Likes]]+Posts1116[[#This Row],[Shares]]+Posts1116[[#This Row],[Comments]])/Posts1116[[#This Row],[Impressions]]</f>
        <v>0.16888537906137185</v>
      </c>
      <c r="O276" t="str">
        <f>_xlfn.XLOOKUP(Posts1116[[#This Row],[Campaign_Name]],Campaign_Metadata[Campaign_Name],Campaign_Metadata[Objective])</f>
        <v>Community Growth</v>
      </c>
      <c r="P276" t="str">
        <f>IF(AND(Posts1116[[#This Row],[Date]]&gt;=DATE(2024,6,15), Posts1116[[#This Row],[Date]]&lt;=DATE(2024,7,15)),"During", "Before")</f>
        <v>Before</v>
      </c>
    </row>
    <row r="277" spans="1:16">
      <c r="A277" s="11" t="s">
        <v>78</v>
      </c>
      <c r="B277" s="6" t="s">
        <v>55</v>
      </c>
      <c r="C277" s="12">
        <v>45782</v>
      </c>
      <c r="D277" s="6" t="s">
        <v>41</v>
      </c>
      <c r="E277" s="6" t="s">
        <v>64</v>
      </c>
      <c r="F277" s="6">
        <v>4441</v>
      </c>
      <c r="G277" s="6">
        <v>511</v>
      </c>
      <c r="H277" s="6">
        <v>70</v>
      </c>
      <c r="I277" s="6">
        <v>53292</v>
      </c>
      <c r="J277" s="6">
        <v>53082</v>
      </c>
      <c r="K277" s="6">
        <v>159</v>
      </c>
      <c r="L277" s="6" t="s">
        <v>52</v>
      </c>
      <c r="M277" s="6" t="s">
        <v>19</v>
      </c>
      <c r="N277" s="14">
        <f>(Posts1116[[#This Row],[Likes]]+Posts1116[[#This Row],[Shares]]+Posts1116[[#This Row],[Comments]])/Posts1116[[#This Row],[Impressions]]</f>
        <v>9.4235532537716729E-2</v>
      </c>
      <c r="O277" t="str">
        <f>_xlfn.XLOOKUP(Posts1116[[#This Row],[Campaign_Name]],Campaign_Metadata[Campaign_Name],Campaign_Metadata[Objective])</f>
        <v>Community Growth</v>
      </c>
      <c r="P277" t="str">
        <f>IF(AND(Posts1116[[#This Row],[Date]]&gt;=DATE(2024,6,15), Posts1116[[#This Row],[Date]]&lt;=DATE(2024,7,15)),"During", "Before")</f>
        <v>Before</v>
      </c>
    </row>
    <row r="278" spans="1:16">
      <c r="A278" s="11" t="s">
        <v>187</v>
      </c>
      <c r="B278" s="6" t="s">
        <v>35</v>
      </c>
      <c r="C278" s="12">
        <v>45788</v>
      </c>
      <c r="D278" s="6" t="s">
        <v>61</v>
      </c>
      <c r="E278" s="6" t="s">
        <v>107</v>
      </c>
      <c r="F278" s="6">
        <v>2493</v>
      </c>
      <c r="G278" s="6">
        <v>97</v>
      </c>
      <c r="H278" s="6">
        <v>44</v>
      </c>
      <c r="I278" s="6">
        <v>42381</v>
      </c>
      <c r="J278" s="6">
        <v>41991</v>
      </c>
      <c r="K278" s="6">
        <v>242</v>
      </c>
      <c r="L278" s="6" t="s">
        <v>43</v>
      </c>
      <c r="M278" s="6" t="s">
        <v>19</v>
      </c>
      <c r="N278" s="14">
        <f>(Posts1116[[#This Row],[Likes]]+Posts1116[[#This Row],[Shares]]+Posts1116[[#This Row],[Comments]])/Posts1116[[#This Row],[Impressions]]</f>
        <v>6.2150491965739366E-2</v>
      </c>
      <c r="O278" t="str">
        <f>_xlfn.XLOOKUP(Posts1116[[#This Row],[Campaign_Name]],Campaign_Metadata[Campaign_Name],Campaign_Metadata[Objective])</f>
        <v>Community Growth</v>
      </c>
      <c r="P278" t="str">
        <f>IF(AND(Posts1116[[#This Row],[Date]]&gt;=DATE(2024,6,15), Posts1116[[#This Row],[Date]]&lt;=DATE(2024,7,15)),"During", "Before")</f>
        <v>Before</v>
      </c>
    </row>
    <row r="279" spans="1:16">
      <c r="A279" s="9" t="s">
        <v>187</v>
      </c>
      <c r="B279" s="5" t="s">
        <v>35</v>
      </c>
      <c r="C279" s="10">
        <v>45788</v>
      </c>
      <c r="D279" s="5" t="s">
        <v>61</v>
      </c>
      <c r="E279" s="5" t="s">
        <v>107</v>
      </c>
      <c r="F279" s="5">
        <v>2493</v>
      </c>
      <c r="G279" s="5">
        <v>97</v>
      </c>
      <c r="H279" s="5">
        <v>44</v>
      </c>
      <c r="I279" s="5">
        <v>42381</v>
      </c>
      <c r="J279" s="5">
        <v>41991</v>
      </c>
      <c r="K279" s="5">
        <v>242</v>
      </c>
      <c r="L279" s="5" t="s">
        <v>39</v>
      </c>
      <c r="M279" s="5" t="s">
        <v>19</v>
      </c>
      <c r="N279" s="13">
        <f>(Posts1116[[#This Row],[Likes]]+Posts1116[[#This Row],[Shares]]+Posts1116[[#This Row],[Comments]])/Posts1116[[#This Row],[Impressions]]</f>
        <v>6.2150491965739366E-2</v>
      </c>
      <c r="O279" t="str">
        <f>_xlfn.XLOOKUP(Posts1116[[#This Row],[Campaign_Name]],Campaign_Metadata[Campaign_Name],Campaign_Metadata[Objective])</f>
        <v>Community Growth</v>
      </c>
      <c r="P279" t="str">
        <f>IF(AND(Posts1116[[#This Row],[Date]]&gt;=DATE(2024,6,15), Posts1116[[#This Row],[Date]]&lt;=DATE(2024,7,15)),"During", "Before")</f>
        <v>Before</v>
      </c>
    </row>
    <row r="280" spans="1:16">
      <c r="A280" s="9" t="s">
        <v>306</v>
      </c>
      <c r="B280" s="5" t="s">
        <v>55</v>
      </c>
      <c r="C280" s="10">
        <v>45444</v>
      </c>
      <c r="D280" s="5" t="s">
        <v>41</v>
      </c>
      <c r="E280" s="5" t="s">
        <v>64</v>
      </c>
      <c r="F280" s="5">
        <v>1272</v>
      </c>
      <c r="G280" s="5">
        <v>465</v>
      </c>
      <c r="H280" s="5">
        <v>99</v>
      </c>
      <c r="I280" s="5">
        <v>24168</v>
      </c>
      <c r="J280" s="5">
        <v>23719</v>
      </c>
      <c r="K280" s="5">
        <v>42</v>
      </c>
      <c r="L280" s="5" t="s">
        <v>43</v>
      </c>
      <c r="M280" s="5"/>
      <c r="N280" s="13">
        <f>(Posts1116[[#This Row],[Likes]]+Posts1116[[#This Row],[Shares]]+Posts1116[[#This Row],[Comments]])/Posts1116[[#This Row],[Impressions]]</f>
        <v>7.5968222442899705E-2</v>
      </c>
      <c r="O280" t="e">
        <f>_xlfn.XLOOKUP(Posts1116[[#This Row],[Campaign_Name]],Campaign_Metadata[Campaign_Name],Campaign_Metadata[Objective])</f>
        <v>#N/A</v>
      </c>
      <c r="P280" t="str">
        <f>IF(AND(Posts1116[[#This Row],[Date]]&gt;=DATE(2024,6,15), Posts1116[[#This Row],[Date]]&lt;=DATE(2024,7,15)),"During", "Before")</f>
        <v>Before</v>
      </c>
    </row>
    <row r="281" spans="1:16">
      <c r="A281" s="11" t="s">
        <v>292</v>
      </c>
      <c r="B281" s="6" t="s">
        <v>49</v>
      </c>
      <c r="C281" s="12">
        <v>45445</v>
      </c>
      <c r="D281" s="6" t="s">
        <v>50</v>
      </c>
      <c r="E281" s="6" t="s">
        <v>51</v>
      </c>
      <c r="F281" s="6">
        <v>84</v>
      </c>
      <c r="G281" s="6">
        <v>897</v>
      </c>
      <c r="H281" s="6">
        <v>85</v>
      </c>
      <c r="I281" s="6">
        <v>588</v>
      </c>
      <c r="J281" s="6">
        <v>8</v>
      </c>
      <c r="K281" s="6">
        <v>12</v>
      </c>
      <c r="L281" s="6" t="s">
        <v>52</v>
      </c>
      <c r="M281" s="6"/>
      <c r="N281" s="14">
        <f>(Posts1116[[#This Row],[Likes]]+Posts1116[[#This Row],[Shares]]+Posts1116[[#This Row],[Comments]])/Posts1116[[#This Row],[Impressions]]</f>
        <v>1.8129251700680271</v>
      </c>
      <c r="O281" t="e">
        <f>_xlfn.XLOOKUP(Posts1116[[#This Row],[Campaign_Name]],Campaign_Metadata[Campaign_Name],Campaign_Metadata[Objective])</f>
        <v>#N/A</v>
      </c>
      <c r="P281" t="str">
        <f>IF(AND(Posts1116[[#This Row],[Date]]&gt;=DATE(2024,6,15), Posts1116[[#This Row],[Date]]&lt;=DATE(2024,7,15)),"During", "Before")</f>
        <v>Before</v>
      </c>
    </row>
    <row r="282" spans="1:16">
      <c r="A282" s="9" t="s">
        <v>218</v>
      </c>
      <c r="B282" s="5" t="s">
        <v>46</v>
      </c>
      <c r="C282" s="10">
        <v>45448</v>
      </c>
      <c r="D282" s="5" t="s">
        <v>36</v>
      </c>
      <c r="E282" s="5" t="s">
        <v>47</v>
      </c>
      <c r="F282" s="5">
        <v>3065</v>
      </c>
      <c r="G282" s="5">
        <v>772</v>
      </c>
      <c r="H282" s="5">
        <v>142</v>
      </c>
      <c r="I282" s="5">
        <v>18390</v>
      </c>
      <c r="J282" s="5">
        <v>17875</v>
      </c>
      <c r="K282" s="5">
        <v>200</v>
      </c>
      <c r="L282" s="5" t="s">
        <v>52</v>
      </c>
      <c r="M282" s="5"/>
      <c r="N282" s="13">
        <f>(Posts1116[[#This Row],[Likes]]+Posts1116[[#This Row],[Shares]]+Posts1116[[#This Row],[Comments]])/Posts1116[[#This Row],[Impressions]]</f>
        <v>0.21636759108210984</v>
      </c>
      <c r="O282" t="e">
        <f>_xlfn.XLOOKUP(Posts1116[[#This Row],[Campaign_Name]],Campaign_Metadata[Campaign_Name],Campaign_Metadata[Objective])</f>
        <v>#N/A</v>
      </c>
      <c r="P282" t="str">
        <f>IF(AND(Posts1116[[#This Row],[Date]]&gt;=DATE(2024,6,15), Posts1116[[#This Row],[Date]]&lt;=DATE(2024,7,15)),"During", "Before")</f>
        <v>Before</v>
      </c>
    </row>
    <row r="283" spans="1:16">
      <c r="A283" s="11" t="s">
        <v>218</v>
      </c>
      <c r="B283" s="6" t="s">
        <v>46</v>
      </c>
      <c r="C283" s="12">
        <v>45448</v>
      </c>
      <c r="D283" s="6" t="s">
        <v>36</v>
      </c>
      <c r="E283" s="6" t="s">
        <v>47</v>
      </c>
      <c r="F283" s="6">
        <v>3065</v>
      </c>
      <c r="G283" s="6">
        <v>772</v>
      </c>
      <c r="H283" s="6">
        <v>142</v>
      </c>
      <c r="I283" s="6">
        <v>18390</v>
      </c>
      <c r="J283" s="6">
        <v>17875</v>
      </c>
      <c r="K283" s="6">
        <v>200</v>
      </c>
      <c r="L283" s="6" t="s">
        <v>39</v>
      </c>
      <c r="M283" s="6"/>
      <c r="N283" s="14">
        <f>(Posts1116[[#This Row],[Likes]]+Posts1116[[#This Row],[Shares]]+Posts1116[[#This Row],[Comments]])/Posts1116[[#This Row],[Impressions]]</f>
        <v>0.21636759108210984</v>
      </c>
      <c r="O283" t="e">
        <f>_xlfn.XLOOKUP(Posts1116[[#This Row],[Campaign_Name]],Campaign_Metadata[Campaign_Name],Campaign_Metadata[Objective])</f>
        <v>#N/A</v>
      </c>
      <c r="P283" t="str">
        <f>IF(AND(Posts1116[[#This Row],[Date]]&gt;=DATE(2024,6,15), Posts1116[[#This Row],[Date]]&lt;=DATE(2024,7,15)),"During", "Before")</f>
        <v>Before</v>
      </c>
    </row>
    <row r="284" spans="1:16">
      <c r="A284" s="9" t="s">
        <v>150</v>
      </c>
      <c r="B284" s="5" t="s">
        <v>49</v>
      </c>
      <c r="C284" s="10">
        <v>45456</v>
      </c>
      <c r="D284" s="5" t="s">
        <v>50</v>
      </c>
      <c r="E284" s="5" t="s">
        <v>51</v>
      </c>
      <c r="F284" s="5">
        <v>2103</v>
      </c>
      <c r="G284" s="5">
        <v>892</v>
      </c>
      <c r="H284" s="5">
        <v>103</v>
      </c>
      <c r="I284" s="5">
        <v>39957</v>
      </c>
      <c r="J284" s="5">
        <v>39466</v>
      </c>
      <c r="K284" s="5">
        <v>28</v>
      </c>
      <c r="L284" s="5" t="s">
        <v>38</v>
      </c>
      <c r="M284" s="5"/>
      <c r="N284" s="13">
        <f>(Posts1116[[#This Row],[Likes]]+Posts1116[[#This Row],[Shares]]+Posts1116[[#This Row],[Comments]])/Posts1116[[#This Row],[Impressions]]</f>
        <v>7.7533348349475686E-2</v>
      </c>
      <c r="O284" t="e">
        <f>_xlfn.XLOOKUP(Posts1116[[#This Row],[Campaign_Name]],Campaign_Metadata[Campaign_Name],Campaign_Metadata[Objective])</f>
        <v>#N/A</v>
      </c>
      <c r="P284" t="str">
        <f>IF(AND(Posts1116[[#This Row],[Date]]&gt;=DATE(2024,6,15), Posts1116[[#This Row],[Date]]&lt;=DATE(2024,7,15)),"During", "Before")</f>
        <v>Before</v>
      </c>
    </row>
    <row r="285" spans="1:16">
      <c r="A285" s="11" t="s">
        <v>297</v>
      </c>
      <c r="B285" s="6" t="s">
        <v>35</v>
      </c>
      <c r="C285" s="12">
        <v>45463</v>
      </c>
      <c r="D285" s="6" t="s">
        <v>56</v>
      </c>
      <c r="E285" s="6" t="s">
        <v>59</v>
      </c>
      <c r="F285" s="6">
        <v>4672</v>
      </c>
      <c r="G285" s="6">
        <v>325</v>
      </c>
      <c r="H285" s="6">
        <v>32</v>
      </c>
      <c r="I285" s="6">
        <v>88768</v>
      </c>
      <c r="J285" s="6">
        <v>87833</v>
      </c>
      <c r="K285" s="6">
        <v>118</v>
      </c>
      <c r="L285" s="6" t="s">
        <v>52</v>
      </c>
      <c r="M285" s="6"/>
      <c r="N285" s="14">
        <f>(Posts1116[[#This Row],[Likes]]+Posts1116[[#This Row],[Shares]]+Posts1116[[#This Row],[Comments]])/Posts1116[[#This Row],[Impressions]]</f>
        <v>5.6653298485940883E-2</v>
      </c>
      <c r="O285" t="e">
        <f>_xlfn.XLOOKUP(Posts1116[[#This Row],[Campaign_Name]],Campaign_Metadata[Campaign_Name],Campaign_Metadata[Objective])</f>
        <v>#N/A</v>
      </c>
      <c r="P285" t="str">
        <f>IF(AND(Posts1116[[#This Row],[Date]]&gt;=DATE(2024,6,15), Posts1116[[#This Row],[Date]]&lt;=DATE(2024,7,15)),"During", "Before")</f>
        <v>During</v>
      </c>
    </row>
    <row r="286" spans="1:16">
      <c r="A286" s="11" t="s">
        <v>179</v>
      </c>
      <c r="B286" s="6" t="s">
        <v>46</v>
      </c>
      <c r="C286" s="12">
        <v>45464</v>
      </c>
      <c r="D286" s="6" t="s">
        <v>61</v>
      </c>
      <c r="E286" s="6" t="s">
        <v>62</v>
      </c>
      <c r="F286" s="6">
        <v>4832</v>
      </c>
      <c r="G286" s="6">
        <v>893</v>
      </c>
      <c r="H286" s="6">
        <v>10</v>
      </c>
      <c r="I286" s="6">
        <v>91808</v>
      </c>
      <c r="J286" s="6">
        <v>91296</v>
      </c>
      <c r="K286" s="6">
        <v>182</v>
      </c>
      <c r="L286" s="6" t="s">
        <v>43</v>
      </c>
      <c r="M286" s="6"/>
      <c r="N286" s="14">
        <f>(Posts1116[[#This Row],[Likes]]+Posts1116[[#This Row],[Shares]]+Posts1116[[#This Row],[Comments]])/Posts1116[[#This Row],[Impressions]]</f>
        <v>6.2467323109097243E-2</v>
      </c>
      <c r="O286" t="e">
        <f>_xlfn.XLOOKUP(Posts1116[[#This Row],[Campaign_Name]],Campaign_Metadata[Campaign_Name],Campaign_Metadata[Objective])</f>
        <v>#N/A</v>
      </c>
      <c r="P286" t="str">
        <f>IF(AND(Posts1116[[#This Row],[Date]]&gt;=DATE(2024,6,15), Posts1116[[#This Row],[Date]]&lt;=DATE(2024,7,15)),"During", "Before")</f>
        <v>During</v>
      </c>
    </row>
    <row r="287" spans="1:16">
      <c r="A287" s="11" t="s">
        <v>129</v>
      </c>
      <c r="B287" s="6" t="s">
        <v>49</v>
      </c>
      <c r="C287" s="12">
        <v>45465</v>
      </c>
      <c r="D287" s="6" t="s">
        <v>41</v>
      </c>
      <c r="E287" s="6" t="s">
        <v>97</v>
      </c>
      <c r="F287" s="6">
        <v>2180</v>
      </c>
      <c r="G287" s="6">
        <v>263</v>
      </c>
      <c r="H287" s="6">
        <v>387</v>
      </c>
      <c r="I287" s="6">
        <v>30520</v>
      </c>
      <c r="J287" s="6">
        <v>30059</v>
      </c>
      <c r="K287" s="6">
        <v>174</v>
      </c>
      <c r="L287" s="6" t="s">
        <v>52</v>
      </c>
      <c r="M287" s="6"/>
      <c r="N287" s="14">
        <f>(Posts1116[[#This Row],[Likes]]+Posts1116[[#This Row],[Shares]]+Posts1116[[#This Row],[Comments]])/Posts1116[[#This Row],[Impressions]]</f>
        <v>9.2726081258191345E-2</v>
      </c>
      <c r="O287" t="e">
        <f>_xlfn.XLOOKUP(Posts1116[[#This Row],[Campaign_Name]],Campaign_Metadata[Campaign_Name],Campaign_Metadata[Objective])</f>
        <v>#N/A</v>
      </c>
      <c r="P287" t="str">
        <f>IF(AND(Posts1116[[#This Row],[Date]]&gt;=DATE(2024,6,15), Posts1116[[#This Row],[Date]]&lt;=DATE(2024,7,15)),"During", "Before")</f>
        <v>During</v>
      </c>
    </row>
    <row r="288" spans="1:16">
      <c r="A288" s="9" t="s">
        <v>246</v>
      </c>
      <c r="B288" s="5" t="s">
        <v>55</v>
      </c>
      <c r="C288" s="10">
        <v>45465</v>
      </c>
      <c r="D288" s="5" t="s">
        <v>41</v>
      </c>
      <c r="E288" s="5" t="s">
        <v>64</v>
      </c>
      <c r="F288" s="5">
        <v>3828</v>
      </c>
      <c r="G288" s="5">
        <v>148</v>
      </c>
      <c r="H288" s="5">
        <v>253</v>
      </c>
      <c r="I288" s="5">
        <v>30624</v>
      </c>
      <c r="J288" s="5">
        <v>30229</v>
      </c>
      <c r="K288" s="5">
        <v>235</v>
      </c>
      <c r="L288" s="5" t="s">
        <v>52</v>
      </c>
      <c r="M288" s="5"/>
      <c r="N288" s="13">
        <f>(Posts1116[[#This Row],[Likes]]+Posts1116[[#This Row],[Shares]]+Posts1116[[#This Row],[Comments]])/Posts1116[[#This Row],[Impressions]]</f>
        <v>0.13809430512016718</v>
      </c>
      <c r="O288" t="e">
        <f>_xlfn.XLOOKUP(Posts1116[[#This Row],[Campaign_Name]],Campaign_Metadata[Campaign_Name],Campaign_Metadata[Objective])</f>
        <v>#N/A</v>
      </c>
      <c r="P288" t="str">
        <f>IF(AND(Posts1116[[#This Row],[Date]]&gt;=DATE(2024,6,15), Posts1116[[#This Row],[Date]]&lt;=DATE(2024,7,15)),"During", "Before")</f>
        <v>During</v>
      </c>
    </row>
    <row r="289" spans="1:16">
      <c r="A289" s="9" t="s">
        <v>322</v>
      </c>
      <c r="B289" s="5" t="s">
        <v>55</v>
      </c>
      <c r="C289" s="10">
        <v>45465</v>
      </c>
      <c r="D289" s="5" t="s">
        <v>36</v>
      </c>
      <c r="E289" s="5" t="s">
        <v>69</v>
      </c>
      <c r="F289" s="5">
        <v>3813</v>
      </c>
      <c r="G289" s="5">
        <v>935</v>
      </c>
      <c r="H289" s="5">
        <v>274</v>
      </c>
      <c r="I289" s="5">
        <v>68634</v>
      </c>
      <c r="J289" s="5">
        <v>68488</v>
      </c>
      <c r="K289" s="5">
        <v>251</v>
      </c>
      <c r="L289" s="5" t="s">
        <v>38</v>
      </c>
      <c r="M289" s="5"/>
      <c r="N289" s="13">
        <f>(Posts1116[[#This Row],[Likes]]+Posts1116[[#This Row],[Shares]]+Posts1116[[#This Row],[Comments]])/Posts1116[[#This Row],[Impressions]]</f>
        <v>7.3170731707317069E-2</v>
      </c>
      <c r="O289" t="e">
        <f>_xlfn.XLOOKUP(Posts1116[[#This Row],[Campaign_Name]],Campaign_Metadata[Campaign_Name],Campaign_Metadata[Objective])</f>
        <v>#N/A</v>
      </c>
      <c r="P289" t="str">
        <f>IF(AND(Posts1116[[#This Row],[Date]]&gt;=DATE(2024,6,15), Posts1116[[#This Row],[Date]]&lt;=DATE(2024,7,15)),"During", "Before")</f>
        <v>During</v>
      </c>
    </row>
    <row r="290" spans="1:16">
      <c r="A290" s="11" t="s">
        <v>301</v>
      </c>
      <c r="B290" s="6" t="s">
        <v>49</v>
      </c>
      <c r="C290" s="12">
        <v>45476</v>
      </c>
      <c r="D290" s="6" t="s">
        <v>56</v>
      </c>
      <c r="E290" s="6" t="s">
        <v>84</v>
      </c>
      <c r="F290" s="6">
        <v>4799</v>
      </c>
      <c r="G290" s="6">
        <v>694</v>
      </c>
      <c r="H290" s="6">
        <v>289</v>
      </c>
      <c r="I290" s="6">
        <v>43191</v>
      </c>
      <c r="J290" s="6">
        <v>42228</v>
      </c>
      <c r="K290" s="6">
        <v>118</v>
      </c>
      <c r="L290" s="6" t="s">
        <v>43</v>
      </c>
      <c r="M290" s="6"/>
      <c r="N290" s="14">
        <f>(Posts1116[[#This Row],[Likes]]+Posts1116[[#This Row],[Shares]]+Posts1116[[#This Row],[Comments]])/Posts1116[[#This Row],[Impressions]]</f>
        <v>0.13387048227640017</v>
      </c>
      <c r="O290" t="e">
        <f>_xlfn.XLOOKUP(Posts1116[[#This Row],[Campaign_Name]],Campaign_Metadata[Campaign_Name],Campaign_Metadata[Objective])</f>
        <v>#N/A</v>
      </c>
      <c r="P290" t="str">
        <f>IF(AND(Posts1116[[#This Row],[Date]]&gt;=DATE(2024,6,15), Posts1116[[#This Row],[Date]]&lt;=DATE(2024,7,15)),"During", "Before")</f>
        <v>During</v>
      </c>
    </row>
    <row r="291" spans="1:16">
      <c r="A291" s="11" t="s">
        <v>251</v>
      </c>
      <c r="B291" s="6" t="s">
        <v>55</v>
      </c>
      <c r="C291" s="12">
        <v>45488</v>
      </c>
      <c r="D291" s="6" t="s">
        <v>56</v>
      </c>
      <c r="E291" s="6" t="s">
        <v>57</v>
      </c>
      <c r="F291" s="6">
        <v>3796</v>
      </c>
      <c r="G291" s="6">
        <v>667</v>
      </c>
      <c r="H291" s="6">
        <v>395</v>
      </c>
      <c r="I291" s="6">
        <v>64532</v>
      </c>
      <c r="J291" s="6">
        <v>63550</v>
      </c>
      <c r="K291" s="6">
        <v>292</v>
      </c>
      <c r="L291" s="6" t="s">
        <v>43</v>
      </c>
      <c r="M291" s="6"/>
      <c r="N291" s="14">
        <f>(Posts1116[[#This Row],[Likes]]+Posts1116[[#This Row],[Shares]]+Posts1116[[#This Row],[Comments]])/Posts1116[[#This Row],[Impressions]]</f>
        <v>7.5280481001673588E-2</v>
      </c>
      <c r="O291" t="e">
        <f>_xlfn.XLOOKUP(Posts1116[[#This Row],[Campaign_Name]],Campaign_Metadata[Campaign_Name],Campaign_Metadata[Objective])</f>
        <v>#N/A</v>
      </c>
      <c r="P291" t="str">
        <f>IF(AND(Posts1116[[#This Row],[Date]]&gt;=DATE(2024,6,15), Posts1116[[#This Row],[Date]]&lt;=DATE(2024,7,15)),"During", "Before")</f>
        <v>During</v>
      </c>
    </row>
    <row r="292" spans="1:16">
      <c r="A292" s="11" t="s">
        <v>357</v>
      </c>
      <c r="B292" s="6" t="s">
        <v>46</v>
      </c>
      <c r="C292" s="12">
        <v>45491</v>
      </c>
      <c r="D292" s="6" t="s">
        <v>41</v>
      </c>
      <c r="E292" s="6" t="s">
        <v>92</v>
      </c>
      <c r="F292" s="6">
        <v>4021</v>
      </c>
      <c r="G292" s="6">
        <v>794</v>
      </c>
      <c r="H292" s="6">
        <v>77</v>
      </c>
      <c r="I292" s="6">
        <v>36189</v>
      </c>
      <c r="J292" s="6">
        <v>35505</v>
      </c>
      <c r="K292" s="6">
        <v>174</v>
      </c>
      <c r="L292" s="6" t="s">
        <v>52</v>
      </c>
      <c r="M292" s="6"/>
      <c r="N292" s="14">
        <f>(Posts1116[[#This Row],[Likes]]+Posts1116[[#This Row],[Shares]]+Posts1116[[#This Row],[Comments]])/Posts1116[[#This Row],[Impressions]]</f>
        <v>0.13517919809886983</v>
      </c>
      <c r="O292" t="e">
        <f>_xlfn.XLOOKUP(Posts1116[[#This Row],[Campaign_Name]],Campaign_Metadata[Campaign_Name],Campaign_Metadata[Objective])</f>
        <v>#N/A</v>
      </c>
      <c r="P292" t="str">
        <f>IF(AND(Posts1116[[#This Row],[Date]]&gt;=DATE(2024,6,15), Posts1116[[#This Row],[Date]]&lt;=DATE(2024,7,15)),"During", "Before")</f>
        <v>Before</v>
      </c>
    </row>
    <row r="293" spans="1:16">
      <c r="A293" s="9" t="s">
        <v>201</v>
      </c>
      <c r="B293" s="5" t="s">
        <v>35</v>
      </c>
      <c r="C293" s="10">
        <v>45494</v>
      </c>
      <c r="D293" s="5" t="s">
        <v>41</v>
      </c>
      <c r="E293" s="5" t="s">
        <v>42</v>
      </c>
      <c r="F293" s="5">
        <v>2147</v>
      </c>
      <c r="G293" s="5">
        <v>430</v>
      </c>
      <c r="H293" s="5">
        <v>393</v>
      </c>
      <c r="I293" s="5">
        <v>17176</v>
      </c>
      <c r="J293" s="5">
        <v>16483</v>
      </c>
      <c r="K293" s="5">
        <v>170</v>
      </c>
      <c r="L293" s="5" t="s">
        <v>43</v>
      </c>
      <c r="M293" s="5"/>
      <c r="N293" s="13">
        <f>(Posts1116[[#This Row],[Likes]]+Posts1116[[#This Row],[Shares]]+Posts1116[[#This Row],[Comments]])/Posts1116[[#This Row],[Impressions]]</f>
        <v>0.17291569632044715</v>
      </c>
      <c r="O293" t="e">
        <f>_xlfn.XLOOKUP(Posts1116[[#This Row],[Campaign_Name]],Campaign_Metadata[Campaign_Name],Campaign_Metadata[Objective])</f>
        <v>#N/A</v>
      </c>
      <c r="P293" t="str">
        <f>IF(AND(Posts1116[[#This Row],[Date]]&gt;=DATE(2024,6,15), Posts1116[[#This Row],[Date]]&lt;=DATE(2024,7,15)),"During", "Before")</f>
        <v>Before</v>
      </c>
    </row>
    <row r="294" spans="1:16">
      <c r="A294" s="9" t="s">
        <v>193</v>
      </c>
      <c r="B294" s="5" t="s">
        <v>49</v>
      </c>
      <c r="C294" s="10">
        <v>45502</v>
      </c>
      <c r="D294" s="5" t="s">
        <v>50</v>
      </c>
      <c r="E294" s="5" t="s">
        <v>51</v>
      </c>
      <c r="F294" s="5">
        <v>498</v>
      </c>
      <c r="G294" s="5">
        <v>701</v>
      </c>
      <c r="H294" s="5">
        <v>412</v>
      </c>
      <c r="I294" s="5">
        <v>4980</v>
      </c>
      <c r="J294" s="5">
        <v>4185</v>
      </c>
      <c r="K294" s="5">
        <v>185</v>
      </c>
      <c r="L294" s="5" t="s">
        <v>38</v>
      </c>
      <c r="M294" s="5"/>
      <c r="N294" s="13">
        <f>(Posts1116[[#This Row],[Likes]]+Posts1116[[#This Row],[Shares]]+Posts1116[[#This Row],[Comments]])/Posts1116[[#This Row],[Impressions]]</f>
        <v>0.32349397590361445</v>
      </c>
      <c r="O294" t="e">
        <f>_xlfn.XLOOKUP(Posts1116[[#This Row],[Campaign_Name]],Campaign_Metadata[Campaign_Name],Campaign_Metadata[Objective])</f>
        <v>#N/A</v>
      </c>
      <c r="P294" t="str">
        <f>IF(AND(Posts1116[[#This Row],[Date]]&gt;=DATE(2024,6,15), Posts1116[[#This Row],[Date]]&lt;=DATE(2024,7,15)),"During", "Before")</f>
        <v>Before</v>
      </c>
    </row>
    <row r="295" spans="1:16">
      <c r="A295" s="9" t="s">
        <v>209</v>
      </c>
      <c r="B295" s="5" t="s">
        <v>55</v>
      </c>
      <c r="C295" s="10">
        <v>45504</v>
      </c>
      <c r="D295" s="5" t="s">
        <v>75</v>
      </c>
      <c r="E295" s="5" t="s">
        <v>76</v>
      </c>
      <c r="F295" s="5">
        <v>3008</v>
      </c>
      <c r="G295" s="5">
        <v>94</v>
      </c>
      <c r="H295" s="5">
        <v>37</v>
      </c>
      <c r="I295" s="5">
        <v>15040</v>
      </c>
      <c r="J295" s="5">
        <v>14639</v>
      </c>
      <c r="K295" s="5">
        <v>277</v>
      </c>
      <c r="L295" s="5" t="s">
        <v>38</v>
      </c>
      <c r="M295" s="5"/>
      <c r="N295" s="13">
        <f>(Posts1116[[#This Row],[Likes]]+Posts1116[[#This Row],[Shares]]+Posts1116[[#This Row],[Comments]])/Posts1116[[#This Row],[Impressions]]</f>
        <v>0.20871010638297871</v>
      </c>
      <c r="O295" t="e">
        <f>_xlfn.XLOOKUP(Posts1116[[#This Row],[Campaign_Name]],Campaign_Metadata[Campaign_Name],Campaign_Metadata[Objective])</f>
        <v>#N/A</v>
      </c>
      <c r="P295" t="str">
        <f>IF(AND(Posts1116[[#This Row],[Date]]&gt;=DATE(2024,6,15), Posts1116[[#This Row],[Date]]&lt;=DATE(2024,7,15)),"During", "Before")</f>
        <v>Before</v>
      </c>
    </row>
    <row r="296" spans="1:16">
      <c r="A296" s="11" t="s">
        <v>325</v>
      </c>
      <c r="B296" s="6" t="s">
        <v>35</v>
      </c>
      <c r="C296" s="12">
        <v>45507</v>
      </c>
      <c r="D296" s="6" t="s">
        <v>36</v>
      </c>
      <c r="E296" s="6" t="s">
        <v>37</v>
      </c>
      <c r="F296" s="6">
        <v>3791</v>
      </c>
      <c r="G296" s="6">
        <v>593</v>
      </c>
      <c r="H296" s="6">
        <v>228</v>
      </c>
      <c r="I296" s="6">
        <v>53074</v>
      </c>
      <c r="J296" s="6">
        <v>52613</v>
      </c>
      <c r="K296" s="6">
        <v>205</v>
      </c>
      <c r="L296" s="6" t="s">
        <v>52</v>
      </c>
      <c r="M296" s="6"/>
      <c r="N296" s="14">
        <f>(Posts1116[[#This Row],[Likes]]+Posts1116[[#This Row],[Shares]]+Posts1116[[#This Row],[Comments]])/Posts1116[[#This Row],[Impressions]]</f>
        <v>8.6897539284772202E-2</v>
      </c>
      <c r="O296" t="e">
        <f>_xlfn.XLOOKUP(Posts1116[[#This Row],[Campaign_Name]],Campaign_Metadata[Campaign_Name],Campaign_Metadata[Objective])</f>
        <v>#N/A</v>
      </c>
      <c r="P296" t="str">
        <f>IF(AND(Posts1116[[#This Row],[Date]]&gt;=DATE(2024,6,15), Posts1116[[#This Row],[Date]]&lt;=DATE(2024,7,15)),"During", "Before")</f>
        <v>Before</v>
      </c>
    </row>
    <row r="297" spans="1:16">
      <c r="A297" s="9" t="s">
        <v>298</v>
      </c>
      <c r="B297" s="5" t="s">
        <v>49</v>
      </c>
      <c r="C297" s="10">
        <v>45511</v>
      </c>
      <c r="D297" s="5" t="s">
        <v>56</v>
      </c>
      <c r="E297" s="5" t="s">
        <v>84</v>
      </c>
      <c r="F297" s="5">
        <v>1741</v>
      </c>
      <c r="G297" s="5">
        <v>164</v>
      </c>
      <c r="H297" s="5">
        <v>318</v>
      </c>
      <c r="I297" s="5">
        <v>8705</v>
      </c>
      <c r="J297" s="5">
        <v>8272</v>
      </c>
      <c r="K297" s="5">
        <v>121</v>
      </c>
      <c r="L297" s="5" t="s">
        <v>43</v>
      </c>
      <c r="M297" s="5"/>
      <c r="N297" s="13">
        <f>(Posts1116[[#This Row],[Likes]]+Posts1116[[#This Row],[Shares]]+Posts1116[[#This Row],[Comments]])/Posts1116[[#This Row],[Impressions]]</f>
        <v>0.25537047673750718</v>
      </c>
      <c r="O297" t="e">
        <f>_xlfn.XLOOKUP(Posts1116[[#This Row],[Campaign_Name]],Campaign_Metadata[Campaign_Name],Campaign_Metadata[Objective])</f>
        <v>#N/A</v>
      </c>
      <c r="P297" t="str">
        <f>IF(AND(Posts1116[[#This Row],[Date]]&gt;=DATE(2024,6,15), Posts1116[[#This Row],[Date]]&lt;=DATE(2024,7,15)),"During", "Before")</f>
        <v>Before</v>
      </c>
    </row>
    <row r="298" spans="1:16">
      <c r="A298" s="11" t="s">
        <v>232</v>
      </c>
      <c r="B298" s="6" t="s">
        <v>35</v>
      </c>
      <c r="C298" s="12">
        <v>45528</v>
      </c>
      <c r="D298" s="6" t="s">
        <v>75</v>
      </c>
      <c r="E298" s="6" t="s">
        <v>114</v>
      </c>
      <c r="F298" s="6">
        <v>1082</v>
      </c>
      <c r="G298" s="6">
        <v>209</v>
      </c>
      <c r="H298" s="6">
        <v>484</v>
      </c>
      <c r="I298" s="6">
        <v>19476</v>
      </c>
      <c r="J298" s="6">
        <v>18654</v>
      </c>
      <c r="K298" s="6">
        <v>20</v>
      </c>
      <c r="L298" s="6" t="s">
        <v>43</v>
      </c>
      <c r="M298" s="6"/>
      <c r="N298" s="14">
        <f>(Posts1116[[#This Row],[Likes]]+Posts1116[[#This Row],[Shares]]+Posts1116[[#This Row],[Comments]])/Posts1116[[#This Row],[Impressions]]</f>
        <v>9.1137810638734856E-2</v>
      </c>
      <c r="O298" t="e">
        <f>_xlfn.XLOOKUP(Posts1116[[#This Row],[Campaign_Name]],Campaign_Metadata[Campaign_Name],Campaign_Metadata[Objective])</f>
        <v>#N/A</v>
      </c>
      <c r="P298" t="str">
        <f>IF(AND(Posts1116[[#This Row],[Date]]&gt;=DATE(2024,6,15), Posts1116[[#This Row],[Date]]&lt;=DATE(2024,7,15)),"During", "Before")</f>
        <v>Before</v>
      </c>
    </row>
    <row r="299" spans="1:16">
      <c r="A299" s="11" t="s">
        <v>319</v>
      </c>
      <c r="B299" s="6" t="s">
        <v>55</v>
      </c>
      <c r="C299" s="12">
        <v>45531</v>
      </c>
      <c r="D299" s="6" t="s">
        <v>36</v>
      </c>
      <c r="E299" s="6" t="s">
        <v>69</v>
      </c>
      <c r="F299" s="6">
        <v>3960</v>
      </c>
      <c r="G299" s="6">
        <v>266</v>
      </c>
      <c r="H299" s="6">
        <v>8</v>
      </c>
      <c r="I299" s="6">
        <v>35640</v>
      </c>
      <c r="J299" s="6">
        <v>34850</v>
      </c>
      <c r="K299" s="6">
        <v>208</v>
      </c>
      <c r="L299" s="6" t="s">
        <v>38</v>
      </c>
      <c r="M299" s="6"/>
      <c r="N299" s="14">
        <f>(Posts1116[[#This Row],[Likes]]+Posts1116[[#This Row],[Shares]]+Posts1116[[#This Row],[Comments]])/Posts1116[[#This Row],[Impressions]]</f>
        <v>0.11879910213243547</v>
      </c>
      <c r="O299" t="e">
        <f>_xlfn.XLOOKUP(Posts1116[[#This Row],[Campaign_Name]],Campaign_Metadata[Campaign_Name],Campaign_Metadata[Objective])</f>
        <v>#N/A</v>
      </c>
      <c r="P299" t="str">
        <f>IF(AND(Posts1116[[#This Row],[Date]]&gt;=DATE(2024,6,15), Posts1116[[#This Row],[Date]]&lt;=DATE(2024,7,15)),"During", "Before")</f>
        <v>Before</v>
      </c>
    </row>
    <row r="300" spans="1:16">
      <c r="A300" s="9" t="s">
        <v>319</v>
      </c>
      <c r="B300" s="5" t="s">
        <v>55</v>
      </c>
      <c r="C300" s="10">
        <v>45531</v>
      </c>
      <c r="D300" s="5" t="s">
        <v>36</v>
      </c>
      <c r="E300" s="5" t="s">
        <v>69</v>
      </c>
      <c r="F300" s="5">
        <v>3960</v>
      </c>
      <c r="G300" s="5">
        <v>266</v>
      </c>
      <c r="H300" s="5">
        <v>8</v>
      </c>
      <c r="I300" s="5">
        <v>35640</v>
      </c>
      <c r="J300" s="5">
        <v>34850</v>
      </c>
      <c r="K300" s="5">
        <v>208</v>
      </c>
      <c r="L300" s="5" t="s">
        <v>52</v>
      </c>
      <c r="M300" s="5"/>
      <c r="N300" s="13">
        <f>(Posts1116[[#This Row],[Likes]]+Posts1116[[#This Row],[Shares]]+Posts1116[[#This Row],[Comments]])/Posts1116[[#This Row],[Impressions]]</f>
        <v>0.11879910213243547</v>
      </c>
      <c r="O300" t="e">
        <f>_xlfn.XLOOKUP(Posts1116[[#This Row],[Campaign_Name]],Campaign_Metadata[Campaign_Name],Campaign_Metadata[Objective])</f>
        <v>#N/A</v>
      </c>
      <c r="P300" t="str">
        <f>IF(AND(Posts1116[[#This Row],[Date]]&gt;=DATE(2024,6,15), Posts1116[[#This Row],[Date]]&lt;=DATE(2024,7,15)),"During", "Before")</f>
        <v>Before</v>
      </c>
    </row>
    <row r="301" spans="1:16">
      <c r="A301" s="11" t="s">
        <v>319</v>
      </c>
      <c r="B301" s="6" t="s">
        <v>55</v>
      </c>
      <c r="C301" s="12">
        <v>45531</v>
      </c>
      <c r="D301" s="6" t="s">
        <v>36</v>
      </c>
      <c r="E301" s="6" t="s">
        <v>69</v>
      </c>
      <c r="F301" s="6">
        <v>3960</v>
      </c>
      <c r="G301" s="6">
        <v>266</v>
      </c>
      <c r="H301" s="6">
        <v>8</v>
      </c>
      <c r="I301" s="6">
        <v>35640</v>
      </c>
      <c r="J301" s="6">
        <v>34850</v>
      </c>
      <c r="K301" s="6">
        <v>208</v>
      </c>
      <c r="L301" s="6" t="s">
        <v>44</v>
      </c>
      <c r="M301" s="6"/>
      <c r="N301" s="14">
        <f>(Posts1116[[#This Row],[Likes]]+Posts1116[[#This Row],[Shares]]+Posts1116[[#This Row],[Comments]])/Posts1116[[#This Row],[Impressions]]</f>
        <v>0.11879910213243547</v>
      </c>
      <c r="O301" t="e">
        <f>_xlfn.XLOOKUP(Posts1116[[#This Row],[Campaign_Name]],Campaign_Metadata[Campaign_Name],Campaign_Metadata[Objective])</f>
        <v>#N/A</v>
      </c>
      <c r="P301" t="str">
        <f>IF(AND(Posts1116[[#This Row],[Date]]&gt;=DATE(2024,6,15), Posts1116[[#This Row],[Date]]&lt;=DATE(2024,7,15)),"During", "Before")</f>
        <v>Before</v>
      </c>
    </row>
    <row r="302" spans="1:16">
      <c r="A302" s="11" t="s">
        <v>213</v>
      </c>
      <c r="B302" s="6" t="s">
        <v>35</v>
      </c>
      <c r="C302" s="12">
        <v>45535</v>
      </c>
      <c r="D302" s="6" t="s">
        <v>61</v>
      </c>
      <c r="E302" s="6" t="s">
        <v>107</v>
      </c>
      <c r="F302" s="6">
        <v>3170</v>
      </c>
      <c r="G302" s="6">
        <v>857</v>
      </c>
      <c r="H302" s="6">
        <v>379</v>
      </c>
      <c r="I302" s="6">
        <v>19020</v>
      </c>
      <c r="J302" s="6">
        <v>18559</v>
      </c>
      <c r="K302" s="6">
        <v>240</v>
      </c>
      <c r="L302" s="6" t="s">
        <v>38</v>
      </c>
      <c r="M302" s="6"/>
      <c r="N302" s="14">
        <f>(Posts1116[[#This Row],[Likes]]+Posts1116[[#This Row],[Shares]]+Posts1116[[#This Row],[Comments]])/Posts1116[[#This Row],[Impressions]]</f>
        <v>0.2316508937960042</v>
      </c>
      <c r="O302" t="e">
        <f>_xlfn.XLOOKUP(Posts1116[[#This Row],[Campaign_Name]],Campaign_Metadata[Campaign_Name],Campaign_Metadata[Objective])</f>
        <v>#N/A</v>
      </c>
      <c r="P302" t="str">
        <f>IF(AND(Posts1116[[#This Row],[Date]]&gt;=DATE(2024,6,15), Posts1116[[#This Row],[Date]]&lt;=DATE(2024,7,15)),"During", "Before")</f>
        <v>Before</v>
      </c>
    </row>
    <row r="303" spans="1:16">
      <c r="A303" s="11" t="s">
        <v>168</v>
      </c>
      <c r="B303" s="6" t="s">
        <v>35</v>
      </c>
      <c r="C303" s="12">
        <v>45545</v>
      </c>
      <c r="D303" s="6" t="s">
        <v>61</v>
      </c>
      <c r="E303" s="6" t="s">
        <v>107</v>
      </c>
      <c r="F303" s="6">
        <v>1238</v>
      </c>
      <c r="G303" s="6">
        <v>366</v>
      </c>
      <c r="H303" s="6">
        <v>444</v>
      </c>
      <c r="I303" s="6">
        <v>19808</v>
      </c>
      <c r="J303" s="6">
        <v>19334</v>
      </c>
      <c r="K303" s="6">
        <v>123</v>
      </c>
      <c r="L303" s="6" t="s">
        <v>38</v>
      </c>
      <c r="M303" s="6"/>
      <c r="N303" s="14">
        <f>(Posts1116[[#This Row],[Likes]]+Posts1116[[#This Row],[Shares]]+Posts1116[[#This Row],[Comments]])/Posts1116[[#This Row],[Impressions]]</f>
        <v>0.10339256865912763</v>
      </c>
      <c r="O303" t="e">
        <f>_xlfn.XLOOKUP(Posts1116[[#This Row],[Campaign_Name]],Campaign_Metadata[Campaign_Name],Campaign_Metadata[Objective])</f>
        <v>#N/A</v>
      </c>
      <c r="P303" t="str">
        <f>IF(AND(Posts1116[[#This Row],[Date]]&gt;=DATE(2024,6,15), Posts1116[[#This Row],[Date]]&lt;=DATE(2024,7,15)),"During", "Before")</f>
        <v>Before</v>
      </c>
    </row>
    <row r="304" spans="1:16">
      <c r="A304" s="9" t="s">
        <v>262</v>
      </c>
      <c r="B304" s="5" t="s">
        <v>46</v>
      </c>
      <c r="C304" s="10">
        <v>45569</v>
      </c>
      <c r="D304" s="5" t="s">
        <v>41</v>
      </c>
      <c r="E304" s="5" t="s">
        <v>92</v>
      </c>
      <c r="F304" s="5">
        <v>1963</v>
      </c>
      <c r="G304" s="5">
        <v>213</v>
      </c>
      <c r="H304" s="5">
        <v>19</v>
      </c>
      <c r="I304" s="5">
        <v>39260</v>
      </c>
      <c r="J304" s="5">
        <v>38771</v>
      </c>
      <c r="K304" s="5">
        <v>145</v>
      </c>
      <c r="L304" s="5" t="s">
        <v>38</v>
      </c>
      <c r="M304" s="5"/>
      <c r="N304" s="13">
        <f>(Posts1116[[#This Row],[Likes]]+Posts1116[[#This Row],[Shares]]+Posts1116[[#This Row],[Comments]])/Posts1116[[#This Row],[Impressions]]</f>
        <v>5.5909322465613857E-2</v>
      </c>
      <c r="O304" t="e">
        <f>_xlfn.XLOOKUP(Posts1116[[#This Row],[Campaign_Name]],Campaign_Metadata[Campaign_Name],Campaign_Metadata[Objective])</f>
        <v>#N/A</v>
      </c>
      <c r="P304" t="str">
        <f>IF(AND(Posts1116[[#This Row],[Date]]&gt;=DATE(2024,6,15), Posts1116[[#This Row],[Date]]&lt;=DATE(2024,7,15)),"During", "Before")</f>
        <v>Before</v>
      </c>
    </row>
    <row r="305" spans="1:16">
      <c r="A305" s="11" t="s">
        <v>339</v>
      </c>
      <c r="B305" s="6" t="s">
        <v>35</v>
      </c>
      <c r="C305" s="12">
        <v>45569</v>
      </c>
      <c r="D305" s="6" t="s">
        <v>36</v>
      </c>
      <c r="E305" s="6" t="s">
        <v>37</v>
      </c>
      <c r="F305" s="6">
        <v>4187</v>
      </c>
      <c r="G305" s="6">
        <v>66</v>
      </c>
      <c r="H305" s="6">
        <v>31</v>
      </c>
      <c r="I305" s="6">
        <v>66992</v>
      </c>
      <c r="J305" s="6">
        <v>66614</v>
      </c>
      <c r="K305" s="6">
        <v>62</v>
      </c>
      <c r="L305" s="6" t="s">
        <v>38</v>
      </c>
      <c r="M305" s="6"/>
      <c r="N305" s="14">
        <f>(Posts1116[[#This Row],[Likes]]+Posts1116[[#This Row],[Shares]]+Posts1116[[#This Row],[Comments]])/Posts1116[[#This Row],[Impressions]]</f>
        <v>6.3947934081681396E-2</v>
      </c>
      <c r="O305" t="e">
        <f>_xlfn.XLOOKUP(Posts1116[[#This Row],[Campaign_Name]],Campaign_Metadata[Campaign_Name],Campaign_Metadata[Objective])</f>
        <v>#N/A</v>
      </c>
      <c r="P305" t="str">
        <f>IF(AND(Posts1116[[#This Row],[Date]]&gt;=DATE(2024,6,15), Posts1116[[#This Row],[Date]]&lt;=DATE(2024,7,15)),"During", "Before")</f>
        <v>Before</v>
      </c>
    </row>
    <row r="306" spans="1:16">
      <c r="A306" s="11" t="s">
        <v>154</v>
      </c>
      <c r="B306" s="6" t="s">
        <v>46</v>
      </c>
      <c r="C306" s="12">
        <v>45580</v>
      </c>
      <c r="D306" s="6" t="s">
        <v>75</v>
      </c>
      <c r="E306" s="6" t="s">
        <v>155</v>
      </c>
      <c r="F306" s="6">
        <v>1094</v>
      </c>
      <c r="G306" s="6">
        <v>472</v>
      </c>
      <c r="H306" s="6">
        <v>21</v>
      </c>
      <c r="I306" s="6">
        <v>9846</v>
      </c>
      <c r="J306" s="6">
        <v>9609</v>
      </c>
      <c r="K306" s="6">
        <v>112</v>
      </c>
      <c r="L306" s="6" t="s">
        <v>52</v>
      </c>
      <c r="M306" s="6"/>
      <c r="N306" s="14">
        <f>(Posts1116[[#This Row],[Likes]]+Posts1116[[#This Row],[Shares]]+Posts1116[[#This Row],[Comments]])/Posts1116[[#This Row],[Impressions]]</f>
        <v>0.16118220597196831</v>
      </c>
      <c r="O306" t="e">
        <f>_xlfn.XLOOKUP(Posts1116[[#This Row],[Campaign_Name]],Campaign_Metadata[Campaign_Name],Campaign_Metadata[Objective])</f>
        <v>#N/A</v>
      </c>
      <c r="P306" t="str">
        <f>IF(AND(Posts1116[[#This Row],[Date]]&gt;=DATE(2024,6,15), Posts1116[[#This Row],[Date]]&lt;=DATE(2024,7,15)),"During", "Before")</f>
        <v>Before</v>
      </c>
    </row>
    <row r="307" spans="1:16">
      <c r="A307" s="11" t="s">
        <v>295</v>
      </c>
      <c r="B307" s="6" t="s">
        <v>35</v>
      </c>
      <c r="C307" s="12">
        <v>45608</v>
      </c>
      <c r="D307" s="6" t="s">
        <v>61</v>
      </c>
      <c r="E307" s="6" t="s">
        <v>107</v>
      </c>
      <c r="F307" s="6">
        <v>3338</v>
      </c>
      <c r="G307" s="6">
        <v>277</v>
      </c>
      <c r="H307" s="6">
        <v>118</v>
      </c>
      <c r="I307" s="6">
        <v>60084</v>
      </c>
      <c r="J307" s="6">
        <v>59842</v>
      </c>
      <c r="K307" s="6">
        <v>252</v>
      </c>
      <c r="L307" s="6" t="s">
        <v>43</v>
      </c>
      <c r="M307" s="6"/>
      <c r="N307" s="14">
        <f>(Posts1116[[#This Row],[Likes]]+Posts1116[[#This Row],[Shares]]+Posts1116[[#This Row],[Comments]])/Posts1116[[#This Row],[Impressions]]</f>
        <v>6.2129685107516146E-2</v>
      </c>
      <c r="O307" t="e">
        <f>_xlfn.XLOOKUP(Posts1116[[#This Row],[Campaign_Name]],Campaign_Metadata[Campaign_Name],Campaign_Metadata[Objective])</f>
        <v>#N/A</v>
      </c>
      <c r="P307" t="str">
        <f>IF(AND(Posts1116[[#This Row],[Date]]&gt;=DATE(2024,6,15), Posts1116[[#This Row],[Date]]&lt;=DATE(2024,7,15)),"During", "Before")</f>
        <v>Before</v>
      </c>
    </row>
    <row r="308" spans="1:16">
      <c r="A308" s="9" t="s">
        <v>364</v>
      </c>
      <c r="B308" s="5" t="s">
        <v>55</v>
      </c>
      <c r="C308" s="10">
        <v>45613</v>
      </c>
      <c r="D308" s="5" t="s">
        <v>41</v>
      </c>
      <c r="E308" s="5" t="s">
        <v>64</v>
      </c>
      <c r="F308" s="5">
        <v>880</v>
      </c>
      <c r="G308" s="5">
        <v>297</v>
      </c>
      <c r="H308" s="5">
        <v>345</v>
      </c>
      <c r="I308" s="5">
        <v>12320</v>
      </c>
      <c r="J308" s="5">
        <v>11978</v>
      </c>
      <c r="K308" s="5">
        <v>238</v>
      </c>
      <c r="L308" s="5" t="s">
        <v>43</v>
      </c>
      <c r="M308" s="5"/>
      <c r="N308" s="13">
        <f>(Posts1116[[#This Row],[Likes]]+Posts1116[[#This Row],[Shares]]+Posts1116[[#This Row],[Comments]])/Posts1116[[#This Row],[Impressions]]</f>
        <v>0.12353896103896105</v>
      </c>
      <c r="O308" t="e">
        <f>_xlfn.XLOOKUP(Posts1116[[#This Row],[Campaign_Name]],Campaign_Metadata[Campaign_Name],Campaign_Metadata[Objective])</f>
        <v>#N/A</v>
      </c>
      <c r="P308" t="str">
        <f>IF(AND(Posts1116[[#This Row],[Date]]&gt;=DATE(2024,6,15), Posts1116[[#This Row],[Date]]&lt;=DATE(2024,7,15)),"During", "Before")</f>
        <v>Before</v>
      </c>
    </row>
    <row r="309" spans="1:16">
      <c r="A309" s="11" t="s">
        <v>364</v>
      </c>
      <c r="B309" s="6" t="s">
        <v>55</v>
      </c>
      <c r="C309" s="12">
        <v>45613</v>
      </c>
      <c r="D309" s="6" t="s">
        <v>41</v>
      </c>
      <c r="E309" s="6" t="s">
        <v>64</v>
      </c>
      <c r="F309" s="6">
        <v>880</v>
      </c>
      <c r="G309" s="6">
        <v>297</v>
      </c>
      <c r="H309" s="6">
        <v>345</v>
      </c>
      <c r="I309" s="6">
        <v>12320</v>
      </c>
      <c r="J309" s="6">
        <v>11978</v>
      </c>
      <c r="K309" s="6">
        <v>238</v>
      </c>
      <c r="L309" s="6" t="s">
        <v>39</v>
      </c>
      <c r="M309" s="6"/>
      <c r="N309" s="14">
        <f>(Posts1116[[#This Row],[Likes]]+Posts1116[[#This Row],[Shares]]+Posts1116[[#This Row],[Comments]])/Posts1116[[#This Row],[Impressions]]</f>
        <v>0.12353896103896105</v>
      </c>
      <c r="O309" t="e">
        <f>_xlfn.XLOOKUP(Posts1116[[#This Row],[Campaign_Name]],Campaign_Metadata[Campaign_Name],Campaign_Metadata[Objective])</f>
        <v>#N/A</v>
      </c>
      <c r="P309" t="str">
        <f>IF(AND(Posts1116[[#This Row],[Date]]&gt;=DATE(2024,6,15), Posts1116[[#This Row],[Date]]&lt;=DATE(2024,7,15)),"During", "Before")</f>
        <v>Before</v>
      </c>
    </row>
    <row r="310" spans="1:16">
      <c r="A310" s="9" t="s">
        <v>105</v>
      </c>
      <c r="B310" s="5" t="s">
        <v>55</v>
      </c>
      <c r="C310" s="10">
        <v>45621</v>
      </c>
      <c r="D310" s="5" t="s">
        <v>61</v>
      </c>
      <c r="E310" s="5" t="s">
        <v>66</v>
      </c>
      <c r="F310" s="5">
        <v>3564</v>
      </c>
      <c r="G310" s="5">
        <v>629</v>
      </c>
      <c r="H310" s="5">
        <v>177</v>
      </c>
      <c r="I310" s="5">
        <v>60588</v>
      </c>
      <c r="J310" s="5">
        <v>59627</v>
      </c>
      <c r="K310" s="5">
        <v>92</v>
      </c>
      <c r="L310" s="5" t="s">
        <v>43</v>
      </c>
      <c r="M310" s="5"/>
      <c r="N310" s="13">
        <f>(Posts1116[[#This Row],[Likes]]+Posts1116[[#This Row],[Shares]]+Posts1116[[#This Row],[Comments]])/Posts1116[[#This Row],[Impressions]]</f>
        <v>7.2126493695121141E-2</v>
      </c>
      <c r="O310" t="e">
        <f>_xlfn.XLOOKUP(Posts1116[[#This Row],[Campaign_Name]],Campaign_Metadata[Campaign_Name],Campaign_Metadata[Objective])</f>
        <v>#N/A</v>
      </c>
      <c r="P310" t="str">
        <f>IF(AND(Posts1116[[#This Row],[Date]]&gt;=DATE(2024,6,15), Posts1116[[#This Row],[Date]]&lt;=DATE(2024,7,15)),"During", "Before")</f>
        <v>Before</v>
      </c>
    </row>
    <row r="311" spans="1:16">
      <c r="A311" s="11" t="s">
        <v>239</v>
      </c>
      <c r="B311" s="6" t="s">
        <v>49</v>
      </c>
      <c r="C311" s="12">
        <v>45624</v>
      </c>
      <c r="D311" s="6" t="s">
        <v>41</v>
      </c>
      <c r="E311" s="6" t="s">
        <v>97</v>
      </c>
      <c r="F311" s="6">
        <v>4771</v>
      </c>
      <c r="G311" s="6">
        <v>818</v>
      </c>
      <c r="H311" s="6">
        <v>56</v>
      </c>
      <c r="I311" s="6">
        <v>57252</v>
      </c>
      <c r="J311" s="6">
        <v>56378</v>
      </c>
      <c r="K311" s="6">
        <v>150</v>
      </c>
      <c r="L311" s="6" t="s">
        <v>38</v>
      </c>
      <c r="M311" s="6"/>
      <c r="N311" s="14">
        <f>(Posts1116[[#This Row],[Likes]]+Posts1116[[#This Row],[Shares]]+Posts1116[[#This Row],[Comments]])/Posts1116[[#This Row],[Impressions]]</f>
        <v>9.859917557465242E-2</v>
      </c>
      <c r="O311" t="e">
        <f>_xlfn.XLOOKUP(Posts1116[[#This Row],[Campaign_Name]],Campaign_Metadata[Campaign_Name],Campaign_Metadata[Objective])</f>
        <v>#N/A</v>
      </c>
      <c r="P311" t="str">
        <f>IF(AND(Posts1116[[#This Row],[Date]]&gt;=DATE(2024,6,15), Posts1116[[#This Row],[Date]]&lt;=DATE(2024,7,15)),"During", "Before")</f>
        <v>Before</v>
      </c>
    </row>
    <row r="312" spans="1:16">
      <c r="A312" s="11" t="s">
        <v>361</v>
      </c>
      <c r="B312" s="6" t="s">
        <v>55</v>
      </c>
      <c r="C312" s="12">
        <v>45624</v>
      </c>
      <c r="D312" s="6" t="s">
        <v>56</v>
      </c>
      <c r="E312" s="6" t="s">
        <v>57</v>
      </c>
      <c r="F312" s="6">
        <v>2751</v>
      </c>
      <c r="G312" s="6">
        <v>33</v>
      </c>
      <c r="H312" s="6">
        <v>430</v>
      </c>
      <c r="I312" s="6">
        <v>44016</v>
      </c>
      <c r="J312" s="6">
        <v>43415</v>
      </c>
      <c r="K312" s="6">
        <v>129</v>
      </c>
      <c r="L312" s="6" t="s">
        <v>38</v>
      </c>
      <c r="M312" s="6"/>
      <c r="N312" s="14">
        <f>(Posts1116[[#This Row],[Likes]]+Posts1116[[#This Row],[Shares]]+Posts1116[[#This Row],[Comments]])/Posts1116[[#This Row],[Impressions]]</f>
        <v>7.3018902217375503E-2</v>
      </c>
      <c r="O312" t="e">
        <f>_xlfn.XLOOKUP(Posts1116[[#This Row],[Campaign_Name]],Campaign_Metadata[Campaign_Name],Campaign_Metadata[Objective])</f>
        <v>#N/A</v>
      </c>
      <c r="P312" t="str">
        <f>IF(AND(Posts1116[[#This Row],[Date]]&gt;=DATE(2024,6,15), Posts1116[[#This Row],[Date]]&lt;=DATE(2024,7,15)),"During", "Before")</f>
        <v>Before</v>
      </c>
    </row>
    <row r="313" spans="1:16">
      <c r="A313" s="9" t="s">
        <v>264</v>
      </c>
      <c r="B313" s="5" t="s">
        <v>49</v>
      </c>
      <c r="C313" s="10">
        <v>45625</v>
      </c>
      <c r="D313" s="5" t="s">
        <v>75</v>
      </c>
      <c r="E313" s="5" t="s">
        <v>82</v>
      </c>
      <c r="F313" s="5">
        <v>1176</v>
      </c>
      <c r="G313" s="5">
        <v>464</v>
      </c>
      <c r="H313" s="5">
        <v>394</v>
      </c>
      <c r="I313" s="5">
        <v>14112</v>
      </c>
      <c r="J313" s="5">
        <v>13588</v>
      </c>
      <c r="K313" s="5">
        <v>272</v>
      </c>
      <c r="L313" s="5" t="s">
        <v>52</v>
      </c>
      <c r="M313" s="5"/>
      <c r="N313" s="13">
        <f>(Posts1116[[#This Row],[Likes]]+Posts1116[[#This Row],[Shares]]+Posts1116[[#This Row],[Comments]])/Posts1116[[#This Row],[Impressions]]</f>
        <v>0.1441326530612245</v>
      </c>
      <c r="O313" t="e">
        <f>_xlfn.XLOOKUP(Posts1116[[#This Row],[Campaign_Name]],Campaign_Metadata[Campaign_Name],Campaign_Metadata[Objective])</f>
        <v>#N/A</v>
      </c>
      <c r="P313" t="str">
        <f>IF(AND(Posts1116[[#This Row],[Date]]&gt;=DATE(2024,6,15), Posts1116[[#This Row],[Date]]&lt;=DATE(2024,7,15)),"During", "Before")</f>
        <v>Before</v>
      </c>
    </row>
    <row r="314" spans="1:16">
      <c r="A314" s="9" t="s">
        <v>289</v>
      </c>
      <c r="B314" s="5" t="s">
        <v>55</v>
      </c>
      <c r="C314" s="10">
        <v>45629</v>
      </c>
      <c r="D314" s="5" t="s">
        <v>61</v>
      </c>
      <c r="E314" s="5" t="s">
        <v>66</v>
      </c>
      <c r="F314" s="5">
        <v>4606</v>
      </c>
      <c r="G314" s="5">
        <v>931</v>
      </c>
      <c r="H314" s="5">
        <v>230</v>
      </c>
      <c r="I314" s="5">
        <v>92120</v>
      </c>
      <c r="J314" s="5">
        <v>91440</v>
      </c>
      <c r="K314" s="5">
        <v>56</v>
      </c>
      <c r="L314" s="5" t="s">
        <v>43</v>
      </c>
      <c r="M314" s="5"/>
      <c r="N314" s="13">
        <f>(Posts1116[[#This Row],[Likes]]+Posts1116[[#This Row],[Shares]]+Posts1116[[#This Row],[Comments]])/Posts1116[[#This Row],[Impressions]]</f>
        <v>6.2603126356925748E-2</v>
      </c>
      <c r="O314" t="e">
        <f>_xlfn.XLOOKUP(Posts1116[[#This Row],[Campaign_Name]],Campaign_Metadata[Campaign_Name],Campaign_Metadata[Objective])</f>
        <v>#N/A</v>
      </c>
      <c r="P314" t="str">
        <f>IF(AND(Posts1116[[#This Row],[Date]]&gt;=DATE(2024,6,15), Posts1116[[#This Row],[Date]]&lt;=DATE(2024,7,15)),"During", "Before")</f>
        <v>Before</v>
      </c>
    </row>
    <row r="315" spans="1:16">
      <c r="A315" s="9" t="s">
        <v>138</v>
      </c>
      <c r="B315" s="5" t="s">
        <v>49</v>
      </c>
      <c r="C315" s="10">
        <v>45634</v>
      </c>
      <c r="D315" s="5" t="s">
        <v>50</v>
      </c>
      <c r="E315" s="5" t="s">
        <v>51</v>
      </c>
      <c r="F315" s="5">
        <v>2610</v>
      </c>
      <c r="G315" s="5">
        <v>126</v>
      </c>
      <c r="H315" s="5">
        <v>288</v>
      </c>
      <c r="I315" s="5">
        <v>15660</v>
      </c>
      <c r="J315" s="5">
        <v>15145</v>
      </c>
      <c r="K315" s="5">
        <v>73</v>
      </c>
      <c r="L315" s="5" t="s">
        <v>52</v>
      </c>
      <c r="M315" s="5"/>
      <c r="N315" s="13">
        <f>(Posts1116[[#This Row],[Likes]]+Posts1116[[#This Row],[Shares]]+Posts1116[[#This Row],[Comments]])/Posts1116[[#This Row],[Impressions]]</f>
        <v>0.19310344827586207</v>
      </c>
      <c r="O315" t="e">
        <f>_xlfn.XLOOKUP(Posts1116[[#This Row],[Campaign_Name]],Campaign_Metadata[Campaign_Name],Campaign_Metadata[Objective])</f>
        <v>#N/A</v>
      </c>
      <c r="P315" t="str">
        <f>IF(AND(Posts1116[[#This Row],[Date]]&gt;=DATE(2024,6,15), Posts1116[[#This Row],[Date]]&lt;=DATE(2024,7,15)),"During", "Before")</f>
        <v>Before</v>
      </c>
    </row>
    <row r="316" spans="1:16">
      <c r="A316" s="9" t="s">
        <v>161</v>
      </c>
      <c r="B316" s="5" t="s">
        <v>35</v>
      </c>
      <c r="C316" s="10">
        <v>45667</v>
      </c>
      <c r="D316" s="5" t="s">
        <v>61</v>
      </c>
      <c r="E316" s="5" t="s">
        <v>107</v>
      </c>
      <c r="F316" s="5">
        <v>2214</v>
      </c>
      <c r="G316" s="5">
        <v>249</v>
      </c>
      <c r="H316" s="5">
        <v>152</v>
      </c>
      <c r="I316" s="5">
        <v>15498</v>
      </c>
      <c r="J316" s="5">
        <v>14800</v>
      </c>
      <c r="K316" s="5">
        <v>180</v>
      </c>
      <c r="L316" s="5" t="s">
        <v>52</v>
      </c>
      <c r="M316" s="5"/>
      <c r="N316" s="13">
        <f>(Posts1116[[#This Row],[Likes]]+Posts1116[[#This Row],[Shares]]+Posts1116[[#This Row],[Comments]])/Posts1116[[#This Row],[Impressions]]</f>
        <v>0.16873144921925409</v>
      </c>
      <c r="O316" t="e">
        <f>_xlfn.XLOOKUP(Posts1116[[#This Row],[Campaign_Name]],Campaign_Metadata[Campaign_Name],Campaign_Metadata[Objective])</f>
        <v>#N/A</v>
      </c>
      <c r="P316" t="str">
        <f>IF(AND(Posts1116[[#This Row],[Date]]&gt;=DATE(2024,6,15), Posts1116[[#This Row],[Date]]&lt;=DATE(2024,7,15)),"During", "Before")</f>
        <v>Before</v>
      </c>
    </row>
    <row r="317" spans="1:16">
      <c r="A317" s="11" t="s">
        <v>200</v>
      </c>
      <c r="B317" s="6" t="s">
        <v>35</v>
      </c>
      <c r="C317" s="12">
        <v>45667</v>
      </c>
      <c r="D317" s="6" t="s">
        <v>61</v>
      </c>
      <c r="E317" s="6" t="s">
        <v>107</v>
      </c>
      <c r="F317" s="6">
        <v>3092</v>
      </c>
      <c r="G317" s="6">
        <v>106</v>
      </c>
      <c r="H317" s="6">
        <v>291</v>
      </c>
      <c r="I317" s="6">
        <v>27828</v>
      </c>
      <c r="J317" s="6">
        <v>27217</v>
      </c>
      <c r="K317" s="6">
        <v>102</v>
      </c>
      <c r="L317" s="6" t="s">
        <v>38</v>
      </c>
      <c r="M317" s="6"/>
      <c r="N317" s="14">
        <f>(Posts1116[[#This Row],[Likes]]+Posts1116[[#This Row],[Shares]]+Posts1116[[#This Row],[Comments]])/Posts1116[[#This Row],[Impressions]]</f>
        <v>0.12537731780940059</v>
      </c>
      <c r="O317" t="e">
        <f>_xlfn.XLOOKUP(Posts1116[[#This Row],[Campaign_Name]],Campaign_Metadata[Campaign_Name],Campaign_Metadata[Objective])</f>
        <v>#N/A</v>
      </c>
      <c r="P317" t="str">
        <f>IF(AND(Posts1116[[#This Row],[Date]]&gt;=DATE(2024,6,15), Posts1116[[#This Row],[Date]]&lt;=DATE(2024,7,15)),"During", "Before")</f>
        <v>Before</v>
      </c>
    </row>
    <row r="318" spans="1:16">
      <c r="A318" s="11" t="s">
        <v>257</v>
      </c>
      <c r="B318" s="6" t="s">
        <v>49</v>
      </c>
      <c r="C318" s="12">
        <v>45668</v>
      </c>
      <c r="D318" s="6" t="s">
        <v>56</v>
      </c>
      <c r="E318" s="6" t="s">
        <v>84</v>
      </c>
      <c r="F318" s="6">
        <v>4523</v>
      </c>
      <c r="G318" s="6">
        <v>61</v>
      </c>
      <c r="H318" s="6">
        <v>157</v>
      </c>
      <c r="I318" s="6">
        <v>49753</v>
      </c>
      <c r="J318" s="6">
        <v>49329</v>
      </c>
      <c r="K318" s="6">
        <v>71</v>
      </c>
      <c r="L318" s="6" t="s">
        <v>52</v>
      </c>
      <c r="M318" s="6"/>
      <c r="N318" s="14">
        <f>(Posts1116[[#This Row],[Likes]]+Posts1116[[#This Row],[Shares]]+Posts1116[[#This Row],[Comments]])/Posts1116[[#This Row],[Impressions]]</f>
        <v>9.5290736237010829E-2</v>
      </c>
      <c r="O318" t="e">
        <f>_xlfn.XLOOKUP(Posts1116[[#This Row],[Campaign_Name]],Campaign_Metadata[Campaign_Name],Campaign_Metadata[Objective])</f>
        <v>#N/A</v>
      </c>
      <c r="P318" t="str">
        <f>IF(AND(Posts1116[[#This Row],[Date]]&gt;=DATE(2024,6,15), Posts1116[[#This Row],[Date]]&lt;=DATE(2024,7,15)),"During", "Before")</f>
        <v>Before</v>
      </c>
    </row>
    <row r="319" spans="1:16">
      <c r="A319" s="9" t="s">
        <v>334</v>
      </c>
      <c r="B319" s="5" t="s">
        <v>46</v>
      </c>
      <c r="C319" s="10">
        <v>45675</v>
      </c>
      <c r="D319" s="5" t="s">
        <v>61</v>
      </c>
      <c r="E319" s="5" t="s">
        <v>62</v>
      </c>
      <c r="F319" s="5">
        <v>1206</v>
      </c>
      <c r="G319" s="5">
        <v>238</v>
      </c>
      <c r="H319" s="5">
        <v>36</v>
      </c>
      <c r="I319" s="5">
        <v>9648</v>
      </c>
      <c r="J319" s="5">
        <v>9417</v>
      </c>
      <c r="K319" s="5">
        <v>237</v>
      </c>
      <c r="L319" s="5" t="s">
        <v>43</v>
      </c>
      <c r="M319" s="5"/>
      <c r="N319" s="13">
        <f>(Posts1116[[#This Row],[Likes]]+Posts1116[[#This Row],[Shares]]+Posts1116[[#This Row],[Comments]])/Posts1116[[#This Row],[Impressions]]</f>
        <v>0.15339966832504145</v>
      </c>
      <c r="O319" t="e">
        <f>_xlfn.XLOOKUP(Posts1116[[#This Row],[Campaign_Name]],Campaign_Metadata[Campaign_Name],Campaign_Metadata[Objective])</f>
        <v>#N/A</v>
      </c>
      <c r="P319" t="str">
        <f>IF(AND(Posts1116[[#This Row],[Date]]&gt;=DATE(2024,6,15), Posts1116[[#This Row],[Date]]&lt;=DATE(2024,7,15)),"During", "Before")</f>
        <v>Before</v>
      </c>
    </row>
    <row r="320" spans="1:16">
      <c r="A320" s="9" t="s">
        <v>320</v>
      </c>
      <c r="B320" s="5" t="s">
        <v>55</v>
      </c>
      <c r="C320" s="10">
        <v>45690</v>
      </c>
      <c r="D320" s="5" t="s">
        <v>50</v>
      </c>
      <c r="E320" s="5" t="s">
        <v>73</v>
      </c>
      <c r="F320" s="5">
        <v>886</v>
      </c>
      <c r="G320" s="5">
        <v>126</v>
      </c>
      <c r="H320" s="5">
        <v>153</v>
      </c>
      <c r="I320" s="5">
        <v>4430</v>
      </c>
      <c r="J320" s="5">
        <v>4037</v>
      </c>
      <c r="K320" s="5">
        <v>212</v>
      </c>
      <c r="L320" s="5" t="s">
        <v>52</v>
      </c>
      <c r="M320" s="5"/>
      <c r="N320" s="13">
        <f>(Posts1116[[#This Row],[Likes]]+Posts1116[[#This Row],[Shares]]+Posts1116[[#This Row],[Comments]])/Posts1116[[#This Row],[Impressions]]</f>
        <v>0.26297968397291194</v>
      </c>
      <c r="O320" t="e">
        <f>_xlfn.XLOOKUP(Posts1116[[#This Row],[Campaign_Name]],Campaign_Metadata[Campaign_Name],Campaign_Metadata[Objective])</f>
        <v>#N/A</v>
      </c>
      <c r="P320" t="str">
        <f>IF(AND(Posts1116[[#This Row],[Date]]&gt;=DATE(2024,6,15), Posts1116[[#This Row],[Date]]&lt;=DATE(2024,7,15)),"During", "Before")</f>
        <v>Before</v>
      </c>
    </row>
    <row r="321" spans="1:16">
      <c r="A321" s="9" t="s">
        <v>191</v>
      </c>
      <c r="B321" s="5" t="s">
        <v>49</v>
      </c>
      <c r="C321" s="10">
        <v>45695</v>
      </c>
      <c r="D321" s="5" t="s">
        <v>36</v>
      </c>
      <c r="E321" s="5" t="s">
        <v>80</v>
      </c>
      <c r="F321" s="5">
        <v>1970</v>
      </c>
      <c r="G321" s="5">
        <v>675</v>
      </c>
      <c r="H321" s="5">
        <v>478</v>
      </c>
      <c r="I321" s="5">
        <v>9850</v>
      </c>
      <c r="J321" s="5">
        <v>8924</v>
      </c>
      <c r="K321" s="5">
        <v>117</v>
      </c>
      <c r="L321" s="5" t="s">
        <v>38</v>
      </c>
      <c r="M321" s="5"/>
      <c r="N321" s="13">
        <f>(Posts1116[[#This Row],[Likes]]+Posts1116[[#This Row],[Shares]]+Posts1116[[#This Row],[Comments]])/Posts1116[[#This Row],[Impressions]]</f>
        <v>0.31705583756345179</v>
      </c>
      <c r="O321" t="e">
        <f>_xlfn.XLOOKUP(Posts1116[[#This Row],[Campaign_Name]],Campaign_Metadata[Campaign_Name],Campaign_Metadata[Objective])</f>
        <v>#N/A</v>
      </c>
      <c r="P321" t="str">
        <f>IF(AND(Posts1116[[#This Row],[Date]]&gt;=DATE(2024,6,15), Posts1116[[#This Row],[Date]]&lt;=DATE(2024,7,15)),"During", "Before")</f>
        <v>Before</v>
      </c>
    </row>
    <row r="322" spans="1:16">
      <c r="A322" s="9" t="s">
        <v>172</v>
      </c>
      <c r="B322" s="5" t="s">
        <v>46</v>
      </c>
      <c r="C322" s="10">
        <v>45698</v>
      </c>
      <c r="D322" s="5" t="s">
        <v>75</v>
      </c>
      <c r="E322" s="5" t="s">
        <v>155</v>
      </c>
      <c r="F322" s="5">
        <v>1766</v>
      </c>
      <c r="G322" s="5">
        <v>92</v>
      </c>
      <c r="H322" s="5">
        <v>424</v>
      </c>
      <c r="I322" s="5">
        <v>24724</v>
      </c>
      <c r="J322" s="5">
        <v>24333</v>
      </c>
      <c r="K322" s="5">
        <v>52</v>
      </c>
      <c r="L322" s="5" t="s">
        <v>52</v>
      </c>
      <c r="M322" s="5"/>
      <c r="N322" s="13">
        <f>(Posts1116[[#This Row],[Likes]]+Posts1116[[#This Row],[Shares]]+Posts1116[[#This Row],[Comments]])/Posts1116[[#This Row],[Impressions]]</f>
        <v>9.2298980747451867E-2</v>
      </c>
      <c r="O322" t="e">
        <f>_xlfn.XLOOKUP(Posts1116[[#This Row],[Campaign_Name]],Campaign_Metadata[Campaign_Name],Campaign_Metadata[Objective])</f>
        <v>#N/A</v>
      </c>
      <c r="P322" t="str">
        <f>IF(AND(Posts1116[[#This Row],[Date]]&gt;=DATE(2024,6,15), Posts1116[[#This Row],[Date]]&lt;=DATE(2024,7,15)),"During", "Before")</f>
        <v>Before</v>
      </c>
    </row>
    <row r="323" spans="1:16">
      <c r="A323" s="9" t="s">
        <v>72</v>
      </c>
      <c r="B323" s="5" t="s">
        <v>55</v>
      </c>
      <c r="C323" s="10">
        <v>45704</v>
      </c>
      <c r="D323" s="5" t="s">
        <v>50</v>
      </c>
      <c r="E323" s="5" t="s">
        <v>73</v>
      </c>
      <c r="F323" s="5">
        <v>4242</v>
      </c>
      <c r="G323" s="5">
        <v>555</v>
      </c>
      <c r="H323" s="5">
        <v>131</v>
      </c>
      <c r="I323" s="5">
        <v>33936</v>
      </c>
      <c r="J323" s="5">
        <v>33802</v>
      </c>
      <c r="K323" s="5">
        <v>265</v>
      </c>
      <c r="L323" s="5" t="s">
        <v>38</v>
      </c>
      <c r="M323" s="5"/>
      <c r="N323" s="13">
        <f>(Posts1116[[#This Row],[Likes]]+Posts1116[[#This Row],[Shares]]+Posts1116[[#This Row],[Comments]])/Posts1116[[#This Row],[Impressions]]</f>
        <v>0.14521452145214522</v>
      </c>
      <c r="O323" t="e">
        <f>_xlfn.XLOOKUP(Posts1116[[#This Row],[Campaign_Name]],Campaign_Metadata[Campaign_Name],Campaign_Metadata[Objective])</f>
        <v>#N/A</v>
      </c>
      <c r="P323" t="str">
        <f>IF(AND(Posts1116[[#This Row],[Date]]&gt;=DATE(2024,6,15), Posts1116[[#This Row],[Date]]&lt;=DATE(2024,7,15)),"During", "Before")</f>
        <v>Before</v>
      </c>
    </row>
    <row r="324" spans="1:16">
      <c r="A324" s="9" t="s">
        <v>115</v>
      </c>
      <c r="B324" s="5" t="s">
        <v>35</v>
      </c>
      <c r="C324" s="10">
        <v>45712</v>
      </c>
      <c r="D324" s="5" t="s">
        <v>56</v>
      </c>
      <c r="E324" s="5" t="s">
        <v>59</v>
      </c>
      <c r="F324" s="5">
        <v>2704</v>
      </c>
      <c r="G324" s="5">
        <v>752</v>
      </c>
      <c r="H324" s="5">
        <v>153</v>
      </c>
      <c r="I324" s="5">
        <v>21632</v>
      </c>
      <c r="J324" s="5">
        <v>20792</v>
      </c>
      <c r="K324" s="5">
        <v>127</v>
      </c>
      <c r="L324" s="5" t="s">
        <v>38</v>
      </c>
      <c r="M324" s="5"/>
      <c r="N324" s="13">
        <f>(Posts1116[[#This Row],[Likes]]+Posts1116[[#This Row],[Shares]]+Posts1116[[#This Row],[Comments]])/Posts1116[[#This Row],[Impressions]]</f>
        <v>0.16683616863905326</v>
      </c>
      <c r="O324" t="e">
        <f>_xlfn.XLOOKUP(Posts1116[[#This Row],[Campaign_Name]],Campaign_Metadata[Campaign_Name],Campaign_Metadata[Objective])</f>
        <v>#N/A</v>
      </c>
      <c r="P324" t="str">
        <f>IF(AND(Posts1116[[#This Row],[Date]]&gt;=DATE(2024,6,15), Posts1116[[#This Row],[Date]]&lt;=DATE(2024,7,15)),"During", "Before")</f>
        <v>Before</v>
      </c>
    </row>
    <row r="325" spans="1:16">
      <c r="A325" s="9" t="s">
        <v>123</v>
      </c>
      <c r="B325" s="5" t="s">
        <v>46</v>
      </c>
      <c r="C325" s="10">
        <v>45712</v>
      </c>
      <c r="D325" s="5" t="s">
        <v>56</v>
      </c>
      <c r="E325" s="5" t="s">
        <v>71</v>
      </c>
      <c r="F325" s="5">
        <v>804</v>
      </c>
      <c r="G325" s="5">
        <v>639</v>
      </c>
      <c r="H325" s="5">
        <v>43</v>
      </c>
      <c r="I325" s="5">
        <v>4020</v>
      </c>
      <c r="J325" s="5">
        <v>3144</v>
      </c>
      <c r="K325" s="5">
        <v>11</v>
      </c>
      <c r="L325" s="5" t="s">
        <v>52</v>
      </c>
      <c r="M325" s="5"/>
      <c r="N325" s="13">
        <f>(Posts1116[[#This Row],[Likes]]+Posts1116[[#This Row],[Shares]]+Posts1116[[#This Row],[Comments]])/Posts1116[[#This Row],[Impressions]]</f>
        <v>0.36965174129353234</v>
      </c>
      <c r="O325" t="e">
        <f>_xlfn.XLOOKUP(Posts1116[[#This Row],[Campaign_Name]],Campaign_Metadata[Campaign_Name],Campaign_Metadata[Objective])</f>
        <v>#N/A</v>
      </c>
      <c r="P325" t="str">
        <f>IF(AND(Posts1116[[#This Row],[Date]]&gt;=DATE(2024,6,15), Posts1116[[#This Row],[Date]]&lt;=DATE(2024,7,15)),"During", "Before")</f>
        <v>Before</v>
      </c>
    </row>
    <row r="326" spans="1:16">
      <c r="A326" s="11" t="s">
        <v>123</v>
      </c>
      <c r="B326" s="6" t="s">
        <v>46</v>
      </c>
      <c r="C326" s="12">
        <v>45712</v>
      </c>
      <c r="D326" s="6" t="s">
        <v>56</v>
      </c>
      <c r="E326" s="6" t="s">
        <v>71</v>
      </c>
      <c r="F326" s="6">
        <v>804</v>
      </c>
      <c r="G326" s="6">
        <v>639</v>
      </c>
      <c r="H326" s="6">
        <v>43</v>
      </c>
      <c r="I326" s="6">
        <v>4020</v>
      </c>
      <c r="J326" s="6">
        <v>3144</v>
      </c>
      <c r="K326" s="6">
        <v>11</v>
      </c>
      <c r="L326" s="6" t="s">
        <v>44</v>
      </c>
      <c r="M326" s="6"/>
      <c r="N326" s="14">
        <f>(Posts1116[[#This Row],[Likes]]+Posts1116[[#This Row],[Shares]]+Posts1116[[#This Row],[Comments]])/Posts1116[[#This Row],[Impressions]]</f>
        <v>0.36965174129353234</v>
      </c>
      <c r="O326" t="e">
        <f>_xlfn.XLOOKUP(Posts1116[[#This Row],[Campaign_Name]],Campaign_Metadata[Campaign_Name],Campaign_Metadata[Objective])</f>
        <v>#N/A</v>
      </c>
      <c r="P326" t="str">
        <f>IF(AND(Posts1116[[#This Row],[Date]]&gt;=DATE(2024,6,15), Posts1116[[#This Row],[Date]]&lt;=DATE(2024,7,15)),"During", "Before")</f>
        <v>Before</v>
      </c>
    </row>
    <row r="327" spans="1:16">
      <c r="A327" s="11" t="s">
        <v>311</v>
      </c>
      <c r="B327" s="6" t="s">
        <v>46</v>
      </c>
      <c r="C327" s="12">
        <v>45712</v>
      </c>
      <c r="D327" s="6" t="s">
        <v>41</v>
      </c>
      <c r="E327" s="6" t="s">
        <v>92</v>
      </c>
      <c r="F327" s="6">
        <v>4188</v>
      </c>
      <c r="G327" s="6">
        <v>942</v>
      </c>
      <c r="H327" s="6">
        <v>118</v>
      </c>
      <c r="I327" s="6">
        <v>20940</v>
      </c>
      <c r="J327" s="6">
        <v>20471</v>
      </c>
      <c r="K327" s="6">
        <v>102</v>
      </c>
      <c r="L327" s="6" t="s">
        <v>38</v>
      </c>
      <c r="M327" s="6"/>
      <c r="N327" s="14">
        <f>(Posts1116[[#This Row],[Likes]]+Posts1116[[#This Row],[Shares]]+Posts1116[[#This Row],[Comments]])/Posts1116[[#This Row],[Impressions]]</f>
        <v>0.25062082139446035</v>
      </c>
      <c r="O327" t="e">
        <f>_xlfn.XLOOKUP(Posts1116[[#This Row],[Campaign_Name]],Campaign_Metadata[Campaign_Name],Campaign_Metadata[Objective])</f>
        <v>#N/A</v>
      </c>
      <c r="P327" t="str">
        <f>IF(AND(Posts1116[[#This Row],[Date]]&gt;=DATE(2024,6,15), Posts1116[[#This Row],[Date]]&lt;=DATE(2024,7,15)),"During", "Before")</f>
        <v>Before</v>
      </c>
    </row>
    <row r="328" spans="1:16">
      <c r="A328" s="11" t="s">
        <v>95</v>
      </c>
      <c r="B328" s="6" t="s">
        <v>49</v>
      </c>
      <c r="C328" s="12">
        <v>45713</v>
      </c>
      <c r="D328" s="6" t="s">
        <v>75</v>
      </c>
      <c r="E328" s="6" t="s">
        <v>82</v>
      </c>
      <c r="F328" s="6">
        <v>3095</v>
      </c>
      <c r="G328" s="6">
        <v>39</v>
      </c>
      <c r="H328" s="6">
        <v>78</v>
      </c>
      <c r="I328" s="6">
        <v>55710</v>
      </c>
      <c r="J328" s="6">
        <v>54808</v>
      </c>
      <c r="K328" s="6">
        <v>93</v>
      </c>
      <c r="L328" s="6" t="s">
        <v>52</v>
      </c>
      <c r="M328" s="6"/>
      <c r="N328" s="14">
        <f>(Posts1116[[#This Row],[Likes]]+Posts1116[[#This Row],[Shares]]+Posts1116[[#This Row],[Comments]])/Posts1116[[#This Row],[Impressions]]</f>
        <v>5.7655717106444085E-2</v>
      </c>
      <c r="O328" t="e">
        <f>_xlfn.XLOOKUP(Posts1116[[#This Row],[Campaign_Name]],Campaign_Metadata[Campaign_Name],Campaign_Metadata[Objective])</f>
        <v>#N/A</v>
      </c>
      <c r="P328" t="str">
        <f>IF(AND(Posts1116[[#This Row],[Date]]&gt;=DATE(2024,6,15), Posts1116[[#This Row],[Date]]&lt;=DATE(2024,7,15)),"During", "Before")</f>
        <v>Before</v>
      </c>
    </row>
    <row r="329" spans="1:16">
      <c r="A329" s="11" t="s">
        <v>111</v>
      </c>
      <c r="B329" s="6" t="s">
        <v>35</v>
      </c>
      <c r="C329" s="12">
        <v>45718</v>
      </c>
      <c r="D329" s="6" t="s">
        <v>61</v>
      </c>
      <c r="E329" s="6" t="s">
        <v>107</v>
      </c>
      <c r="F329" s="6">
        <v>2358</v>
      </c>
      <c r="G329" s="6">
        <v>784</v>
      </c>
      <c r="H329" s="6">
        <v>344</v>
      </c>
      <c r="I329" s="6">
        <v>35370</v>
      </c>
      <c r="J329" s="6">
        <v>34475</v>
      </c>
      <c r="K329" s="6">
        <v>216</v>
      </c>
      <c r="L329" s="6" t="s">
        <v>43</v>
      </c>
      <c r="M329" s="6"/>
      <c r="N329" s="14">
        <f>(Posts1116[[#This Row],[Likes]]+Posts1116[[#This Row],[Shares]]+Posts1116[[#This Row],[Comments]])/Posts1116[[#This Row],[Impressions]]</f>
        <v>9.8558100084817649E-2</v>
      </c>
      <c r="O329" t="e">
        <f>_xlfn.XLOOKUP(Posts1116[[#This Row],[Campaign_Name]],Campaign_Metadata[Campaign_Name],Campaign_Metadata[Objective])</f>
        <v>#N/A</v>
      </c>
      <c r="P329" t="str">
        <f>IF(AND(Posts1116[[#This Row],[Date]]&gt;=DATE(2024,6,15), Posts1116[[#This Row],[Date]]&lt;=DATE(2024,7,15)),"During", "Before")</f>
        <v>Before</v>
      </c>
    </row>
    <row r="330" spans="1:16">
      <c r="A330" s="11" t="s">
        <v>147</v>
      </c>
      <c r="B330" s="6" t="s">
        <v>55</v>
      </c>
      <c r="C330" s="12">
        <v>45720</v>
      </c>
      <c r="D330" s="6" t="s">
        <v>50</v>
      </c>
      <c r="E330" s="6" t="s">
        <v>73</v>
      </c>
      <c r="F330" s="6">
        <v>1249</v>
      </c>
      <c r="G330" s="6">
        <v>116</v>
      </c>
      <c r="H330" s="6">
        <v>420</v>
      </c>
      <c r="I330" s="6">
        <v>8743</v>
      </c>
      <c r="J330" s="6">
        <v>8538</v>
      </c>
      <c r="K330" s="6">
        <v>63</v>
      </c>
      <c r="L330" s="6" t="s">
        <v>43</v>
      </c>
      <c r="M330" s="6"/>
      <c r="N330" s="14">
        <f>(Posts1116[[#This Row],[Likes]]+Posts1116[[#This Row],[Shares]]+Posts1116[[#This Row],[Comments]])/Posts1116[[#This Row],[Impressions]]</f>
        <v>0.20416333066453163</v>
      </c>
      <c r="O330" t="e">
        <f>_xlfn.XLOOKUP(Posts1116[[#This Row],[Campaign_Name]],Campaign_Metadata[Campaign_Name],Campaign_Metadata[Objective])</f>
        <v>#N/A</v>
      </c>
      <c r="P330" t="str">
        <f>IF(AND(Posts1116[[#This Row],[Date]]&gt;=DATE(2024,6,15), Posts1116[[#This Row],[Date]]&lt;=DATE(2024,7,15)),"During", "Before")</f>
        <v>Before</v>
      </c>
    </row>
    <row r="331" spans="1:16">
      <c r="A331" s="11" t="s">
        <v>109</v>
      </c>
      <c r="B331" s="6" t="s">
        <v>46</v>
      </c>
      <c r="C331" s="12">
        <v>45721</v>
      </c>
      <c r="D331" s="6" t="s">
        <v>36</v>
      </c>
      <c r="E331" s="6" t="s">
        <v>47</v>
      </c>
      <c r="F331" s="6">
        <v>1543</v>
      </c>
      <c r="G331" s="6">
        <v>820</v>
      </c>
      <c r="H331" s="6">
        <v>333</v>
      </c>
      <c r="I331" s="6">
        <v>12344</v>
      </c>
      <c r="J331" s="6">
        <v>11496</v>
      </c>
      <c r="K331" s="6">
        <v>241</v>
      </c>
      <c r="L331" s="6" t="s">
        <v>52</v>
      </c>
      <c r="M331" s="6"/>
      <c r="N331" s="14">
        <f>(Posts1116[[#This Row],[Likes]]+Posts1116[[#This Row],[Shares]]+Posts1116[[#This Row],[Comments]])/Posts1116[[#This Row],[Impressions]]</f>
        <v>0.21840570317563188</v>
      </c>
      <c r="O331" t="e">
        <f>_xlfn.XLOOKUP(Posts1116[[#This Row],[Campaign_Name]],Campaign_Metadata[Campaign_Name],Campaign_Metadata[Objective])</f>
        <v>#N/A</v>
      </c>
      <c r="P331" t="str">
        <f>IF(AND(Posts1116[[#This Row],[Date]]&gt;=DATE(2024,6,15), Posts1116[[#This Row],[Date]]&lt;=DATE(2024,7,15)),"During", "Before")</f>
        <v>Before</v>
      </c>
    </row>
    <row r="332" spans="1:16">
      <c r="A332" s="11" t="s">
        <v>116</v>
      </c>
      <c r="B332" s="6" t="s">
        <v>35</v>
      </c>
      <c r="C332" s="12">
        <v>45727</v>
      </c>
      <c r="D332" s="6" t="s">
        <v>50</v>
      </c>
      <c r="E332" s="6" t="s">
        <v>117</v>
      </c>
      <c r="F332" s="6">
        <v>1950</v>
      </c>
      <c r="G332" s="6">
        <v>295</v>
      </c>
      <c r="H332" s="6">
        <v>478</v>
      </c>
      <c r="I332" s="6">
        <v>37050</v>
      </c>
      <c r="J332" s="6">
        <v>36272</v>
      </c>
      <c r="K332" s="6">
        <v>119</v>
      </c>
      <c r="L332" s="6" t="s">
        <v>43</v>
      </c>
      <c r="M332" s="6"/>
      <c r="N332" s="14">
        <f>(Posts1116[[#This Row],[Likes]]+Posts1116[[#This Row],[Shares]]+Posts1116[[#This Row],[Comments]])/Posts1116[[#This Row],[Impressions]]</f>
        <v>7.349527665317139E-2</v>
      </c>
      <c r="O332" t="e">
        <f>_xlfn.XLOOKUP(Posts1116[[#This Row],[Campaign_Name]],Campaign_Metadata[Campaign_Name],Campaign_Metadata[Objective])</f>
        <v>#N/A</v>
      </c>
      <c r="P332" t="str">
        <f>IF(AND(Posts1116[[#This Row],[Date]]&gt;=DATE(2024,6,15), Posts1116[[#This Row],[Date]]&lt;=DATE(2024,7,15)),"During", "Before")</f>
        <v>Before</v>
      </c>
    </row>
    <row r="333" spans="1:16">
      <c r="A333" s="11" t="s">
        <v>188</v>
      </c>
      <c r="B333" s="6" t="s">
        <v>46</v>
      </c>
      <c r="C333" s="12">
        <v>45734</v>
      </c>
      <c r="D333" s="6" t="s">
        <v>36</v>
      </c>
      <c r="E333" s="6" t="s">
        <v>47</v>
      </c>
      <c r="F333" s="6">
        <v>3704</v>
      </c>
      <c r="G333" s="6">
        <v>186</v>
      </c>
      <c r="H333" s="6">
        <v>458</v>
      </c>
      <c r="I333" s="6">
        <v>25928</v>
      </c>
      <c r="J333" s="6">
        <v>25081</v>
      </c>
      <c r="K333" s="6">
        <v>131</v>
      </c>
      <c r="L333" s="6" t="s">
        <v>43</v>
      </c>
      <c r="M333" s="6"/>
      <c r="N333" s="14">
        <f>(Posts1116[[#This Row],[Likes]]+Posts1116[[#This Row],[Shares]]+Posts1116[[#This Row],[Comments]])/Posts1116[[#This Row],[Impressions]]</f>
        <v>0.16769515581610614</v>
      </c>
      <c r="O333" t="e">
        <f>_xlfn.XLOOKUP(Posts1116[[#This Row],[Campaign_Name]],Campaign_Metadata[Campaign_Name],Campaign_Metadata[Objective])</f>
        <v>#N/A</v>
      </c>
      <c r="P333" t="str">
        <f>IF(AND(Posts1116[[#This Row],[Date]]&gt;=DATE(2024,6,15), Posts1116[[#This Row],[Date]]&lt;=DATE(2024,7,15)),"During", "Before")</f>
        <v>Before</v>
      </c>
    </row>
    <row r="334" spans="1:16">
      <c r="A334" s="9" t="s">
        <v>293</v>
      </c>
      <c r="B334" s="5" t="s">
        <v>55</v>
      </c>
      <c r="C334" s="10">
        <v>45739</v>
      </c>
      <c r="D334" s="5" t="s">
        <v>75</v>
      </c>
      <c r="E334" s="5" t="s">
        <v>76</v>
      </c>
      <c r="F334" s="5">
        <v>4453</v>
      </c>
      <c r="G334" s="5">
        <v>111</v>
      </c>
      <c r="H334" s="5">
        <v>420</v>
      </c>
      <c r="I334" s="5">
        <v>31171</v>
      </c>
      <c r="J334" s="5">
        <v>30565</v>
      </c>
      <c r="K334" s="5">
        <v>23</v>
      </c>
      <c r="L334" s="5" t="s">
        <v>43</v>
      </c>
      <c r="M334" s="5"/>
      <c r="N334" s="13">
        <f>(Posts1116[[#This Row],[Likes]]+Posts1116[[#This Row],[Shares]]+Posts1116[[#This Row],[Comments]])/Posts1116[[#This Row],[Impressions]]</f>
        <v>0.15989220750056141</v>
      </c>
      <c r="O334" t="e">
        <f>_xlfn.XLOOKUP(Posts1116[[#This Row],[Campaign_Name]],Campaign_Metadata[Campaign_Name],Campaign_Metadata[Objective])</f>
        <v>#N/A</v>
      </c>
      <c r="P334" t="str">
        <f>IF(AND(Posts1116[[#This Row],[Date]]&gt;=DATE(2024,6,15), Posts1116[[#This Row],[Date]]&lt;=DATE(2024,7,15)),"During", "Before")</f>
        <v>Before</v>
      </c>
    </row>
    <row r="335" spans="1:16">
      <c r="A335" s="11" t="s">
        <v>323</v>
      </c>
      <c r="B335" s="6" t="s">
        <v>49</v>
      </c>
      <c r="C335" s="12">
        <v>45743</v>
      </c>
      <c r="D335" s="6" t="s">
        <v>56</v>
      </c>
      <c r="E335" s="6" t="s">
        <v>84</v>
      </c>
      <c r="F335" s="6">
        <v>1377</v>
      </c>
      <c r="G335" s="6">
        <v>796</v>
      </c>
      <c r="H335" s="6">
        <v>387</v>
      </c>
      <c r="I335" s="6">
        <v>22032</v>
      </c>
      <c r="J335" s="6">
        <v>21869</v>
      </c>
      <c r="K335" s="6">
        <v>189</v>
      </c>
      <c r="L335" s="6" t="s">
        <v>38</v>
      </c>
      <c r="M335" s="6"/>
      <c r="N335" s="14">
        <f>(Posts1116[[#This Row],[Likes]]+Posts1116[[#This Row],[Shares]]+Posts1116[[#This Row],[Comments]])/Posts1116[[#This Row],[Impressions]]</f>
        <v>0.11619462599854757</v>
      </c>
      <c r="O335" t="e">
        <f>_xlfn.XLOOKUP(Posts1116[[#This Row],[Campaign_Name]],Campaign_Metadata[Campaign_Name],Campaign_Metadata[Objective])</f>
        <v>#N/A</v>
      </c>
      <c r="P335" t="str">
        <f>IF(AND(Posts1116[[#This Row],[Date]]&gt;=DATE(2024,6,15), Posts1116[[#This Row],[Date]]&lt;=DATE(2024,7,15)),"During", "Before")</f>
        <v>Before</v>
      </c>
    </row>
    <row r="336" spans="1:16">
      <c r="A336" s="11" t="s">
        <v>135</v>
      </c>
      <c r="B336" s="6" t="s">
        <v>49</v>
      </c>
      <c r="C336" s="12">
        <v>45744</v>
      </c>
      <c r="D336" s="6" t="s">
        <v>50</v>
      </c>
      <c r="E336" s="6" t="s">
        <v>51</v>
      </c>
      <c r="F336" s="6">
        <v>1881</v>
      </c>
      <c r="G336" s="6">
        <v>501</v>
      </c>
      <c r="H336" s="6">
        <v>99</v>
      </c>
      <c r="I336" s="6">
        <v>20691</v>
      </c>
      <c r="J336" s="6">
        <v>19987</v>
      </c>
      <c r="K336" s="6">
        <v>289</v>
      </c>
      <c r="L336" s="6" t="s">
        <v>52</v>
      </c>
      <c r="M336" s="6"/>
      <c r="N336" s="14">
        <f>(Posts1116[[#This Row],[Likes]]+Posts1116[[#This Row],[Shares]]+Posts1116[[#This Row],[Comments]])/Posts1116[[#This Row],[Impressions]]</f>
        <v>0.11990720603160794</v>
      </c>
      <c r="O336" t="e">
        <f>_xlfn.XLOOKUP(Posts1116[[#This Row],[Campaign_Name]],Campaign_Metadata[Campaign_Name],Campaign_Metadata[Objective])</f>
        <v>#N/A</v>
      </c>
      <c r="P336" t="str">
        <f>IF(AND(Posts1116[[#This Row],[Date]]&gt;=DATE(2024,6,15), Posts1116[[#This Row],[Date]]&lt;=DATE(2024,7,15)),"During", "Before")</f>
        <v>Before</v>
      </c>
    </row>
    <row r="337" spans="1:16">
      <c r="A337" s="11" t="s">
        <v>198</v>
      </c>
      <c r="B337" s="6" t="s">
        <v>49</v>
      </c>
      <c r="C337" s="12">
        <v>45744</v>
      </c>
      <c r="D337" s="6" t="s">
        <v>56</v>
      </c>
      <c r="E337" s="6" t="s">
        <v>84</v>
      </c>
      <c r="F337" s="6">
        <v>4158</v>
      </c>
      <c r="G337" s="6">
        <v>167</v>
      </c>
      <c r="H337" s="6">
        <v>241</v>
      </c>
      <c r="I337" s="6">
        <v>45738</v>
      </c>
      <c r="J337" s="6">
        <v>45183</v>
      </c>
      <c r="K337" s="6">
        <v>142</v>
      </c>
      <c r="L337" s="6" t="s">
        <v>38</v>
      </c>
      <c r="M337" s="6"/>
      <c r="N337" s="14">
        <f>(Posts1116[[#This Row],[Likes]]+Posts1116[[#This Row],[Shares]]+Posts1116[[#This Row],[Comments]])/Posts1116[[#This Row],[Impressions]]</f>
        <v>9.9829463465827106E-2</v>
      </c>
      <c r="O337" t="e">
        <f>_xlfn.XLOOKUP(Posts1116[[#This Row],[Campaign_Name]],Campaign_Metadata[Campaign_Name],Campaign_Metadata[Objective])</f>
        <v>#N/A</v>
      </c>
      <c r="P337" t="str">
        <f>IF(AND(Posts1116[[#This Row],[Date]]&gt;=DATE(2024,6,15), Posts1116[[#This Row],[Date]]&lt;=DATE(2024,7,15)),"During", "Before")</f>
        <v>Before</v>
      </c>
    </row>
    <row r="338" spans="1:16">
      <c r="A338" s="11" t="s">
        <v>234</v>
      </c>
      <c r="B338" s="6" t="s">
        <v>55</v>
      </c>
      <c r="C338" s="12">
        <v>45748</v>
      </c>
      <c r="D338" s="6" t="s">
        <v>50</v>
      </c>
      <c r="E338" s="6" t="s">
        <v>73</v>
      </c>
      <c r="F338" s="6">
        <v>3430</v>
      </c>
      <c r="G338" s="6">
        <v>566</v>
      </c>
      <c r="H338" s="6">
        <v>164</v>
      </c>
      <c r="I338" s="6">
        <v>48020</v>
      </c>
      <c r="J338" s="6">
        <v>47305</v>
      </c>
      <c r="K338" s="6">
        <v>120</v>
      </c>
      <c r="L338" s="6" t="s">
        <v>38</v>
      </c>
      <c r="M338" s="6"/>
      <c r="N338" s="14">
        <f>(Posts1116[[#This Row],[Likes]]+Posts1116[[#This Row],[Shares]]+Posts1116[[#This Row],[Comments]])/Posts1116[[#This Row],[Impressions]]</f>
        <v>8.6630570595585168E-2</v>
      </c>
      <c r="O338" t="e">
        <f>_xlfn.XLOOKUP(Posts1116[[#This Row],[Campaign_Name]],Campaign_Metadata[Campaign_Name],Campaign_Metadata[Objective])</f>
        <v>#N/A</v>
      </c>
      <c r="P338" t="str">
        <f>IF(AND(Posts1116[[#This Row],[Date]]&gt;=DATE(2024,6,15), Posts1116[[#This Row],[Date]]&lt;=DATE(2024,7,15)),"During", "Before")</f>
        <v>Before</v>
      </c>
    </row>
    <row r="339" spans="1:16">
      <c r="A339" s="9" t="s">
        <v>140</v>
      </c>
      <c r="B339" s="5" t="s">
        <v>55</v>
      </c>
      <c r="C339" s="10">
        <v>45749</v>
      </c>
      <c r="D339" s="5" t="s">
        <v>75</v>
      </c>
      <c r="E339" s="5" t="s">
        <v>76</v>
      </c>
      <c r="F339" s="5">
        <v>199</v>
      </c>
      <c r="G339" s="5">
        <v>772</v>
      </c>
      <c r="H339" s="5">
        <v>400</v>
      </c>
      <c r="I339" s="5">
        <v>3582</v>
      </c>
      <c r="J339" s="5">
        <v>2988</v>
      </c>
      <c r="K339" s="5">
        <v>43</v>
      </c>
      <c r="L339" s="5" t="s">
        <v>43</v>
      </c>
      <c r="M339" s="5"/>
      <c r="N339" s="13">
        <f>(Posts1116[[#This Row],[Likes]]+Posts1116[[#This Row],[Shares]]+Posts1116[[#This Row],[Comments]])/Posts1116[[#This Row],[Impressions]]</f>
        <v>0.38274706867671693</v>
      </c>
      <c r="O339" t="e">
        <f>_xlfn.XLOOKUP(Posts1116[[#This Row],[Campaign_Name]],Campaign_Metadata[Campaign_Name],Campaign_Metadata[Objective])</f>
        <v>#N/A</v>
      </c>
      <c r="P339" t="str">
        <f>IF(AND(Posts1116[[#This Row],[Date]]&gt;=DATE(2024,6,15), Posts1116[[#This Row],[Date]]&lt;=DATE(2024,7,15)),"During", "Before")</f>
        <v>Before</v>
      </c>
    </row>
    <row r="340" spans="1:16">
      <c r="A340" s="9" t="s">
        <v>89</v>
      </c>
      <c r="B340" s="5" t="s">
        <v>35</v>
      </c>
      <c r="C340" s="10">
        <v>45757</v>
      </c>
      <c r="D340" s="5" t="s">
        <v>56</v>
      </c>
      <c r="E340" s="5" t="s">
        <v>59</v>
      </c>
      <c r="F340" s="5">
        <v>3128</v>
      </c>
      <c r="G340" s="5">
        <v>211</v>
      </c>
      <c r="H340" s="5">
        <v>197</v>
      </c>
      <c r="I340" s="5">
        <v>59432</v>
      </c>
      <c r="J340" s="5">
        <v>59182</v>
      </c>
      <c r="K340" s="5">
        <v>238</v>
      </c>
      <c r="L340" s="5" t="s">
        <v>52</v>
      </c>
      <c r="M340" s="5"/>
      <c r="N340" s="13">
        <f>(Posts1116[[#This Row],[Likes]]+Posts1116[[#This Row],[Shares]]+Posts1116[[#This Row],[Comments]])/Posts1116[[#This Row],[Impressions]]</f>
        <v>5.9496567505720827E-2</v>
      </c>
      <c r="O340" t="e">
        <f>_xlfn.XLOOKUP(Posts1116[[#This Row],[Campaign_Name]],Campaign_Metadata[Campaign_Name],Campaign_Metadata[Objective])</f>
        <v>#N/A</v>
      </c>
      <c r="P340" t="str">
        <f>IF(AND(Posts1116[[#This Row],[Date]]&gt;=DATE(2024,6,15), Posts1116[[#This Row],[Date]]&lt;=DATE(2024,7,15)),"During", "Before")</f>
        <v>Before</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600BC-ED95-4930-9A2D-7781D5C11DCE}">
  <dimension ref="A1:G5"/>
  <sheetViews>
    <sheetView workbookViewId="0">
      <selection activeCell="F6" sqref="F6"/>
    </sheetView>
  </sheetViews>
  <sheetFormatPr defaultRowHeight="14.4"/>
  <cols>
    <col min="1" max="1" width="17.5546875" bestFit="1" customWidth="1"/>
    <col min="2" max="2" width="12" bestFit="1" customWidth="1"/>
    <col min="3" max="3" width="11" bestFit="1" customWidth="1"/>
    <col min="4" max="4" width="19.33203125" bestFit="1" customWidth="1"/>
    <col min="5" max="5" width="13.88671875" bestFit="1" customWidth="1"/>
    <col min="6" max="6" width="17.6640625" bestFit="1" customWidth="1"/>
    <col min="7" max="7" width="29.33203125" bestFit="1" customWidth="1"/>
  </cols>
  <sheetData>
    <row r="1" spans="1:7">
      <c r="A1" t="s">
        <v>0</v>
      </c>
      <c r="B1" t="s">
        <v>1</v>
      </c>
      <c r="C1" t="s">
        <v>2</v>
      </c>
      <c r="D1" t="s">
        <v>3</v>
      </c>
      <c r="E1" t="s">
        <v>4</v>
      </c>
      <c r="F1" t="s">
        <v>5</v>
      </c>
      <c r="G1" t="s">
        <v>6</v>
      </c>
    </row>
    <row r="2" spans="1:7">
      <c r="A2" t="s">
        <v>7</v>
      </c>
      <c r="B2" s="1">
        <v>45458</v>
      </c>
      <c r="C2" s="1">
        <v>45488</v>
      </c>
      <c r="D2" t="s">
        <v>8</v>
      </c>
      <c r="E2">
        <v>150000</v>
      </c>
      <c r="F2" t="s">
        <v>9</v>
      </c>
      <c r="G2" t="s">
        <v>10</v>
      </c>
    </row>
    <row r="3" spans="1:7">
      <c r="A3" t="s">
        <v>11</v>
      </c>
      <c r="B3" s="1">
        <v>45566</v>
      </c>
      <c r="C3" s="1">
        <v>45596</v>
      </c>
      <c r="D3" t="s">
        <v>12</v>
      </c>
      <c r="E3">
        <v>200000</v>
      </c>
      <c r="F3" t="s">
        <v>13</v>
      </c>
      <c r="G3" t="s">
        <v>14</v>
      </c>
    </row>
    <row r="4" spans="1:7">
      <c r="A4" t="s">
        <v>15</v>
      </c>
      <c r="B4" s="1">
        <v>45651</v>
      </c>
      <c r="C4" s="1">
        <v>45667</v>
      </c>
      <c r="D4" t="s">
        <v>16</v>
      </c>
      <c r="E4">
        <v>250000</v>
      </c>
      <c r="F4" t="s">
        <v>17</v>
      </c>
      <c r="G4" t="s">
        <v>18</v>
      </c>
    </row>
    <row r="5" spans="1:7">
      <c r="A5" t="s">
        <v>19</v>
      </c>
      <c r="B5" s="1">
        <v>45717</v>
      </c>
      <c r="C5" s="1">
        <v>45747</v>
      </c>
      <c r="D5" t="s">
        <v>20</v>
      </c>
      <c r="E5">
        <v>180000</v>
      </c>
      <c r="F5" t="s">
        <v>21</v>
      </c>
      <c r="G5" t="s">
        <v>22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AA5E1-8DF2-4A72-8642-BA7E2FCE5092}">
  <dimension ref="A1:J201"/>
  <sheetViews>
    <sheetView zoomScale="115" zoomScaleNormal="115" workbookViewId="0">
      <selection activeCell="I16" sqref="I16"/>
    </sheetView>
  </sheetViews>
  <sheetFormatPr defaultRowHeight="14.4"/>
  <cols>
    <col min="1" max="1" width="17.5546875" bestFit="1" customWidth="1"/>
    <col min="2" max="2" width="10.44140625" bestFit="1" customWidth="1"/>
    <col min="3" max="3" width="15.77734375" bestFit="1" customWidth="1"/>
    <col min="4" max="4" width="11.33203125" bestFit="1" customWidth="1"/>
    <col min="5" max="5" width="16.21875" bestFit="1" customWidth="1"/>
    <col min="6" max="6" width="18" bestFit="1" customWidth="1"/>
    <col min="7" max="7" width="11.5546875" bestFit="1" customWidth="1"/>
    <col min="8" max="8" width="17" bestFit="1" customWidth="1"/>
    <col min="9" max="9" width="23" bestFit="1" customWidth="1"/>
    <col min="10" max="10" width="15.77734375" bestFit="1" customWidth="1"/>
  </cols>
  <sheetData>
    <row r="1" spans="1:10">
      <c r="A1" t="s">
        <v>373</v>
      </c>
      <c r="B1" t="s">
        <v>24</v>
      </c>
      <c r="C1" t="s">
        <v>374</v>
      </c>
      <c r="D1" t="s">
        <v>375</v>
      </c>
      <c r="E1" t="s">
        <v>376</v>
      </c>
      <c r="F1" t="s">
        <v>377</v>
      </c>
      <c r="G1" t="s">
        <v>378</v>
      </c>
      <c r="H1" t="s">
        <v>385</v>
      </c>
      <c r="I1" t="s">
        <v>399</v>
      </c>
      <c r="J1" t="s">
        <v>413</v>
      </c>
    </row>
    <row r="2" spans="1:10">
      <c r="A2" s="1">
        <v>45446</v>
      </c>
      <c r="B2" t="s">
        <v>49</v>
      </c>
      <c r="C2">
        <v>1135</v>
      </c>
      <c r="D2">
        <v>88</v>
      </c>
      <c r="E2">
        <v>344084</v>
      </c>
      <c r="F2">
        <v>8.06</v>
      </c>
      <c r="G2">
        <v>5904</v>
      </c>
      <c r="H2">
        <f>Engagement_Summary[[#This Row],[New_Followers]]-Engagement_Summary[[#This Row],[Unfollows]]</f>
        <v>1047</v>
      </c>
      <c r="I2" s="17" t="e">
        <f>(Engagement_Summary[[#This Row],[Net new follower]]-H1)/H1</f>
        <v>#VALUE!</v>
      </c>
      <c r="J2" t="str" cm="1">
        <f t="array" ref="J2">_xlfn._xlws.FILTER(Campaign_Metadata[Campaign_Name],(Engagement_Summary[[#This Row],[Week_Start_Date]]&gt;=Campaign_Metadata[Start_Date])*(Engagement_Summary[[#This Row],[Week_Start_Date]]&lt;=Campaign_Metadata[End_Date]),"No Campaign")</f>
        <v>No Campaign</v>
      </c>
    </row>
    <row r="3" spans="1:10">
      <c r="A3" s="1">
        <v>45446</v>
      </c>
      <c r="B3" t="s">
        <v>55</v>
      </c>
      <c r="C3">
        <v>1312</v>
      </c>
      <c r="D3">
        <v>310</v>
      </c>
      <c r="E3">
        <v>42654</v>
      </c>
      <c r="F3">
        <v>4.9800000000000004</v>
      </c>
      <c r="G3">
        <v>9566</v>
      </c>
      <c r="H3">
        <f>Engagement_Summary[[#This Row],[New_Followers]]-Engagement_Summary[[#This Row],[Unfollows]]</f>
        <v>1002</v>
      </c>
      <c r="I3" s="17">
        <f>(Engagement_Summary[[#This Row],[Net new follower]]-H2)/H2</f>
        <v>-4.2979942693409739E-2</v>
      </c>
      <c r="J3" t="str" cm="1">
        <f t="array" ref="J3">_xlfn._xlws.FILTER(Campaign_Metadata[Campaign_Name],(Engagement_Summary[[#This Row],[Week_Start_Date]]&gt;=Campaign_Metadata[Start_Date])*(Engagement_Summary[[#This Row],[Week_Start_Date]]&lt;=Campaign_Metadata[End_Date]),"No Campaign")</f>
        <v>No Campaign</v>
      </c>
    </row>
    <row r="4" spans="1:10">
      <c r="A4" s="1">
        <v>45446</v>
      </c>
      <c r="B4" t="s">
        <v>35</v>
      </c>
      <c r="C4">
        <v>584</v>
      </c>
      <c r="D4">
        <v>169</v>
      </c>
      <c r="E4">
        <v>146834</v>
      </c>
      <c r="F4">
        <v>8.31</v>
      </c>
      <c r="G4">
        <v>26752</v>
      </c>
      <c r="H4">
        <f>Engagement_Summary[[#This Row],[New_Followers]]-Engagement_Summary[[#This Row],[Unfollows]]</f>
        <v>415</v>
      </c>
      <c r="I4" s="17">
        <f>(Engagement_Summary[[#This Row],[Net new follower]]-H3)/H3</f>
        <v>-0.5858283433133733</v>
      </c>
      <c r="J4" t="str" cm="1">
        <f t="array" ref="J4">_xlfn._xlws.FILTER(Campaign_Metadata[Campaign_Name],(Engagement_Summary[[#This Row],[Week_Start_Date]]&gt;=Campaign_Metadata[Start_Date])*(Engagement_Summary[[#This Row],[Week_Start_Date]]&lt;=Campaign_Metadata[End_Date]),"No Campaign")</f>
        <v>No Campaign</v>
      </c>
    </row>
    <row r="5" spans="1:10">
      <c r="A5" s="1">
        <v>45446</v>
      </c>
      <c r="B5" t="s">
        <v>46</v>
      </c>
      <c r="C5">
        <v>1535</v>
      </c>
      <c r="D5">
        <v>445</v>
      </c>
      <c r="E5">
        <v>395536</v>
      </c>
      <c r="F5">
        <v>4.1100000000000003</v>
      </c>
      <c r="G5">
        <v>30671</v>
      </c>
      <c r="H5">
        <f>Engagement_Summary[[#This Row],[New_Followers]]-Engagement_Summary[[#This Row],[Unfollows]]</f>
        <v>1090</v>
      </c>
      <c r="I5" s="17">
        <f>(Engagement_Summary[[#This Row],[Net new follower]]-H4)/H4</f>
        <v>1.6265060240963856</v>
      </c>
      <c r="J5" t="str" cm="1">
        <f t="array" ref="J5">_xlfn._xlws.FILTER(Campaign_Metadata[Campaign_Name],(Engagement_Summary[[#This Row],[Week_Start_Date]]&gt;=Campaign_Metadata[Start_Date])*(Engagement_Summary[[#This Row],[Week_Start_Date]]&lt;=Campaign_Metadata[End_Date]),"No Campaign")</f>
        <v>No Campaign</v>
      </c>
    </row>
    <row r="6" spans="1:10">
      <c r="A6" s="1">
        <v>45453</v>
      </c>
      <c r="B6" t="s">
        <v>49</v>
      </c>
      <c r="C6">
        <v>656</v>
      </c>
      <c r="D6">
        <v>139</v>
      </c>
      <c r="E6">
        <v>49157</v>
      </c>
      <c r="F6">
        <v>9.0500000000000007</v>
      </c>
      <c r="G6">
        <v>9920</v>
      </c>
      <c r="H6">
        <f>Engagement_Summary[[#This Row],[New_Followers]]-Engagement_Summary[[#This Row],[Unfollows]]</f>
        <v>517</v>
      </c>
      <c r="I6" s="17">
        <f>(Engagement_Summary[[#This Row],[Net new follower]]-H5)/H5</f>
        <v>-0.52568807339449541</v>
      </c>
      <c r="J6" t="str" cm="1">
        <f t="array" ref="J6">_xlfn._xlws.FILTER(Campaign_Metadata[Campaign_Name],(Engagement_Summary[[#This Row],[Week_Start_Date]]&gt;=Campaign_Metadata[Start_Date])*(Engagement_Summary[[#This Row],[Week_Start_Date]]&lt;=Campaign_Metadata[End_Date]),"No Campaign")</f>
        <v>No Campaign</v>
      </c>
    </row>
    <row r="7" spans="1:10">
      <c r="A7" s="1">
        <v>45453</v>
      </c>
      <c r="B7" t="s">
        <v>55</v>
      </c>
      <c r="C7">
        <v>1697</v>
      </c>
      <c r="D7">
        <v>414</v>
      </c>
      <c r="E7">
        <v>316555</v>
      </c>
      <c r="F7">
        <v>2.37</v>
      </c>
      <c r="G7">
        <v>7924</v>
      </c>
      <c r="H7">
        <f>Engagement_Summary[[#This Row],[New_Followers]]-Engagement_Summary[[#This Row],[Unfollows]]</f>
        <v>1283</v>
      </c>
      <c r="I7" s="17">
        <f>(Engagement_Summary[[#This Row],[Net new follower]]-H6)/H6</f>
        <v>1.4816247582205029</v>
      </c>
      <c r="J7" t="str" cm="1">
        <f t="array" ref="J7">_xlfn._xlws.FILTER(Campaign_Metadata[Campaign_Name],(Engagement_Summary[[#This Row],[Week_Start_Date]]&gt;=Campaign_Metadata[Start_Date])*(Engagement_Summary[[#This Row],[Week_Start_Date]]&lt;=Campaign_Metadata[End_Date]),"No Campaign")</f>
        <v>No Campaign</v>
      </c>
    </row>
    <row r="8" spans="1:10">
      <c r="A8" s="1">
        <v>45453</v>
      </c>
      <c r="B8" t="s">
        <v>35</v>
      </c>
      <c r="C8">
        <v>436</v>
      </c>
      <c r="D8">
        <v>250</v>
      </c>
      <c r="E8">
        <v>254347</v>
      </c>
      <c r="F8">
        <v>4.01</v>
      </c>
      <c r="G8">
        <v>8912</v>
      </c>
      <c r="H8">
        <f>Engagement_Summary[[#This Row],[New_Followers]]-Engagement_Summary[[#This Row],[Unfollows]]</f>
        <v>186</v>
      </c>
      <c r="I8" s="17">
        <f>(Engagement_Summary[[#This Row],[Net new follower]]-H7)/H7</f>
        <v>-0.85502727981293847</v>
      </c>
      <c r="J8" t="str" cm="1">
        <f t="array" ref="J8">_xlfn._xlws.FILTER(Campaign_Metadata[Campaign_Name],(Engagement_Summary[[#This Row],[Week_Start_Date]]&gt;=Campaign_Metadata[Start_Date])*(Engagement_Summary[[#This Row],[Week_Start_Date]]&lt;=Campaign_Metadata[End_Date]),"No Campaign")</f>
        <v>No Campaign</v>
      </c>
    </row>
    <row r="9" spans="1:10">
      <c r="A9" s="1">
        <v>45453</v>
      </c>
      <c r="B9" t="s">
        <v>46</v>
      </c>
      <c r="C9">
        <v>1197</v>
      </c>
      <c r="D9">
        <v>203</v>
      </c>
      <c r="E9">
        <v>413878</v>
      </c>
      <c r="F9">
        <v>3.16</v>
      </c>
      <c r="G9">
        <v>21205</v>
      </c>
      <c r="H9">
        <f>Engagement_Summary[[#This Row],[New_Followers]]-Engagement_Summary[[#This Row],[Unfollows]]</f>
        <v>994</v>
      </c>
      <c r="I9" s="17">
        <f>(Engagement_Summary[[#This Row],[Net new follower]]-H8)/H8</f>
        <v>4.344086021505376</v>
      </c>
      <c r="J9" t="str" cm="1">
        <f t="array" ref="J9">_xlfn._xlws.FILTER(Campaign_Metadata[Campaign_Name],(Engagement_Summary[[#This Row],[Week_Start_Date]]&gt;=Campaign_Metadata[Start_Date])*(Engagement_Summary[[#This Row],[Week_Start_Date]]&lt;=Campaign_Metadata[End_Date]),"No Campaign")</f>
        <v>No Campaign</v>
      </c>
    </row>
    <row r="10" spans="1:10">
      <c r="A10" s="1">
        <v>45460</v>
      </c>
      <c r="B10" t="s">
        <v>49</v>
      </c>
      <c r="C10">
        <v>1048</v>
      </c>
      <c r="D10">
        <v>155</v>
      </c>
      <c r="E10">
        <v>456946</v>
      </c>
      <c r="F10">
        <v>2.46</v>
      </c>
      <c r="G10">
        <v>11329</v>
      </c>
      <c r="H10">
        <f>Engagement_Summary[[#This Row],[New_Followers]]-Engagement_Summary[[#This Row],[Unfollows]]</f>
        <v>893</v>
      </c>
      <c r="I10" s="17">
        <f>(Engagement_Summary[[#This Row],[Net new follower]]-H9)/H9</f>
        <v>-0.10160965794768612</v>
      </c>
      <c r="J10" t="str" cm="1">
        <f t="array" ref="J10">_xlfn._xlws.FILTER(Campaign_Metadata[Campaign_Name],(Engagement_Summary[[#This Row],[Week_Start_Date]]&gt;=Campaign_Metadata[Start_Date])*(Engagement_Summary[[#This Row],[Week_Start_Date]]&lt;=Campaign_Metadata[End_Date]),"No Campaign")</f>
        <v>CybertruckLaunch</v>
      </c>
    </row>
    <row r="11" spans="1:10">
      <c r="A11" s="1">
        <v>45460</v>
      </c>
      <c r="B11" t="s">
        <v>55</v>
      </c>
      <c r="C11">
        <v>1753</v>
      </c>
      <c r="D11">
        <v>371</v>
      </c>
      <c r="E11">
        <v>169496</v>
      </c>
      <c r="F11">
        <v>8.11</v>
      </c>
      <c r="G11">
        <v>46670</v>
      </c>
      <c r="H11">
        <f>Engagement_Summary[[#This Row],[New_Followers]]-Engagement_Summary[[#This Row],[Unfollows]]</f>
        <v>1382</v>
      </c>
      <c r="I11" s="17">
        <f>(Engagement_Summary[[#This Row],[Net new follower]]-H10)/H10</f>
        <v>0.54759238521836506</v>
      </c>
      <c r="J11" t="str" cm="1">
        <f t="array" ref="J11">_xlfn._xlws.FILTER(Campaign_Metadata[Campaign_Name],(Engagement_Summary[[#This Row],[Week_Start_Date]]&gt;=Campaign_Metadata[Start_Date])*(Engagement_Summary[[#This Row],[Week_Start_Date]]&lt;=Campaign_Metadata[End_Date]),"No Campaign")</f>
        <v>CybertruckLaunch</v>
      </c>
    </row>
    <row r="12" spans="1:10">
      <c r="A12" s="1">
        <v>45460</v>
      </c>
      <c r="B12" t="s">
        <v>35</v>
      </c>
      <c r="C12">
        <v>1335</v>
      </c>
      <c r="D12">
        <v>40</v>
      </c>
      <c r="E12">
        <v>122732</v>
      </c>
      <c r="F12">
        <v>8.19</v>
      </c>
      <c r="G12">
        <v>22482</v>
      </c>
      <c r="H12">
        <f>Engagement_Summary[[#This Row],[New_Followers]]-Engagement_Summary[[#This Row],[Unfollows]]</f>
        <v>1295</v>
      </c>
      <c r="I12" s="17">
        <f>(Engagement_Summary[[#This Row],[Net new follower]]-H11)/H11</f>
        <v>-6.2952243125904486E-2</v>
      </c>
      <c r="J12" t="str" cm="1">
        <f t="array" ref="J12">_xlfn._xlws.FILTER(Campaign_Metadata[Campaign_Name],(Engagement_Summary[[#This Row],[Week_Start_Date]]&gt;=Campaign_Metadata[Start_Date])*(Engagement_Summary[[#This Row],[Week_Start_Date]]&lt;=Campaign_Metadata[End_Date]),"No Campaign")</f>
        <v>CybertruckLaunch</v>
      </c>
    </row>
    <row r="13" spans="1:10">
      <c r="A13" s="1">
        <v>45460</v>
      </c>
      <c r="B13" t="s">
        <v>46</v>
      </c>
      <c r="C13">
        <v>403</v>
      </c>
      <c r="D13">
        <v>66</v>
      </c>
      <c r="E13">
        <v>382851</v>
      </c>
      <c r="F13">
        <v>3.49</v>
      </c>
      <c r="G13">
        <v>24313</v>
      </c>
      <c r="H13">
        <f>Engagement_Summary[[#This Row],[New_Followers]]-Engagement_Summary[[#This Row],[Unfollows]]</f>
        <v>337</v>
      </c>
      <c r="I13" s="17">
        <f>(Engagement_Summary[[#This Row],[Net new follower]]-H12)/H12</f>
        <v>-0.73976833976833978</v>
      </c>
      <c r="J13" t="str" cm="1">
        <f t="array" ref="J13">_xlfn._xlws.FILTER(Campaign_Metadata[Campaign_Name],(Engagement_Summary[[#This Row],[Week_Start_Date]]&gt;=Campaign_Metadata[Start_Date])*(Engagement_Summary[[#This Row],[Week_Start_Date]]&lt;=Campaign_Metadata[End_Date]),"No Campaign")</f>
        <v>CybertruckLaunch</v>
      </c>
    </row>
    <row r="14" spans="1:10">
      <c r="A14" s="1">
        <v>45467</v>
      </c>
      <c r="B14" t="s">
        <v>49</v>
      </c>
      <c r="C14">
        <v>911</v>
      </c>
      <c r="D14">
        <v>282</v>
      </c>
      <c r="E14">
        <v>35664</v>
      </c>
      <c r="F14">
        <v>6.92</v>
      </c>
      <c r="G14">
        <v>18050</v>
      </c>
      <c r="H14">
        <f>Engagement_Summary[[#This Row],[New_Followers]]-Engagement_Summary[[#This Row],[Unfollows]]</f>
        <v>629</v>
      </c>
      <c r="I14" s="17">
        <f>(Engagement_Summary[[#This Row],[Net new follower]]-H13)/H13</f>
        <v>0.86646884272997038</v>
      </c>
      <c r="J14" t="str" cm="1">
        <f t="array" ref="J14">_xlfn._xlws.FILTER(Campaign_Metadata[Campaign_Name],(Engagement_Summary[[#This Row],[Week_Start_Date]]&gt;=Campaign_Metadata[Start_Date])*(Engagement_Summary[[#This Row],[Week_Start_Date]]&lt;=Campaign_Metadata[End_Date]),"No Campaign")</f>
        <v>CybertruckLaunch</v>
      </c>
    </row>
    <row r="15" spans="1:10">
      <c r="A15" s="1">
        <v>45467</v>
      </c>
      <c r="B15" t="s">
        <v>55</v>
      </c>
      <c r="C15">
        <v>1779</v>
      </c>
      <c r="D15">
        <v>109</v>
      </c>
      <c r="E15">
        <v>26295</v>
      </c>
      <c r="F15">
        <v>9.1199999999999992</v>
      </c>
      <c r="G15">
        <v>30635</v>
      </c>
      <c r="H15">
        <f>Engagement_Summary[[#This Row],[New_Followers]]-Engagement_Summary[[#This Row],[Unfollows]]</f>
        <v>1670</v>
      </c>
      <c r="I15" s="17">
        <f>(Engagement_Summary[[#This Row],[Net new follower]]-H14)/H14</f>
        <v>1.6550079491255962</v>
      </c>
      <c r="J15" t="str" cm="1">
        <f t="array" ref="J15">_xlfn._xlws.FILTER(Campaign_Metadata[Campaign_Name],(Engagement_Summary[[#This Row],[Week_Start_Date]]&gt;=Campaign_Metadata[Start_Date])*(Engagement_Summary[[#This Row],[Week_Start_Date]]&lt;=Campaign_Metadata[End_Date]),"No Campaign")</f>
        <v>CybertruckLaunch</v>
      </c>
    </row>
    <row r="16" spans="1:10">
      <c r="A16" s="1">
        <v>45467</v>
      </c>
      <c r="B16" t="s">
        <v>35</v>
      </c>
      <c r="C16">
        <v>1238</v>
      </c>
      <c r="D16">
        <v>403</v>
      </c>
      <c r="E16">
        <v>298421</v>
      </c>
      <c r="F16">
        <v>3.5</v>
      </c>
      <c r="G16">
        <v>31280</v>
      </c>
      <c r="H16">
        <f>Engagement_Summary[[#This Row],[New_Followers]]-Engagement_Summary[[#This Row],[Unfollows]]</f>
        <v>835</v>
      </c>
      <c r="I16" s="17">
        <f>(Engagement_Summary[[#This Row],[Net new follower]]-H15)/H15</f>
        <v>-0.5</v>
      </c>
      <c r="J16" t="str" cm="1">
        <f t="array" ref="J16">_xlfn._xlws.FILTER(Campaign_Metadata[Campaign_Name],(Engagement_Summary[[#This Row],[Week_Start_Date]]&gt;=Campaign_Metadata[Start_Date])*(Engagement_Summary[[#This Row],[Week_Start_Date]]&lt;=Campaign_Metadata[End_Date]),"No Campaign")</f>
        <v>CybertruckLaunch</v>
      </c>
    </row>
    <row r="17" spans="1:10">
      <c r="A17" s="1">
        <v>45467</v>
      </c>
      <c r="B17" t="s">
        <v>46</v>
      </c>
      <c r="C17">
        <v>308</v>
      </c>
      <c r="D17">
        <v>431</v>
      </c>
      <c r="E17">
        <v>426184</v>
      </c>
      <c r="F17">
        <v>2.62</v>
      </c>
      <c r="G17">
        <v>1783</v>
      </c>
      <c r="H17">
        <f>Engagement_Summary[[#This Row],[New_Followers]]-Engagement_Summary[[#This Row],[Unfollows]]</f>
        <v>-123</v>
      </c>
      <c r="I17" s="17">
        <f>(Engagement_Summary[[#This Row],[Net new follower]]-H16)/H16</f>
        <v>-1.1473053892215568</v>
      </c>
      <c r="J17" t="str" cm="1">
        <f t="array" ref="J17">_xlfn._xlws.FILTER(Campaign_Metadata[Campaign_Name],(Engagement_Summary[[#This Row],[Week_Start_Date]]&gt;=Campaign_Metadata[Start_Date])*(Engagement_Summary[[#This Row],[Week_Start_Date]]&lt;=Campaign_Metadata[End_Date]),"No Campaign")</f>
        <v>CybertruckLaunch</v>
      </c>
    </row>
    <row r="18" spans="1:10">
      <c r="A18" s="1">
        <v>45474</v>
      </c>
      <c r="B18" t="s">
        <v>49</v>
      </c>
      <c r="C18">
        <v>226</v>
      </c>
      <c r="D18">
        <v>445</v>
      </c>
      <c r="E18">
        <v>419447</v>
      </c>
      <c r="F18">
        <v>9.36</v>
      </c>
      <c r="G18">
        <v>9566</v>
      </c>
      <c r="H18">
        <f>Engagement_Summary[[#This Row],[New_Followers]]-Engagement_Summary[[#This Row],[Unfollows]]</f>
        <v>-219</v>
      </c>
      <c r="I18" s="17">
        <f>(Engagement_Summary[[#This Row],[Net new follower]]-H17)/H17</f>
        <v>0.78048780487804881</v>
      </c>
      <c r="J18" t="str" cm="1">
        <f t="array" ref="J18">_xlfn._xlws.FILTER(Campaign_Metadata[Campaign_Name],(Engagement_Summary[[#This Row],[Week_Start_Date]]&gt;=Campaign_Metadata[Start_Date])*(Engagement_Summary[[#This Row],[Week_Start_Date]]&lt;=Campaign_Metadata[End_Date]),"No Campaign")</f>
        <v>CybertruckLaunch</v>
      </c>
    </row>
    <row r="19" spans="1:10">
      <c r="A19" s="1">
        <v>45474</v>
      </c>
      <c r="B19" t="s">
        <v>55</v>
      </c>
      <c r="C19">
        <v>505</v>
      </c>
      <c r="D19">
        <v>441</v>
      </c>
      <c r="E19">
        <v>220020</v>
      </c>
      <c r="F19">
        <v>4.4800000000000004</v>
      </c>
      <c r="G19">
        <v>42307</v>
      </c>
      <c r="H19">
        <f>Engagement_Summary[[#This Row],[New_Followers]]-Engagement_Summary[[#This Row],[Unfollows]]</f>
        <v>64</v>
      </c>
      <c r="I19" s="17">
        <f>(Engagement_Summary[[#This Row],[Net new follower]]-H18)/H18</f>
        <v>-1.2922374429223744</v>
      </c>
      <c r="J19" t="str" cm="1">
        <f t="array" ref="J19">_xlfn._xlws.FILTER(Campaign_Metadata[Campaign_Name],(Engagement_Summary[[#This Row],[Week_Start_Date]]&gt;=Campaign_Metadata[Start_Date])*(Engagement_Summary[[#This Row],[Week_Start_Date]]&lt;=Campaign_Metadata[End_Date]),"No Campaign")</f>
        <v>CybertruckLaunch</v>
      </c>
    </row>
    <row r="20" spans="1:10">
      <c r="A20" s="1">
        <v>45474</v>
      </c>
      <c r="B20" t="s">
        <v>35</v>
      </c>
      <c r="C20">
        <v>1420</v>
      </c>
      <c r="D20">
        <v>63</v>
      </c>
      <c r="E20">
        <v>315305</v>
      </c>
      <c r="F20">
        <v>6.19</v>
      </c>
      <c r="G20">
        <v>5914</v>
      </c>
      <c r="H20">
        <f>Engagement_Summary[[#This Row],[New_Followers]]-Engagement_Summary[[#This Row],[Unfollows]]</f>
        <v>1357</v>
      </c>
      <c r="I20" s="17">
        <f>(Engagement_Summary[[#This Row],[Net new follower]]-H19)/H19</f>
        <v>20.203125</v>
      </c>
      <c r="J20" t="str" cm="1">
        <f t="array" ref="J20">_xlfn._xlws.FILTER(Campaign_Metadata[Campaign_Name],(Engagement_Summary[[#This Row],[Week_Start_Date]]&gt;=Campaign_Metadata[Start_Date])*(Engagement_Summary[[#This Row],[Week_Start_Date]]&lt;=Campaign_Metadata[End_Date]),"No Campaign")</f>
        <v>CybertruckLaunch</v>
      </c>
    </row>
    <row r="21" spans="1:10">
      <c r="A21" s="1">
        <v>45474</v>
      </c>
      <c r="B21" t="s">
        <v>46</v>
      </c>
      <c r="C21">
        <v>144</v>
      </c>
      <c r="D21">
        <v>53</v>
      </c>
      <c r="E21">
        <v>113678</v>
      </c>
      <c r="F21">
        <v>8.7200000000000006</v>
      </c>
      <c r="G21">
        <v>30060</v>
      </c>
      <c r="H21">
        <f>Engagement_Summary[[#This Row],[New_Followers]]-Engagement_Summary[[#This Row],[Unfollows]]</f>
        <v>91</v>
      </c>
      <c r="I21" s="17">
        <f>(Engagement_Summary[[#This Row],[Net new follower]]-H20)/H20</f>
        <v>-0.93294030950626383</v>
      </c>
      <c r="J21" t="str" cm="1">
        <f t="array" ref="J21">_xlfn._xlws.FILTER(Campaign_Metadata[Campaign_Name],(Engagement_Summary[[#This Row],[Week_Start_Date]]&gt;=Campaign_Metadata[Start_Date])*(Engagement_Summary[[#This Row],[Week_Start_Date]]&lt;=Campaign_Metadata[End_Date]),"No Campaign")</f>
        <v>CybertruckLaunch</v>
      </c>
    </row>
    <row r="22" spans="1:10">
      <c r="A22" s="1">
        <v>45481</v>
      </c>
      <c r="B22" t="s">
        <v>49</v>
      </c>
      <c r="C22">
        <v>1757</v>
      </c>
      <c r="D22">
        <v>85</v>
      </c>
      <c r="E22">
        <v>58223</v>
      </c>
      <c r="F22">
        <v>8.74</v>
      </c>
      <c r="G22">
        <v>22728</v>
      </c>
      <c r="H22">
        <f>Engagement_Summary[[#This Row],[New_Followers]]-Engagement_Summary[[#This Row],[Unfollows]]</f>
        <v>1672</v>
      </c>
      <c r="I22" s="17">
        <f>(Engagement_Summary[[#This Row],[Net new follower]]-H21)/H21</f>
        <v>17.373626373626372</v>
      </c>
      <c r="J22" t="str" cm="1">
        <f t="array" ref="J22">_xlfn._xlws.FILTER(Campaign_Metadata[Campaign_Name],(Engagement_Summary[[#This Row],[Week_Start_Date]]&gt;=Campaign_Metadata[Start_Date])*(Engagement_Summary[[#This Row],[Week_Start_Date]]&lt;=Campaign_Metadata[End_Date]),"No Campaign")</f>
        <v>CybertruckLaunch</v>
      </c>
    </row>
    <row r="23" spans="1:10">
      <c r="A23" s="1">
        <v>45481</v>
      </c>
      <c r="B23" t="s">
        <v>55</v>
      </c>
      <c r="C23">
        <v>350</v>
      </c>
      <c r="D23">
        <v>41</v>
      </c>
      <c r="E23">
        <v>251694</v>
      </c>
      <c r="F23">
        <v>1.91</v>
      </c>
      <c r="G23">
        <v>38610</v>
      </c>
      <c r="H23">
        <f>Engagement_Summary[[#This Row],[New_Followers]]-Engagement_Summary[[#This Row],[Unfollows]]</f>
        <v>309</v>
      </c>
      <c r="I23" s="17">
        <f>(Engagement_Summary[[#This Row],[Net new follower]]-H22)/H22</f>
        <v>-0.81519138755980858</v>
      </c>
      <c r="J23" t="str" cm="1">
        <f t="array" ref="J23">_xlfn._xlws.FILTER(Campaign_Metadata[Campaign_Name],(Engagement_Summary[[#This Row],[Week_Start_Date]]&gt;=Campaign_Metadata[Start_Date])*(Engagement_Summary[[#This Row],[Week_Start_Date]]&lt;=Campaign_Metadata[End_Date]),"No Campaign")</f>
        <v>CybertruckLaunch</v>
      </c>
    </row>
    <row r="24" spans="1:10">
      <c r="A24" s="1">
        <v>45481</v>
      </c>
      <c r="B24" t="s">
        <v>35</v>
      </c>
      <c r="C24">
        <v>987</v>
      </c>
      <c r="D24">
        <v>440</v>
      </c>
      <c r="E24">
        <v>389810</v>
      </c>
      <c r="F24">
        <v>4.66</v>
      </c>
      <c r="G24">
        <v>2932</v>
      </c>
      <c r="H24">
        <f>Engagement_Summary[[#This Row],[New_Followers]]-Engagement_Summary[[#This Row],[Unfollows]]</f>
        <v>547</v>
      </c>
      <c r="I24" s="17">
        <f>(Engagement_Summary[[#This Row],[Net new follower]]-H23)/H23</f>
        <v>0.77022653721682843</v>
      </c>
      <c r="J24" t="str" cm="1">
        <f t="array" ref="J24">_xlfn._xlws.FILTER(Campaign_Metadata[Campaign_Name],(Engagement_Summary[[#This Row],[Week_Start_Date]]&gt;=Campaign_Metadata[Start_Date])*(Engagement_Summary[[#This Row],[Week_Start_Date]]&lt;=Campaign_Metadata[End_Date]),"No Campaign")</f>
        <v>CybertruckLaunch</v>
      </c>
    </row>
    <row r="25" spans="1:10">
      <c r="A25" s="1">
        <v>45481</v>
      </c>
      <c r="B25" t="s">
        <v>46</v>
      </c>
      <c r="C25">
        <v>883</v>
      </c>
      <c r="D25">
        <v>369</v>
      </c>
      <c r="E25">
        <v>233694</v>
      </c>
      <c r="F25">
        <v>2.88</v>
      </c>
      <c r="G25">
        <v>15071</v>
      </c>
      <c r="H25">
        <f>Engagement_Summary[[#This Row],[New_Followers]]-Engagement_Summary[[#This Row],[Unfollows]]</f>
        <v>514</v>
      </c>
      <c r="I25" s="17">
        <f>(Engagement_Summary[[#This Row],[Net new follower]]-H24)/H24</f>
        <v>-6.0329067641681902E-2</v>
      </c>
      <c r="J25" t="str" cm="1">
        <f t="array" ref="J25">_xlfn._xlws.FILTER(Campaign_Metadata[Campaign_Name],(Engagement_Summary[[#This Row],[Week_Start_Date]]&gt;=Campaign_Metadata[Start_Date])*(Engagement_Summary[[#This Row],[Week_Start_Date]]&lt;=Campaign_Metadata[End_Date]),"No Campaign")</f>
        <v>CybertruckLaunch</v>
      </c>
    </row>
    <row r="26" spans="1:10">
      <c r="A26" s="1">
        <v>45488</v>
      </c>
      <c r="B26" t="s">
        <v>49</v>
      </c>
      <c r="C26">
        <v>1960</v>
      </c>
      <c r="D26">
        <v>115</v>
      </c>
      <c r="E26">
        <v>154169</v>
      </c>
      <c r="F26">
        <v>3.74</v>
      </c>
      <c r="G26">
        <v>10740</v>
      </c>
      <c r="H26">
        <f>Engagement_Summary[[#This Row],[New_Followers]]-Engagement_Summary[[#This Row],[Unfollows]]</f>
        <v>1845</v>
      </c>
      <c r="I26" s="17">
        <f>(Engagement_Summary[[#This Row],[Net new follower]]-H25)/H25</f>
        <v>2.5894941634241246</v>
      </c>
      <c r="J26" t="str" cm="1">
        <f t="array" ref="J26">_xlfn._xlws.FILTER(Campaign_Metadata[Campaign_Name],(Engagement_Summary[[#This Row],[Week_Start_Date]]&gt;=Campaign_Metadata[Start_Date])*(Engagement_Summary[[#This Row],[Week_Start_Date]]&lt;=Campaign_Metadata[End_Date]),"No Campaign")</f>
        <v>CybertruckLaunch</v>
      </c>
    </row>
    <row r="27" spans="1:10">
      <c r="A27" s="1">
        <v>45488</v>
      </c>
      <c r="B27" t="s">
        <v>55</v>
      </c>
      <c r="C27">
        <v>170</v>
      </c>
      <c r="D27">
        <v>334</v>
      </c>
      <c r="E27">
        <v>334626</v>
      </c>
      <c r="F27">
        <v>6.44</v>
      </c>
      <c r="G27">
        <v>43420</v>
      </c>
      <c r="H27">
        <f>Engagement_Summary[[#This Row],[New_Followers]]-Engagement_Summary[[#This Row],[Unfollows]]</f>
        <v>-164</v>
      </c>
      <c r="I27" s="17">
        <f>(Engagement_Summary[[#This Row],[Net new follower]]-H26)/H26</f>
        <v>-1.0888888888888888</v>
      </c>
      <c r="J27" t="str" cm="1">
        <f t="array" ref="J27">_xlfn._xlws.FILTER(Campaign_Metadata[Campaign_Name],(Engagement_Summary[[#This Row],[Week_Start_Date]]&gt;=Campaign_Metadata[Start_Date])*(Engagement_Summary[[#This Row],[Week_Start_Date]]&lt;=Campaign_Metadata[End_Date]),"No Campaign")</f>
        <v>CybertruckLaunch</v>
      </c>
    </row>
    <row r="28" spans="1:10">
      <c r="A28" s="1">
        <v>45488</v>
      </c>
      <c r="B28" t="s">
        <v>35</v>
      </c>
      <c r="C28">
        <v>704</v>
      </c>
      <c r="D28">
        <v>275</v>
      </c>
      <c r="E28">
        <v>226002</v>
      </c>
      <c r="F28">
        <v>8.56</v>
      </c>
      <c r="G28">
        <v>32393</v>
      </c>
      <c r="H28">
        <f>Engagement_Summary[[#This Row],[New_Followers]]-Engagement_Summary[[#This Row],[Unfollows]]</f>
        <v>429</v>
      </c>
      <c r="I28" s="17">
        <f>(Engagement_Summary[[#This Row],[Net new follower]]-H27)/H27</f>
        <v>-3.6158536585365852</v>
      </c>
      <c r="J28" t="str" cm="1">
        <f t="array" ref="J28">_xlfn._xlws.FILTER(Campaign_Metadata[Campaign_Name],(Engagement_Summary[[#This Row],[Week_Start_Date]]&gt;=Campaign_Metadata[Start_Date])*(Engagement_Summary[[#This Row],[Week_Start_Date]]&lt;=Campaign_Metadata[End_Date]),"No Campaign")</f>
        <v>CybertruckLaunch</v>
      </c>
    </row>
    <row r="29" spans="1:10">
      <c r="A29" s="1">
        <v>45488</v>
      </c>
      <c r="B29" t="s">
        <v>46</v>
      </c>
      <c r="C29">
        <v>224</v>
      </c>
      <c r="D29">
        <v>64</v>
      </c>
      <c r="E29">
        <v>156683</v>
      </c>
      <c r="F29">
        <v>4.5599999999999996</v>
      </c>
      <c r="G29">
        <v>28474</v>
      </c>
      <c r="H29">
        <f>Engagement_Summary[[#This Row],[New_Followers]]-Engagement_Summary[[#This Row],[Unfollows]]</f>
        <v>160</v>
      </c>
      <c r="I29" s="17">
        <f>(Engagement_Summary[[#This Row],[Net new follower]]-H28)/H28</f>
        <v>-0.62703962703962701</v>
      </c>
      <c r="J29" t="str" cm="1">
        <f t="array" ref="J29">_xlfn._xlws.FILTER(Campaign_Metadata[Campaign_Name],(Engagement_Summary[[#This Row],[Week_Start_Date]]&gt;=Campaign_Metadata[Start_Date])*(Engagement_Summary[[#This Row],[Week_Start_Date]]&lt;=Campaign_Metadata[End_Date]),"No Campaign")</f>
        <v>CybertruckLaunch</v>
      </c>
    </row>
    <row r="30" spans="1:10">
      <c r="A30" s="1">
        <v>45495</v>
      </c>
      <c r="B30" t="s">
        <v>49</v>
      </c>
      <c r="C30">
        <v>508</v>
      </c>
      <c r="D30">
        <v>349</v>
      </c>
      <c r="E30">
        <v>473812</v>
      </c>
      <c r="F30">
        <v>7.88</v>
      </c>
      <c r="G30">
        <v>17328</v>
      </c>
      <c r="H30">
        <f>Engagement_Summary[[#This Row],[New_Followers]]-Engagement_Summary[[#This Row],[Unfollows]]</f>
        <v>159</v>
      </c>
      <c r="I30" s="17">
        <f>(Engagement_Summary[[#This Row],[Net new follower]]-H29)/H29</f>
        <v>-6.2500000000000003E-3</v>
      </c>
      <c r="J30" t="str" cm="1">
        <f t="array" ref="J30">_xlfn._xlws.FILTER(Campaign_Metadata[Campaign_Name],(Engagement_Summary[[#This Row],[Week_Start_Date]]&gt;=Campaign_Metadata[Start_Date])*(Engagement_Summary[[#This Row],[Week_Start_Date]]&lt;=Campaign_Metadata[End_Date]),"No Campaign")</f>
        <v>No Campaign</v>
      </c>
    </row>
    <row r="31" spans="1:10">
      <c r="A31" s="1">
        <v>45495</v>
      </c>
      <c r="B31" t="s">
        <v>55</v>
      </c>
      <c r="C31">
        <v>1391</v>
      </c>
      <c r="D31">
        <v>430</v>
      </c>
      <c r="E31">
        <v>295032</v>
      </c>
      <c r="F31">
        <v>7.86</v>
      </c>
      <c r="G31">
        <v>26067</v>
      </c>
      <c r="H31">
        <f>Engagement_Summary[[#This Row],[New_Followers]]-Engagement_Summary[[#This Row],[Unfollows]]</f>
        <v>961</v>
      </c>
      <c r="I31" s="17">
        <f>(Engagement_Summary[[#This Row],[Net new follower]]-H30)/H30</f>
        <v>5.0440251572327046</v>
      </c>
      <c r="J31" t="str" cm="1">
        <f t="array" ref="J31">_xlfn._xlws.FILTER(Campaign_Metadata[Campaign_Name],(Engagement_Summary[[#This Row],[Week_Start_Date]]&gt;=Campaign_Metadata[Start_Date])*(Engagement_Summary[[#This Row],[Week_Start_Date]]&lt;=Campaign_Metadata[End_Date]),"No Campaign")</f>
        <v>No Campaign</v>
      </c>
    </row>
    <row r="32" spans="1:10">
      <c r="A32" s="1">
        <v>45495</v>
      </c>
      <c r="B32" t="s">
        <v>35</v>
      </c>
      <c r="C32">
        <v>1701</v>
      </c>
      <c r="D32">
        <v>385</v>
      </c>
      <c r="E32">
        <v>198278</v>
      </c>
      <c r="F32">
        <v>5.34</v>
      </c>
      <c r="G32">
        <v>32763</v>
      </c>
      <c r="H32">
        <f>Engagement_Summary[[#This Row],[New_Followers]]-Engagement_Summary[[#This Row],[Unfollows]]</f>
        <v>1316</v>
      </c>
      <c r="I32" s="17">
        <f>(Engagement_Summary[[#This Row],[Net new follower]]-H31)/H31</f>
        <v>0.36940686784599375</v>
      </c>
      <c r="J32" t="str" cm="1">
        <f t="array" ref="J32">_xlfn._xlws.FILTER(Campaign_Metadata[Campaign_Name],(Engagement_Summary[[#This Row],[Week_Start_Date]]&gt;=Campaign_Metadata[Start_Date])*(Engagement_Summary[[#This Row],[Week_Start_Date]]&lt;=Campaign_Metadata[End_Date]),"No Campaign")</f>
        <v>No Campaign</v>
      </c>
    </row>
    <row r="33" spans="1:10">
      <c r="A33" s="1">
        <v>45495</v>
      </c>
      <c r="B33" t="s">
        <v>46</v>
      </c>
      <c r="C33">
        <v>804</v>
      </c>
      <c r="D33">
        <v>487</v>
      </c>
      <c r="E33">
        <v>306564</v>
      </c>
      <c r="F33">
        <v>5.52</v>
      </c>
      <c r="G33">
        <v>26452</v>
      </c>
      <c r="H33">
        <f>Engagement_Summary[[#This Row],[New_Followers]]-Engagement_Summary[[#This Row],[Unfollows]]</f>
        <v>317</v>
      </c>
      <c r="I33" s="17">
        <f>(Engagement_Summary[[#This Row],[Net new follower]]-H32)/H32</f>
        <v>-0.75911854103343468</v>
      </c>
      <c r="J33" t="str" cm="1">
        <f t="array" ref="J33">_xlfn._xlws.FILTER(Campaign_Metadata[Campaign_Name],(Engagement_Summary[[#This Row],[Week_Start_Date]]&gt;=Campaign_Metadata[Start_Date])*(Engagement_Summary[[#This Row],[Week_Start_Date]]&lt;=Campaign_Metadata[End_Date]),"No Campaign")</f>
        <v>No Campaign</v>
      </c>
    </row>
    <row r="34" spans="1:10">
      <c r="A34" s="1">
        <v>45502</v>
      </c>
      <c r="B34" t="s">
        <v>49</v>
      </c>
      <c r="C34">
        <v>653</v>
      </c>
      <c r="D34">
        <v>112</v>
      </c>
      <c r="E34">
        <v>23664</v>
      </c>
      <c r="F34">
        <v>4.05</v>
      </c>
      <c r="G34">
        <v>15353</v>
      </c>
      <c r="H34">
        <f>Engagement_Summary[[#This Row],[New_Followers]]-Engagement_Summary[[#This Row],[Unfollows]]</f>
        <v>541</v>
      </c>
      <c r="I34" s="17">
        <f>(Engagement_Summary[[#This Row],[Net new follower]]-H33)/H33</f>
        <v>0.70662460567823349</v>
      </c>
      <c r="J34" t="str" cm="1">
        <f t="array" ref="J34">_xlfn._xlws.FILTER(Campaign_Metadata[Campaign_Name],(Engagement_Summary[[#This Row],[Week_Start_Date]]&gt;=Campaign_Metadata[Start_Date])*(Engagement_Summary[[#This Row],[Week_Start_Date]]&lt;=Campaign_Metadata[End_Date]),"No Campaign")</f>
        <v>No Campaign</v>
      </c>
    </row>
    <row r="35" spans="1:10">
      <c r="A35" s="1">
        <v>45502</v>
      </c>
      <c r="B35" t="s">
        <v>55</v>
      </c>
      <c r="C35">
        <v>160</v>
      </c>
      <c r="D35">
        <v>478</v>
      </c>
      <c r="E35">
        <v>435034</v>
      </c>
      <c r="F35">
        <v>7.73</v>
      </c>
      <c r="G35">
        <v>4839</v>
      </c>
      <c r="H35">
        <f>Engagement_Summary[[#This Row],[New_Followers]]-Engagement_Summary[[#This Row],[Unfollows]]</f>
        <v>-318</v>
      </c>
      <c r="I35" s="17">
        <f>(Engagement_Summary[[#This Row],[Net new follower]]-H34)/H34</f>
        <v>-1.587800369685767</v>
      </c>
      <c r="J35" t="str" cm="1">
        <f t="array" ref="J35">_xlfn._xlws.FILTER(Campaign_Metadata[Campaign_Name],(Engagement_Summary[[#This Row],[Week_Start_Date]]&gt;=Campaign_Metadata[Start_Date])*(Engagement_Summary[[#This Row],[Week_Start_Date]]&lt;=Campaign_Metadata[End_Date]),"No Campaign")</f>
        <v>No Campaign</v>
      </c>
    </row>
    <row r="36" spans="1:10">
      <c r="A36" s="1">
        <v>45502</v>
      </c>
      <c r="B36" t="s">
        <v>35</v>
      </c>
      <c r="C36">
        <v>1756</v>
      </c>
      <c r="D36">
        <v>261</v>
      </c>
      <c r="E36">
        <v>287574</v>
      </c>
      <c r="F36">
        <v>4.3600000000000003</v>
      </c>
      <c r="G36">
        <v>39272</v>
      </c>
      <c r="H36">
        <f>Engagement_Summary[[#This Row],[New_Followers]]-Engagement_Summary[[#This Row],[Unfollows]]</f>
        <v>1495</v>
      </c>
      <c r="I36" s="17">
        <f>(Engagement_Summary[[#This Row],[Net new follower]]-H35)/H35</f>
        <v>-5.7012578616352201</v>
      </c>
      <c r="J36" t="str" cm="1">
        <f t="array" ref="J36">_xlfn._xlws.FILTER(Campaign_Metadata[Campaign_Name],(Engagement_Summary[[#This Row],[Week_Start_Date]]&gt;=Campaign_Metadata[Start_Date])*(Engagement_Summary[[#This Row],[Week_Start_Date]]&lt;=Campaign_Metadata[End_Date]),"No Campaign")</f>
        <v>No Campaign</v>
      </c>
    </row>
    <row r="37" spans="1:10">
      <c r="A37" s="1">
        <v>45502</v>
      </c>
      <c r="B37" t="s">
        <v>46</v>
      </c>
      <c r="C37">
        <v>576</v>
      </c>
      <c r="D37">
        <v>101</v>
      </c>
      <c r="E37">
        <v>62499</v>
      </c>
      <c r="F37">
        <v>3.48</v>
      </c>
      <c r="G37">
        <v>16804</v>
      </c>
      <c r="H37">
        <f>Engagement_Summary[[#This Row],[New_Followers]]-Engagement_Summary[[#This Row],[Unfollows]]</f>
        <v>475</v>
      </c>
      <c r="I37" s="17">
        <f>(Engagement_Summary[[#This Row],[Net new follower]]-H36)/H36</f>
        <v>-0.68227424749163879</v>
      </c>
      <c r="J37" t="str" cm="1">
        <f t="array" ref="J37">_xlfn._xlws.FILTER(Campaign_Metadata[Campaign_Name],(Engagement_Summary[[#This Row],[Week_Start_Date]]&gt;=Campaign_Metadata[Start_Date])*(Engagement_Summary[[#This Row],[Week_Start_Date]]&lt;=Campaign_Metadata[End_Date]),"No Campaign")</f>
        <v>No Campaign</v>
      </c>
    </row>
    <row r="38" spans="1:10">
      <c r="A38" s="1">
        <v>45509</v>
      </c>
      <c r="B38" t="s">
        <v>49</v>
      </c>
      <c r="C38">
        <v>645</v>
      </c>
      <c r="D38">
        <v>293</v>
      </c>
      <c r="E38">
        <v>437968</v>
      </c>
      <c r="F38">
        <v>7.83</v>
      </c>
      <c r="G38">
        <v>49303</v>
      </c>
      <c r="H38">
        <f>Engagement_Summary[[#This Row],[New_Followers]]-Engagement_Summary[[#This Row],[Unfollows]]</f>
        <v>352</v>
      </c>
      <c r="I38" s="17">
        <f>(Engagement_Summary[[#This Row],[Net new follower]]-H37)/H37</f>
        <v>-0.25894736842105265</v>
      </c>
      <c r="J38" t="str" cm="1">
        <f t="array" ref="J38">_xlfn._xlws.FILTER(Campaign_Metadata[Campaign_Name],(Engagement_Summary[[#This Row],[Week_Start_Date]]&gt;=Campaign_Metadata[Start_Date])*(Engagement_Summary[[#This Row],[Week_Start_Date]]&lt;=Campaign_Metadata[End_Date]),"No Campaign")</f>
        <v>No Campaign</v>
      </c>
    </row>
    <row r="39" spans="1:10">
      <c r="A39" s="1">
        <v>45509</v>
      </c>
      <c r="B39" t="s">
        <v>55</v>
      </c>
      <c r="C39">
        <v>214</v>
      </c>
      <c r="D39">
        <v>411</v>
      </c>
      <c r="E39">
        <v>125034</v>
      </c>
      <c r="F39">
        <v>6.11</v>
      </c>
      <c r="G39">
        <v>26455</v>
      </c>
      <c r="H39">
        <f>Engagement_Summary[[#This Row],[New_Followers]]-Engagement_Summary[[#This Row],[Unfollows]]</f>
        <v>-197</v>
      </c>
      <c r="I39" s="17">
        <f>(Engagement_Summary[[#This Row],[Net new follower]]-H38)/H38</f>
        <v>-1.5596590909090908</v>
      </c>
      <c r="J39" t="str" cm="1">
        <f t="array" ref="J39">_xlfn._xlws.FILTER(Campaign_Metadata[Campaign_Name],(Engagement_Summary[[#This Row],[Week_Start_Date]]&gt;=Campaign_Metadata[Start_Date])*(Engagement_Summary[[#This Row],[Week_Start_Date]]&lt;=Campaign_Metadata[End_Date]),"No Campaign")</f>
        <v>No Campaign</v>
      </c>
    </row>
    <row r="40" spans="1:10">
      <c r="A40" s="1">
        <v>45509</v>
      </c>
      <c r="B40" t="s">
        <v>35</v>
      </c>
      <c r="C40">
        <v>826</v>
      </c>
      <c r="D40">
        <v>498</v>
      </c>
      <c r="E40">
        <v>449994</v>
      </c>
      <c r="F40">
        <v>9.43</v>
      </c>
      <c r="G40">
        <v>12384</v>
      </c>
      <c r="H40">
        <f>Engagement_Summary[[#This Row],[New_Followers]]-Engagement_Summary[[#This Row],[Unfollows]]</f>
        <v>328</v>
      </c>
      <c r="I40" s="17">
        <f>(Engagement_Summary[[#This Row],[Net new follower]]-H39)/H39</f>
        <v>-2.6649746192893402</v>
      </c>
      <c r="J40" t="str" cm="1">
        <f t="array" ref="J40">_xlfn._xlws.FILTER(Campaign_Metadata[Campaign_Name],(Engagement_Summary[[#This Row],[Week_Start_Date]]&gt;=Campaign_Metadata[Start_Date])*(Engagement_Summary[[#This Row],[Week_Start_Date]]&lt;=Campaign_Metadata[End_Date]),"No Campaign")</f>
        <v>No Campaign</v>
      </c>
    </row>
    <row r="41" spans="1:10">
      <c r="A41" s="1">
        <v>45509</v>
      </c>
      <c r="B41" t="s">
        <v>46</v>
      </c>
      <c r="C41">
        <v>460</v>
      </c>
      <c r="D41">
        <v>141</v>
      </c>
      <c r="E41">
        <v>320650</v>
      </c>
      <c r="F41">
        <v>4.04</v>
      </c>
      <c r="G41">
        <v>49372</v>
      </c>
      <c r="H41">
        <f>Engagement_Summary[[#This Row],[New_Followers]]-Engagement_Summary[[#This Row],[Unfollows]]</f>
        <v>319</v>
      </c>
      <c r="I41" s="17">
        <f>(Engagement_Summary[[#This Row],[Net new follower]]-H40)/H40</f>
        <v>-2.7439024390243903E-2</v>
      </c>
      <c r="J41" t="str" cm="1">
        <f t="array" ref="J41">_xlfn._xlws.FILTER(Campaign_Metadata[Campaign_Name],(Engagement_Summary[[#This Row],[Week_Start_Date]]&gt;=Campaign_Metadata[Start_Date])*(Engagement_Summary[[#This Row],[Week_Start_Date]]&lt;=Campaign_Metadata[End_Date]),"No Campaign")</f>
        <v>No Campaign</v>
      </c>
    </row>
    <row r="42" spans="1:10">
      <c r="A42" s="1">
        <v>45516</v>
      </c>
      <c r="B42" t="s">
        <v>49</v>
      </c>
      <c r="C42">
        <v>1528</v>
      </c>
      <c r="D42">
        <v>203</v>
      </c>
      <c r="E42">
        <v>489188</v>
      </c>
      <c r="F42">
        <v>6.23</v>
      </c>
      <c r="G42">
        <v>47101</v>
      </c>
      <c r="H42">
        <f>Engagement_Summary[[#This Row],[New_Followers]]-Engagement_Summary[[#This Row],[Unfollows]]</f>
        <v>1325</v>
      </c>
      <c r="I42" s="17">
        <f>(Engagement_Summary[[#This Row],[Net new follower]]-H41)/H41</f>
        <v>3.153605015673981</v>
      </c>
      <c r="J42" t="str" cm="1">
        <f t="array" ref="J42">_xlfn._xlws.FILTER(Campaign_Metadata[Campaign_Name],(Engagement_Summary[[#This Row],[Week_Start_Date]]&gt;=Campaign_Metadata[Start_Date])*(Engagement_Summary[[#This Row],[Week_Start_Date]]&lt;=Campaign_Metadata[End_Date]),"No Campaign")</f>
        <v>No Campaign</v>
      </c>
    </row>
    <row r="43" spans="1:10">
      <c r="A43" s="1">
        <v>45516</v>
      </c>
      <c r="B43" t="s">
        <v>55</v>
      </c>
      <c r="C43">
        <v>1534</v>
      </c>
      <c r="D43">
        <v>200</v>
      </c>
      <c r="E43">
        <v>307612</v>
      </c>
      <c r="F43">
        <v>6.01</v>
      </c>
      <c r="G43">
        <v>37903</v>
      </c>
      <c r="H43">
        <f>Engagement_Summary[[#This Row],[New_Followers]]-Engagement_Summary[[#This Row],[Unfollows]]</f>
        <v>1334</v>
      </c>
      <c r="I43" s="17">
        <f>(Engagement_Summary[[#This Row],[Net new follower]]-H42)/H42</f>
        <v>6.7924528301886791E-3</v>
      </c>
      <c r="J43" t="str" cm="1">
        <f t="array" ref="J43">_xlfn._xlws.FILTER(Campaign_Metadata[Campaign_Name],(Engagement_Summary[[#This Row],[Week_Start_Date]]&gt;=Campaign_Metadata[Start_Date])*(Engagement_Summary[[#This Row],[Week_Start_Date]]&lt;=Campaign_Metadata[End_Date]),"No Campaign")</f>
        <v>No Campaign</v>
      </c>
    </row>
    <row r="44" spans="1:10">
      <c r="A44" s="1">
        <v>45516</v>
      </c>
      <c r="B44" t="s">
        <v>35</v>
      </c>
      <c r="C44">
        <v>485</v>
      </c>
      <c r="D44">
        <v>448</v>
      </c>
      <c r="E44">
        <v>434883</v>
      </c>
      <c r="F44">
        <v>8.5500000000000007</v>
      </c>
      <c r="G44">
        <v>33258</v>
      </c>
      <c r="H44">
        <f>Engagement_Summary[[#This Row],[New_Followers]]-Engagement_Summary[[#This Row],[Unfollows]]</f>
        <v>37</v>
      </c>
      <c r="I44" s="17">
        <f>(Engagement_Summary[[#This Row],[Net new follower]]-H43)/H43</f>
        <v>-0.97226386806596699</v>
      </c>
      <c r="J44" t="str" cm="1">
        <f t="array" ref="J44">_xlfn._xlws.FILTER(Campaign_Metadata[Campaign_Name],(Engagement_Summary[[#This Row],[Week_Start_Date]]&gt;=Campaign_Metadata[Start_Date])*(Engagement_Summary[[#This Row],[Week_Start_Date]]&lt;=Campaign_Metadata[End_Date]),"No Campaign")</f>
        <v>No Campaign</v>
      </c>
    </row>
    <row r="45" spans="1:10">
      <c r="A45" s="1">
        <v>45516</v>
      </c>
      <c r="B45" t="s">
        <v>46</v>
      </c>
      <c r="C45">
        <v>1210</v>
      </c>
      <c r="D45">
        <v>178</v>
      </c>
      <c r="E45">
        <v>102042</v>
      </c>
      <c r="F45">
        <v>5.42</v>
      </c>
      <c r="G45">
        <v>6915</v>
      </c>
      <c r="H45">
        <f>Engagement_Summary[[#This Row],[New_Followers]]-Engagement_Summary[[#This Row],[Unfollows]]</f>
        <v>1032</v>
      </c>
      <c r="I45" s="17">
        <f>(Engagement_Summary[[#This Row],[Net new follower]]-H44)/H44</f>
        <v>26.891891891891891</v>
      </c>
      <c r="J45" t="str" cm="1">
        <f t="array" ref="J45">_xlfn._xlws.FILTER(Campaign_Metadata[Campaign_Name],(Engagement_Summary[[#This Row],[Week_Start_Date]]&gt;=Campaign_Metadata[Start_Date])*(Engagement_Summary[[#This Row],[Week_Start_Date]]&lt;=Campaign_Metadata[End_Date]),"No Campaign")</f>
        <v>No Campaign</v>
      </c>
    </row>
    <row r="46" spans="1:10">
      <c r="A46" s="1">
        <v>45523</v>
      </c>
      <c r="B46" t="s">
        <v>49</v>
      </c>
      <c r="C46">
        <v>215</v>
      </c>
      <c r="D46">
        <v>139</v>
      </c>
      <c r="E46">
        <v>325444</v>
      </c>
      <c r="F46">
        <v>3.25</v>
      </c>
      <c r="G46">
        <v>35501</v>
      </c>
      <c r="H46">
        <f>Engagement_Summary[[#This Row],[New_Followers]]-Engagement_Summary[[#This Row],[Unfollows]]</f>
        <v>76</v>
      </c>
      <c r="I46" s="17">
        <f>(Engagement_Summary[[#This Row],[Net new follower]]-H45)/H45</f>
        <v>-0.9263565891472868</v>
      </c>
      <c r="J46" t="str" cm="1">
        <f t="array" ref="J46">_xlfn._xlws.FILTER(Campaign_Metadata[Campaign_Name],(Engagement_Summary[[#This Row],[Week_Start_Date]]&gt;=Campaign_Metadata[Start_Date])*(Engagement_Summary[[#This Row],[Week_Start_Date]]&lt;=Campaign_Metadata[End_Date]),"No Campaign")</f>
        <v>No Campaign</v>
      </c>
    </row>
    <row r="47" spans="1:10">
      <c r="A47" s="1">
        <v>45523</v>
      </c>
      <c r="B47" t="s">
        <v>55</v>
      </c>
      <c r="C47">
        <v>1078</v>
      </c>
      <c r="D47">
        <v>20</v>
      </c>
      <c r="E47">
        <v>183924</v>
      </c>
      <c r="F47">
        <v>8.84</v>
      </c>
      <c r="G47">
        <v>14203</v>
      </c>
      <c r="H47">
        <f>Engagement_Summary[[#This Row],[New_Followers]]-Engagement_Summary[[#This Row],[Unfollows]]</f>
        <v>1058</v>
      </c>
      <c r="I47" s="17">
        <f>(Engagement_Summary[[#This Row],[Net new follower]]-H46)/H46</f>
        <v>12.921052631578947</v>
      </c>
      <c r="J47" t="str" cm="1">
        <f t="array" ref="J47">_xlfn._xlws.FILTER(Campaign_Metadata[Campaign_Name],(Engagement_Summary[[#This Row],[Week_Start_Date]]&gt;=Campaign_Metadata[Start_Date])*(Engagement_Summary[[#This Row],[Week_Start_Date]]&lt;=Campaign_Metadata[End_Date]),"No Campaign")</f>
        <v>No Campaign</v>
      </c>
    </row>
    <row r="48" spans="1:10">
      <c r="A48" s="1">
        <v>45523</v>
      </c>
      <c r="B48" t="s">
        <v>35</v>
      </c>
      <c r="C48">
        <v>1751</v>
      </c>
      <c r="D48">
        <v>86</v>
      </c>
      <c r="E48">
        <v>188655</v>
      </c>
      <c r="F48">
        <v>7.24</v>
      </c>
      <c r="G48">
        <v>22206</v>
      </c>
      <c r="H48">
        <f>Engagement_Summary[[#This Row],[New_Followers]]-Engagement_Summary[[#This Row],[Unfollows]]</f>
        <v>1665</v>
      </c>
      <c r="I48" s="17">
        <f>(Engagement_Summary[[#This Row],[Net new follower]]-H47)/H47</f>
        <v>0.57372400756143671</v>
      </c>
      <c r="J48" t="str" cm="1">
        <f t="array" ref="J48">_xlfn._xlws.FILTER(Campaign_Metadata[Campaign_Name],(Engagement_Summary[[#This Row],[Week_Start_Date]]&gt;=Campaign_Metadata[Start_Date])*(Engagement_Summary[[#This Row],[Week_Start_Date]]&lt;=Campaign_Metadata[End_Date]),"No Campaign")</f>
        <v>No Campaign</v>
      </c>
    </row>
    <row r="49" spans="1:10">
      <c r="A49" s="1">
        <v>45523</v>
      </c>
      <c r="B49" t="s">
        <v>46</v>
      </c>
      <c r="C49">
        <v>221</v>
      </c>
      <c r="D49">
        <v>31</v>
      </c>
      <c r="E49">
        <v>87443</v>
      </c>
      <c r="F49">
        <v>6.19</v>
      </c>
      <c r="G49">
        <v>10283</v>
      </c>
      <c r="H49">
        <f>Engagement_Summary[[#This Row],[New_Followers]]-Engagement_Summary[[#This Row],[Unfollows]]</f>
        <v>190</v>
      </c>
      <c r="I49" s="17">
        <f>(Engagement_Summary[[#This Row],[Net new follower]]-H48)/H48</f>
        <v>-0.8858858858858859</v>
      </c>
      <c r="J49" t="str" cm="1">
        <f t="array" ref="J49">_xlfn._xlws.FILTER(Campaign_Metadata[Campaign_Name],(Engagement_Summary[[#This Row],[Week_Start_Date]]&gt;=Campaign_Metadata[Start_Date])*(Engagement_Summary[[#This Row],[Week_Start_Date]]&lt;=Campaign_Metadata[End_Date]),"No Campaign")</f>
        <v>No Campaign</v>
      </c>
    </row>
    <row r="50" spans="1:10">
      <c r="A50" s="1">
        <v>45530</v>
      </c>
      <c r="B50" t="s">
        <v>49</v>
      </c>
      <c r="C50">
        <v>1685</v>
      </c>
      <c r="D50">
        <v>76</v>
      </c>
      <c r="E50">
        <v>453799</v>
      </c>
      <c r="F50">
        <v>5.71</v>
      </c>
      <c r="G50">
        <v>24913</v>
      </c>
      <c r="H50">
        <f>Engagement_Summary[[#This Row],[New_Followers]]-Engagement_Summary[[#This Row],[Unfollows]]</f>
        <v>1609</v>
      </c>
      <c r="I50" s="17">
        <f>(Engagement_Summary[[#This Row],[Net new follower]]-H49)/H49</f>
        <v>7.4684210526315793</v>
      </c>
      <c r="J50" t="str" cm="1">
        <f t="array" ref="J50">_xlfn._xlws.FILTER(Campaign_Metadata[Campaign_Name],(Engagement_Summary[[#This Row],[Week_Start_Date]]&gt;=Campaign_Metadata[Start_Date])*(Engagement_Summary[[#This Row],[Week_Start_Date]]&lt;=Campaign_Metadata[End_Date]),"No Campaign")</f>
        <v>No Campaign</v>
      </c>
    </row>
    <row r="51" spans="1:10">
      <c r="A51" s="1">
        <v>45530</v>
      </c>
      <c r="B51" t="s">
        <v>55</v>
      </c>
      <c r="C51">
        <v>248</v>
      </c>
      <c r="D51">
        <v>211</v>
      </c>
      <c r="E51">
        <v>379380</v>
      </c>
      <c r="F51">
        <v>9.0399999999999991</v>
      </c>
      <c r="G51">
        <v>26925</v>
      </c>
      <c r="H51">
        <f>Engagement_Summary[[#This Row],[New_Followers]]-Engagement_Summary[[#This Row],[Unfollows]]</f>
        <v>37</v>
      </c>
      <c r="I51" s="17">
        <f>(Engagement_Summary[[#This Row],[Net new follower]]-H50)/H50</f>
        <v>-0.97700435052827839</v>
      </c>
      <c r="J51" t="str" cm="1">
        <f t="array" ref="J51">_xlfn._xlws.FILTER(Campaign_Metadata[Campaign_Name],(Engagement_Summary[[#This Row],[Week_Start_Date]]&gt;=Campaign_Metadata[Start_Date])*(Engagement_Summary[[#This Row],[Week_Start_Date]]&lt;=Campaign_Metadata[End_Date]),"No Campaign")</f>
        <v>No Campaign</v>
      </c>
    </row>
    <row r="52" spans="1:10">
      <c r="A52" s="1">
        <v>45530</v>
      </c>
      <c r="B52" t="s">
        <v>35</v>
      </c>
      <c r="C52">
        <v>1300</v>
      </c>
      <c r="D52">
        <v>71</v>
      </c>
      <c r="E52">
        <v>186454</v>
      </c>
      <c r="F52">
        <v>3.91</v>
      </c>
      <c r="G52">
        <v>9942</v>
      </c>
      <c r="H52">
        <f>Engagement_Summary[[#This Row],[New_Followers]]-Engagement_Summary[[#This Row],[Unfollows]]</f>
        <v>1229</v>
      </c>
      <c r="I52" s="17">
        <f>(Engagement_Summary[[#This Row],[Net new follower]]-H51)/H51</f>
        <v>32.216216216216218</v>
      </c>
      <c r="J52" t="str" cm="1">
        <f t="array" ref="J52">_xlfn._xlws.FILTER(Campaign_Metadata[Campaign_Name],(Engagement_Summary[[#This Row],[Week_Start_Date]]&gt;=Campaign_Metadata[Start_Date])*(Engagement_Summary[[#This Row],[Week_Start_Date]]&lt;=Campaign_Metadata[End_Date]),"No Campaign")</f>
        <v>No Campaign</v>
      </c>
    </row>
    <row r="53" spans="1:10">
      <c r="A53" s="1">
        <v>45530</v>
      </c>
      <c r="B53" t="s">
        <v>46</v>
      </c>
      <c r="C53">
        <v>422</v>
      </c>
      <c r="D53">
        <v>394</v>
      </c>
      <c r="E53">
        <v>239044</v>
      </c>
      <c r="F53">
        <v>7.83</v>
      </c>
      <c r="G53">
        <v>32929</v>
      </c>
      <c r="H53">
        <f>Engagement_Summary[[#This Row],[New_Followers]]-Engagement_Summary[[#This Row],[Unfollows]]</f>
        <v>28</v>
      </c>
      <c r="I53" s="17">
        <f>(Engagement_Summary[[#This Row],[Net new follower]]-H52)/H52</f>
        <v>-0.97721724979658253</v>
      </c>
      <c r="J53" t="str" cm="1">
        <f t="array" ref="J53">_xlfn._xlws.FILTER(Campaign_Metadata[Campaign_Name],(Engagement_Summary[[#This Row],[Week_Start_Date]]&gt;=Campaign_Metadata[Start_Date])*(Engagement_Summary[[#This Row],[Week_Start_Date]]&lt;=Campaign_Metadata[End_Date]),"No Campaign")</f>
        <v>No Campaign</v>
      </c>
    </row>
    <row r="54" spans="1:10">
      <c r="A54" s="1">
        <v>45537</v>
      </c>
      <c r="B54" t="s">
        <v>49</v>
      </c>
      <c r="C54">
        <v>1429</v>
      </c>
      <c r="D54">
        <v>182</v>
      </c>
      <c r="E54">
        <v>101332</v>
      </c>
      <c r="F54">
        <v>7.16</v>
      </c>
      <c r="G54">
        <v>37829</v>
      </c>
      <c r="H54">
        <f>Engagement_Summary[[#This Row],[New_Followers]]-Engagement_Summary[[#This Row],[Unfollows]]</f>
        <v>1247</v>
      </c>
      <c r="I54" s="17">
        <f>(Engagement_Summary[[#This Row],[Net new follower]]-H53)/H53</f>
        <v>43.535714285714285</v>
      </c>
      <c r="J54" t="str" cm="1">
        <f t="array" ref="J54">_xlfn._xlws.FILTER(Campaign_Metadata[Campaign_Name],(Engagement_Summary[[#This Row],[Week_Start_Date]]&gt;=Campaign_Metadata[Start_Date])*(Engagement_Summary[[#This Row],[Week_Start_Date]]&lt;=Campaign_Metadata[End_Date]),"No Campaign")</f>
        <v>No Campaign</v>
      </c>
    </row>
    <row r="55" spans="1:10">
      <c r="A55" s="1">
        <v>45537</v>
      </c>
      <c r="B55" t="s">
        <v>55</v>
      </c>
      <c r="C55">
        <v>1520</v>
      </c>
      <c r="D55">
        <v>475</v>
      </c>
      <c r="E55">
        <v>496982</v>
      </c>
      <c r="F55">
        <v>6.41</v>
      </c>
      <c r="G55">
        <v>24384</v>
      </c>
      <c r="H55">
        <f>Engagement_Summary[[#This Row],[New_Followers]]-Engagement_Summary[[#This Row],[Unfollows]]</f>
        <v>1045</v>
      </c>
      <c r="I55" s="17">
        <f>(Engagement_Summary[[#This Row],[Net new follower]]-H54)/H54</f>
        <v>-0.1619887730553328</v>
      </c>
      <c r="J55" t="str" cm="1">
        <f t="array" ref="J55">_xlfn._xlws.FILTER(Campaign_Metadata[Campaign_Name],(Engagement_Summary[[#This Row],[Week_Start_Date]]&gt;=Campaign_Metadata[Start_Date])*(Engagement_Summary[[#This Row],[Week_Start_Date]]&lt;=Campaign_Metadata[End_Date]),"No Campaign")</f>
        <v>No Campaign</v>
      </c>
    </row>
    <row r="56" spans="1:10">
      <c r="A56" s="1">
        <v>45537</v>
      </c>
      <c r="B56" t="s">
        <v>35</v>
      </c>
      <c r="C56">
        <v>557</v>
      </c>
      <c r="D56">
        <v>360</v>
      </c>
      <c r="E56">
        <v>318779</v>
      </c>
      <c r="F56">
        <v>8.02</v>
      </c>
      <c r="G56">
        <v>25797</v>
      </c>
      <c r="H56">
        <f>Engagement_Summary[[#This Row],[New_Followers]]-Engagement_Summary[[#This Row],[Unfollows]]</f>
        <v>197</v>
      </c>
      <c r="I56" s="17">
        <f>(Engagement_Summary[[#This Row],[Net new follower]]-H55)/H55</f>
        <v>-0.8114832535885167</v>
      </c>
      <c r="J56" t="str" cm="1">
        <f t="array" ref="J56">_xlfn._xlws.FILTER(Campaign_Metadata[Campaign_Name],(Engagement_Summary[[#This Row],[Week_Start_Date]]&gt;=Campaign_Metadata[Start_Date])*(Engagement_Summary[[#This Row],[Week_Start_Date]]&lt;=Campaign_Metadata[End_Date]),"No Campaign")</f>
        <v>No Campaign</v>
      </c>
    </row>
    <row r="57" spans="1:10">
      <c r="A57" s="1">
        <v>45537</v>
      </c>
      <c r="B57" t="s">
        <v>46</v>
      </c>
      <c r="C57">
        <v>728</v>
      </c>
      <c r="D57">
        <v>395</v>
      </c>
      <c r="E57">
        <v>370971</v>
      </c>
      <c r="F57">
        <v>3.86</v>
      </c>
      <c r="G57">
        <v>12646</v>
      </c>
      <c r="H57">
        <f>Engagement_Summary[[#This Row],[New_Followers]]-Engagement_Summary[[#This Row],[Unfollows]]</f>
        <v>333</v>
      </c>
      <c r="I57" s="17">
        <f>(Engagement_Summary[[#This Row],[Net new follower]]-H56)/H56</f>
        <v>0.69035532994923854</v>
      </c>
      <c r="J57" t="str" cm="1">
        <f t="array" ref="J57">_xlfn._xlws.FILTER(Campaign_Metadata[Campaign_Name],(Engagement_Summary[[#This Row],[Week_Start_Date]]&gt;=Campaign_Metadata[Start_Date])*(Engagement_Summary[[#This Row],[Week_Start_Date]]&lt;=Campaign_Metadata[End_Date]),"No Campaign")</f>
        <v>No Campaign</v>
      </c>
    </row>
    <row r="58" spans="1:10">
      <c r="A58" s="1">
        <v>45544</v>
      </c>
      <c r="B58" t="s">
        <v>49</v>
      </c>
      <c r="C58">
        <v>1592</v>
      </c>
      <c r="D58">
        <v>20</v>
      </c>
      <c r="E58">
        <v>378054</v>
      </c>
      <c r="F58">
        <v>9.09</v>
      </c>
      <c r="G58">
        <v>26663</v>
      </c>
      <c r="H58">
        <f>Engagement_Summary[[#This Row],[New_Followers]]-Engagement_Summary[[#This Row],[Unfollows]]</f>
        <v>1572</v>
      </c>
      <c r="I58" s="17">
        <f>(Engagement_Summary[[#This Row],[Net new follower]]-H57)/H57</f>
        <v>3.7207207207207209</v>
      </c>
      <c r="J58" t="str" cm="1">
        <f t="array" ref="J58">_xlfn._xlws.FILTER(Campaign_Metadata[Campaign_Name],(Engagement_Summary[[#This Row],[Week_Start_Date]]&gt;=Campaign_Metadata[Start_Date])*(Engagement_Summary[[#This Row],[Week_Start_Date]]&lt;=Campaign_Metadata[End_Date]),"No Campaign")</f>
        <v>No Campaign</v>
      </c>
    </row>
    <row r="59" spans="1:10">
      <c r="A59" s="1">
        <v>45544</v>
      </c>
      <c r="B59" t="s">
        <v>55</v>
      </c>
      <c r="C59">
        <v>1842</v>
      </c>
      <c r="D59">
        <v>414</v>
      </c>
      <c r="E59">
        <v>307524</v>
      </c>
      <c r="F59">
        <v>1.76</v>
      </c>
      <c r="G59">
        <v>40478</v>
      </c>
      <c r="H59">
        <f>Engagement_Summary[[#This Row],[New_Followers]]-Engagement_Summary[[#This Row],[Unfollows]]</f>
        <v>1428</v>
      </c>
      <c r="I59" s="17">
        <f>(Engagement_Summary[[#This Row],[Net new follower]]-H58)/H58</f>
        <v>-9.1603053435114504E-2</v>
      </c>
      <c r="J59" t="str" cm="1">
        <f t="array" ref="J59">_xlfn._xlws.FILTER(Campaign_Metadata[Campaign_Name],(Engagement_Summary[[#This Row],[Week_Start_Date]]&gt;=Campaign_Metadata[Start_Date])*(Engagement_Summary[[#This Row],[Week_Start_Date]]&lt;=Campaign_Metadata[End_Date]),"No Campaign")</f>
        <v>No Campaign</v>
      </c>
    </row>
    <row r="60" spans="1:10">
      <c r="A60" s="1">
        <v>45544</v>
      </c>
      <c r="B60" t="s">
        <v>35</v>
      </c>
      <c r="C60">
        <v>751</v>
      </c>
      <c r="D60">
        <v>491</v>
      </c>
      <c r="E60">
        <v>434047</v>
      </c>
      <c r="F60">
        <v>9.24</v>
      </c>
      <c r="G60">
        <v>15476</v>
      </c>
      <c r="H60">
        <f>Engagement_Summary[[#This Row],[New_Followers]]-Engagement_Summary[[#This Row],[Unfollows]]</f>
        <v>260</v>
      </c>
      <c r="I60" s="17">
        <f>(Engagement_Summary[[#This Row],[Net new follower]]-H59)/H59</f>
        <v>-0.81792717086834732</v>
      </c>
      <c r="J60" t="str" cm="1">
        <f t="array" ref="J60">_xlfn._xlws.FILTER(Campaign_Metadata[Campaign_Name],(Engagement_Summary[[#This Row],[Week_Start_Date]]&gt;=Campaign_Metadata[Start_Date])*(Engagement_Summary[[#This Row],[Week_Start_Date]]&lt;=Campaign_Metadata[End_Date]),"No Campaign")</f>
        <v>No Campaign</v>
      </c>
    </row>
    <row r="61" spans="1:10">
      <c r="A61" s="1">
        <v>45544</v>
      </c>
      <c r="B61" t="s">
        <v>46</v>
      </c>
      <c r="C61">
        <v>1409</v>
      </c>
      <c r="D61">
        <v>309</v>
      </c>
      <c r="E61">
        <v>64583</v>
      </c>
      <c r="F61">
        <v>8.99</v>
      </c>
      <c r="G61">
        <v>10217</v>
      </c>
      <c r="H61">
        <f>Engagement_Summary[[#This Row],[New_Followers]]-Engagement_Summary[[#This Row],[Unfollows]]</f>
        <v>1100</v>
      </c>
      <c r="I61" s="17">
        <f>(Engagement_Summary[[#This Row],[Net new follower]]-H60)/H60</f>
        <v>3.2307692307692308</v>
      </c>
      <c r="J61" t="str" cm="1">
        <f t="array" ref="J61">_xlfn._xlws.FILTER(Campaign_Metadata[Campaign_Name],(Engagement_Summary[[#This Row],[Week_Start_Date]]&gt;=Campaign_Metadata[Start_Date])*(Engagement_Summary[[#This Row],[Week_Start_Date]]&lt;=Campaign_Metadata[End_Date]),"No Campaign")</f>
        <v>No Campaign</v>
      </c>
    </row>
    <row r="62" spans="1:10">
      <c r="A62" s="1">
        <v>45551</v>
      </c>
      <c r="B62" t="s">
        <v>49</v>
      </c>
      <c r="C62">
        <v>778</v>
      </c>
      <c r="D62">
        <v>401</v>
      </c>
      <c r="E62">
        <v>50793</v>
      </c>
      <c r="F62">
        <v>3.4</v>
      </c>
      <c r="G62">
        <v>21939</v>
      </c>
      <c r="H62">
        <f>Engagement_Summary[[#This Row],[New_Followers]]-Engagement_Summary[[#This Row],[Unfollows]]</f>
        <v>377</v>
      </c>
      <c r="I62" s="17">
        <f>(Engagement_Summary[[#This Row],[Net new follower]]-H61)/H61</f>
        <v>-0.65727272727272723</v>
      </c>
      <c r="J62" t="str" cm="1">
        <f t="array" ref="J62">_xlfn._xlws.FILTER(Campaign_Metadata[Campaign_Name],(Engagement_Summary[[#This Row],[Week_Start_Date]]&gt;=Campaign_Metadata[Start_Date])*(Engagement_Summary[[#This Row],[Week_Start_Date]]&lt;=Campaign_Metadata[End_Date]),"No Campaign")</f>
        <v>No Campaign</v>
      </c>
    </row>
    <row r="63" spans="1:10">
      <c r="A63" s="1">
        <v>45551</v>
      </c>
      <c r="B63" t="s">
        <v>55</v>
      </c>
      <c r="C63">
        <v>443</v>
      </c>
      <c r="D63">
        <v>345</v>
      </c>
      <c r="E63">
        <v>474162</v>
      </c>
      <c r="F63">
        <v>9.1999999999999993</v>
      </c>
      <c r="G63">
        <v>47462</v>
      </c>
      <c r="H63">
        <f>Engagement_Summary[[#This Row],[New_Followers]]-Engagement_Summary[[#This Row],[Unfollows]]</f>
        <v>98</v>
      </c>
      <c r="I63" s="17">
        <f>(Engagement_Summary[[#This Row],[Net new follower]]-H62)/H62</f>
        <v>-0.74005305039787794</v>
      </c>
      <c r="J63" t="str" cm="1">
        <f t="array" ref="J63">_xlfn._xlws.FILTER(Campaign_Metadata[Campaign_Name],(Engagement_Summary[[#This Row],[Week_Start_Date]]&gt;=Campaign_Metadata[Start_Date])*(Engagement_Summary[[#This Row],[Week_Start_Date]]&lt;=Campaign_Metadata[End_Date]),"No Campaign")</f>
        <v>No Campaign</v>
      </c>
    </row>
    <row r="64" spans="1:10">
      <c r="A64" s="1">
        <v>45551</v>
      </c>
      <c r="B64" t="s">
        <v>35</v>
      </c>
      <c r="C64">
        <v>1472</v>
      </c>
      <c r="D64">
        <v>347</v>
      </c>
      <c r="E64">
        <v>392355</v>
      </c>
      <c r="F64">
        <v>8.59</v>
      </c>
      <c r="G64">
        <v>30270</v>
      </c>
      <c r="H64">
        <f>Engagement_Summary[[#This Row],[New_Followers]]-Engagement_Summary[[#This Row],[Unfollows]]</f>
        <v>1125</v>
      </c>
      <c r="I64" s="17">
        <f>(Engagement_Summary[[#This Row],[Net new follower]]-H63)/H63</f>
        <v>10.479591836734693</v>
      </c>
      <c r="J64" t="str" cm="1">
        <f t="array" ref="J64">_xlfn._xlws.FILTER(Campaign_Metadata[Campaign_Name],(Engagement_Summary[[#This Row],[Week_Start_Date]]&gt;=Campaign_Metadata[Start_Date])*(Engagement_Summary[[#This Row],[Week_Start_Date]]&lt;=Campaign_Metadata[End_Date]),"No Campaign")</f>
        <v>No Campaign</v>
      </c>
    </row>
    <row r="65" spans="1:10">
      <c r="A65" s="1">
        <v>45551</v>
      </c>
      <c r="B65" t="s">
        <v>46</v>
      </c>
      <c r="C65">
        <v>123</v>
      </c>
      <c r="D65">
        <v>155</v>
      </c>
      <c r="E65">
        <v>119934</v>
      </c>
      <c r="F65">
        <v>3.5</v>
      </c>
      <c r="G65">
        <v>5442</v>
      </c>
      <c r="H65">
        <f>Engagement_Summary[[#This Row],[New_Followers]]-Engagement_Summary[[#This Row],[Unfollows]]</f>
        <v>-32</v>
      </c>
      <c r="I65" s="17">
        <f>(Engagement_Summary[[#This Row],[Net new follower]]-H64)/H64</f>
        <v>-1.0284444444444445</v>
      </c>
      <c r="J65" t="str" cm="1">
        <f t="array" ref="J65">_xlfn._xlws.FILTER(Campaign_Metadata[Campaign_Name],(Engagement_Summary[[#This Row],[Week_Start_Date]]&gt;=Campaign_Metadata[Start_Date])*(Engagement_Summary[[#This Row],[Week_Start_Date]]&lt;=Campaign_Metadata[End_Date]),"No Campaign")</f>
        <v>No Campaign</v>
      </c>
    </row>
    <row r="66" spans="1:10">
      <c r="A66" s="1">
        <v>45558</v>
      </c>
      <c r="B66" t="s">
        <v>49</v>
      </c>
      <c r="C66">
        <v>817</v>
      </c>
      <c r="D66">
        <v>151</v>
      </c>
      <c r="E66">
        <v>422625</v>
      </c>
      <c r="F66">
        <v>2.36</v>
      </c>
      <c r="G66">
        <v>1083</v>
      </c>
      <c r="H66">
        <f>Engagement_Summary[[#This Row],[New_Followers]]-Engagement_Summary[[#This Row],[Unfollows]]</f>
        <v>666</v>
      </c>
      <c r="I66" s="17">
        <f>(Engagement_Summary[[#This Row],[Net new follower]]-H65)/H65</f>
        <v>-21.8125</v>
      </c>
      <c r="J66" t="str" cm="1">
        <f t="array" ref="J66">_xlfn._xlws.FILTER(Campaign_Metadata[Campaign_Name],(Engagement_Summary[[#This Row],[Week_Start_Date]]&gt;=Campaign_Metadata[Start_Date])*(Engagement_Summary[[#This Row],[Week_Start_Date]]&lt;=Campaign_Metadata[End_Date]),"No Campaign")</f>
        <v>No Campaign</v>
      </c>
    </row>
    <row r="67" spans="1:10">
      <c r="A67" s="1">
        <v>45558</v>
      </c>
      <c r="B67" t="s">
        <v>55</v>
      </c>
      <c r="C67">
        <v>198</v>
      </c>
      <c r="D67">
        <v>217</v>
      </c>
      <c r="E67">
        <v>239753</v>
      </c>
      <c r="F67">
        <v>7.36</v>
      </c>
      <c r="G67">
        <v>11901</v>
      </c>
      <c r="H67">
        <f>Engagement_Summary[[#This Row],[New_Followers]]-Engagement_Summary[[#This Row],[Unfollows]]</f>
        <v>-19</v>
      </c>
      <c r="I67" s="17">
        <f>(Engagement_Summary[[#This Row],[Net new follower]]-H66)/H66</f>
        <v>-1.0285285285285286</v>
      </c>
      <c r="J67" t="str" cm="1">
        <f t="array" ref="J67">_xlfn._xlws.FILTER(Campaign_Metadata[Campaign_Name],(Engagement_Summary[[#This Row],[Week_Start_Date]]&gt;=Campaign_Metadata[Start_Date])*(Engagement_Summary[[#This Row],[Week_Start_Date]]&lt;=Campaign_Metadata[End_Date]),"No Campaign")</f>
        <v>No Campaign</v>
      </c>
    </row>
    <row r="68" spans="1:10">
      <c r="A68" s="1">
        <v>45558</v>
      </c>
      <c r="B68" t="s">
        <v>35</v>
      </c>
      <c r="C68">
        <v>1911</v>
      </c>
      <c r="D68">
        <v>231</v>
      </c>
      <c r="E68">
        <v>268516</v>
      </c>
      <c r="F68">
        <v>8.5500000000000007</v>
      </c>
      <c r="G68">
        <v>24018</v>
      </c>
      <c r="H68">
        <f>Engagement_Summary[[#This Row],[New_Followers]]-Engagement_Summary[[#This Row],[Unfollows]]</f>
        <v>1680</v>
      </c>
      <c r="I68" s="17">
        <f>(Engagement_Summary[[#This Row],[Net new follower]]-H67)/H67</f>
        <v>-89.421052631578945</v>
      </c>
      <c r="J68" t="str" cm="1">
        <f t="array" ref="J68">_xlfn._xlws.FILTER(Campaign_Metadata[Campaign_Name],(Engagement_Summary[[#This Row],[Week_Start_Date]]&gt;=Campaign_Metadata[Start_Date])*(Engagement_Summary[[#This Row],[Week_Start_Date]]&lt;=Campaign_Metadata[End_Date]),"No Campaign")</f>
        <v>No Campaign</v>
      </c>
    </row>
    <row r="69" spans="1:10">
      <c r="A69" s="1">
        <v>45558</v>
      </c>
      <c r="B69" t="s">
        <v>46</v>
      </c>
      <c r="C69">
        <v>1218</v>
      </c>
      <c r="D69">
        <v>212</v>
      </c>
      <c r="E69">
        <v>63177</v>
      </c>
      <c r="F69">
        <v>8.1300000000000008</v>
      </c>
      <c r="G69">
        <v>38883</v>
      </c>
      <c r="H69">
        <f>Engagement_Summary[[#This Row],[New_Followers]]-Engagement_Summary[[#This Row],[Unfollows]]</f>
        <v>1006</v>
      </c>
      <c r="I69" s="17">
        <f>(Engagement_Summary[[#This Row],[Net new follower]]-H68)/H68</f>
        <v>-0.40119047619047621</v>
      </c>
      <c r="J69" t="str" cm="1">
        <f t="array" ref="J69">_xlfn._xlws.FILTER(Campaign_Metadata[Campaign_Name],(Engagement_Summary[[#This Row],[Week_Start_Date]]&gt;=Campaign_Metadata[Start_Date])*(Engagement_Summary[[#This Row],[Week_Start_Date]]&lt;=Campaign_Metadata[End_Date]),"No Campaign")</f>
        <v>No Campaign</v>
      </c>
    </row>
    <row r="70" spans="1:10">
      <c r="A70" s="1">
        <v>45565</v>
      </c>
      <c r="B70" t="s">
        <v>49</v>
      </c>
      <c r="C70">
        <v>1433</v>
      </c>
      <c r="D70">
        <v>408</v>
      </c>
      <c r="E70">
        <v>370269</v>
      </c>
      <c r="F70">
        <v>3.3</v>
      </c>
      <c r="G70">
        <v>30575</v>
      </c>
      <c r="H70">
        <f>Engagement_Summary[[#This Row],[New_Followers]]-Engagement_Summary[[#This Row],[Unfollows]]</f>
        <v>1025</v>
      </c>
      <c r="I70" s="17">
        <f>(Engagement_Summary[[#This Row],[Net new follower]]-H69)/H69</f>
        <v>1.8886679920477135E-2</v>
      </c>
      <c r="J70" t="str" cm="1">
        <f t="array" ref="J70">_xlfn._xlws.FILTER(Campaign_Metadata[Campaign_Name],(Engagement_Summary[[#This Row],[Week_Start_Date]]&gt;=Campaign_Metadata[Start_Date])*(Engagement_Summary[[#This Row],[Week_Start_Date]]&lt;=Campaign_Metadata[End_Date]),"No Campaign")</f>
        <v>No Campaign</v>
      </c>
    </row>
    <row r="71" spans="1:10">
      <c r="A71" s="1">
        <v>45565</v>
      </c>
      <c r="B71" t="s">
        <v>55</v>
      </c>
      <c r="C71">
        <v>250</v>
      </c>
      <c r="D71">
        <v>429</v>
      </c>
      <c r="E71">
        <v>453423</v>
      </c>
      <c r="F71">
        <v>1.77</v>
      </c>
      <c r="G71">
        <v>2315</v>
      </c>
      <c r="H71">
        <f>Engagement_Summary[[#This Row],[New_Followers]]-Engagement_Summary[[#This Row],[Unfollows]]</f>
        <v>-179</v>
      </c>
      <c r="I71" s="17">
        <f>(Engagement_Summary[[#This Row],[Net new follower]]-H70)/H70</f>
        <v>-1.1746341463414633</v>
      </c>
      <c r="J71" t="str" cm="1">
        <f t="array" ref="J71">_xlfn._xlws.FILTER(Campaign_Metadata[Campaign_Name],(Engagement_Summary[[#This Row],[Week_Start_Date]]&gt;=Campaign_Metadata[Start_Date])*(Engagement_Summary[[#This Row],[Week_Start_Date]]&lt;=Campaign_Metadata[End_Date]),"No Campaign")</f>
        <v>No Campaign</v>
      </c>
    </row>
    <row r="72" spans="1:10">
      <c r="A72" s="1">
        <v>45565</v>
      </c>
      <c r="B72" t="s">
        <v>35</v>
      </c>
      <c r="C72">
        <v>752</v>
      </c>
      <c r="D72">
        <v>153</v>
      </c>
      <c r="E72">
        <v>64906</v>
      </c>
      <c r="F72">
        <v>2.09</v>
      </c>
      <c r="G72">
        <v>12148</v>
      </c>
      <c r="H72">
        <f>Engagement_Summary[[#This Row],[New_Followers]]-Engagement_Summary[[#This Row],[Unfollows]]</f>
        <v>599</v>
      </c>
      <c r="I72" s="17">
        <f>(Engagement_Summary[[#This Row],[Net new follower]]-H71)/H71</f>
        <v>-4.3463687150837993</v>
      </c>
      <c r="J72" t="str" cm="1">
        <f t="array" ref="J72">_xlfn._xlws.FILTER(Campaign_Metadata[Campaign_Name],(Engagement_Summary[[#This Row],[Week_Start_Date]]&gt;=Campaign_Metadata[Start_Date])*(Engagement_Summary[[#This Row],[Week_Start_Date]]&lt;=Campaign_Metadata[End_Date]),"No Campaign")</f>
        <v>No Campaign</v>
      </c>
    </row>
    <row r="73" spans="1:10">
      <c r="A73" s="1">
        <v>45565</v>
      </c>
      <c r="B73" t="s">
        <v>46</v>
      </c>
      <c r="C73">
        <v>1918</v>
      </c>
      <c r="D73">
        <v>212</v>
      </c>
      <c r="E73">
        <v>94360</v>
      </c>
      <c r="F73">
        <v>7.36</v>
      </c>
      <c r="G73">
        <v>36851</v>
      </c>
      <c r="H73">
        <f>Engagement_Summary[[#This Row],[New_Followers]]-Engagement_Summary[[#This Row],[Unfollows]]</f>
        <v>1706</v>
      </c>
      <c r="I73" s="17">
        <f>(Engagement_Summary[[#This Row],[Net new follower]]-H72)/H72</f>
        <v>1.8480801335559265</v>
      </c>
      <c r="J73" t="str" cm="1">
        <f t="array" ref="J73">_xlfn._xlws.FILTER(Campaign_Metadata[Campaign_Name],(Engagement_Summary[[#This Row],[Week_Start_Date]]&gt;=Campaign_Metadata[Start_Date])*(Engagement_Summary[[#This Row],[Week_Start_Date]]&lt;=Campaign_Metadata[End_Date]),"No Campaign")</f>
        <v>No Campaign</v>
      </c>
    </row>
    <row r="74" spans="1:10">
      <c r="A74" s="1">
        <v>45572</v>
      </c>
      <c r="B74" t="s">
        <v>49</v>
      </c>
      <c r="C74">
        <v>1939</v>
      </c>
      <c r="D74">
        <v>67</v>
      </c>
      <c r="E74">
        <v>187183</v>
      </c>
      <c r="F74">
        <v>6.25</v>
      </c>
      <c r="G74">
        <v>41215</v>
      </c>
      <c r="H74">
        <f>Engagement_Summary[[#This Row],[New_Followers]]-Engagement_Summary[[#This Row],[Unfollows]]</f>
        <v>1872</v>
      </c>
      <c r="I74" s="17">
        <f>(Engagement_Summary[[#This Row],[Net new follower]]-H73)/H73</f>
        <v>9.7303634232121919E-2</v>
      </c>
      <c r="J74" t="str" cm="1">
        <f t="array" ref="J74">_xlfn._xlws.FILTER(Campaign_Metadata[Campaign_Name],(Engagement_Summary[[#This Row],[Week_Start_Date]]&gt;=Campaign_Metadata[Start_Date])*(Engagement_Summary[[#This Row],[Week_Start_Date]]&lt;=Campaign_Metadata[End_Date]),"No Campaign")</f>
        <v>ModelYCampaign</v>
      </c>
    </row>
    <row r="75" spans="1:10">
      <c r="A75" s="1">
        <v>45572</v>
      </c>
      <c r="B75" t="s">
        <v>55</v>
      </c>
      <c r="C75">
        <v>1929</v>
      </c>
      <c r="D75">
        <v>267</v>
      </c>
      <c r="E75">
        <v>379363</v>
      </c>
      <c r="F75">
        <v>1.75</v>
      </c>
      <c r="G75">
        <v>43836</v>
      </c>
      <c r="H75">
        <f>Engagement_Summary[[#This Row],[New_Followers]]-Engagement_Summary[[#This Row],[Unfollows]]</f>
        <v>1662</v>
      </c>
      <c r="I75" s="17">
        <f>(Engagement_Summary[[#This Row],[Net new follower]]-H74)/H74</f>
        <v>-0.11217948717948718</v>
      </c>
      <c r="J75" t="str" cm="1">
        <f t="array" ref="J75">_xlfn._xlws.FILTER(Campaign_Metadata[Campaign_Name],(Engagement_Summary[[#This Row],[Week_Start_Date]]&gt;=Campaign_Metadata[Start_Date])*(Engagement_Summary[[#This Row],[Week_Start_Date]]&lt;=Campaign_Metadata[End_Date]),"No Campaign")</f>
        <v>ModelYCampaign</v>
      </c>
    </row>
    <row r="76" spans="1:10">
      <c r="A76" s="1">
        <v>45572</v>
      </c>
      <c r="B76" t="s">
        <v>35</v>
      </c>
      <c r="C76">
        <v>437</v>
      </c>
      <c r="D76">
        <v>330</v>
      </c>
      <c r="E76">
        <v>476486</v>
      </c>
      <c r="F76">
        <v>4.97</v>
      </c>
      <c r="G76">
        <v>4509</v>
      </c>
      <c r="H76">
        <f>Engagement_Summary[[#This Row],[New_Followers]]-Engagement_Summary[[#This Row],[Unfollows]]</f>
        <v>107</v>
      </c>
      <c r="I76" s="17">
        <f>(Engagement_Summary[[#This Row],[Net new follower]]-H75)/H75</f>
        <v>-0.93561973525872444</v>
      </c>
      <c r="J76" t="str" cm="1">
        <f t="array" ref="J76">_xlfn._xlws.FILTER(Campaign_Metadata[Campaign_Name],(Engagement_Summary[[#This Row],[Week_Start_Date]]&gt;=Campaign_Metadata[Start_Date])*(Engagement_Summary[[#This Row],[Week_Start_Date]]&lt;=Campaign_Metadata[End_Date]),"No Campaign")</f>
        <v>ModelYCampaign</v>
      </c>
    </row>
    <row r="77" spans="1:10">
      <c r="A77" s="1">
        <v>45572</v>
      </c>
      <c r="B77" t="s">
        <v>46</v>
      </c>
      <c r="C77">
        <v>307</v>
      </c>
      <c r="D77">
        <v>189</v>
      </c>
      <c r="E77">
        <v>117767</v>
      </c>
      <c r="F77">
        <v>9.3000000000000007</v>
      </c>
      <c r="G77">
        <v>27822</v>
      </c>
      <c r="H77">
        <f>Engagement_Summary[[#This Row],[New_Followers]]-Engagement_Summary[[#This Row],[Unfollows]]</f>
        <v>118</v>
      </c>
      <c r="I77" s="17">
        <f>(Engagement_Summary[[#This Row],[Net new follower]]-H76)/H76</f>
        <v>0.10280373831775701</v>
      </c>
      <c r="J77" t="str" cm="1">
        <f t="array" ref="J77">_xlfn._xlws.FILTER(Campaign_Metadata[Campaign_Name],(Engagement_Summary[[#This Row],[Week_Start_Date]]&gt;=Campaign_Metadata[Start_Date])*(Engagement_Summary[[#This Row],[Week_Start_Date]]&lt;=Campaign_Metadata[End_Date]),"No Campaign")</f>
        <v>ModelYCampaign</v>
      </c>
    </row>
    <row r="78" spans="1:10">
      <c r="A78" s="1">
        <v>45579</v>
      </c>
      <c r="B78" t="s">
        <v>49</v>
      </c>
      <c r="C78">
        <v>1527</v>
      </c>
      <c r="D78">
        <v>303</v>
      </c>
      <c r="E78">
        <v>388555</v>
      </c>
      <c r="F78">
        <v>8.9</v>
      </c>
      <c r="G78">
        <v>36397</v>
      </c>
      <c r="H78">
        <f>Engagement_Summary[[#This Row],[New_Followers]]-Engagement_Summary[[#This Row],[Unfollows]]</f>
        <v>1224</v>
      </c>
      <c r="I78" s="17">
        <f>(Engagement_Summary[[#This Row],[Net new follower]]-H77)/H77</f>
        <v>9.3728813559322042</v>
      </c>
      <c r="J78" t="str" cm="1">
        <f t="array" ref="J78">_xlfn._xlws.FILTER(Campaign_Metadata[Campaign_Name],(Engagement_Summary[[#This Row],[Week_Start_Date]]&gt;=Campaign_Metadata[Start_Date])*(Engagement_Summary[[#This Row],[Week_Start_Date]]&lt;=Campaign_Metadata[End_Date]),"No Campaign")</f>
        <v>ModelYCampaign</v>
      </c>
    </row>
    <row r="79" spans="1:10">
      <c r="A79" s="1">
        <v>45579</v>
      </c>
      <c r="B79" t="s">
        <v>55</v>
      </c>
      <c r="C79">
        <v>643</v>
      </c>
      <c r="D79">
        <v>358</v>
      </c>
      <c r="E79">
        <v>157599</v>
      </c>
      <c r="F79">
        <v>3.88</v>
      </c>
      <c r="G79">
        <v>7285</v>
      </c>
      <c r="H79">
        <f>Engagement_Summary[[#This Row],[New_Followers]]-Engagement_Summary[[#This Row],[Unfollows]]</f>
        <v>285</v>
      </c>
      <c r="I79" s="17">
        <f>(Engagement_Summary[[#This Row],[Net new follower]]-H78)/H78</f>
        <v>-0.76715686274509809</v>
      </c>
      <c r="J79" t="str" cm="1">
        <f t="array" ref="J79">_xlfn._xlws.FILTER(Campaign_Metadata[Campaign_Name],(Engagement_Summary[[#This Row],[Week_Start_Date]]&gt;=Campaign_Metadata[Start_Date])*(Engagement_Summary[[#This Row],[Week_Start_Date]]&lt;=Campaign_Metadata[End_Date]),"No Campaign")</f>
        <v>ModelYCampaign</v>
      </c>
    </row>
    <row r="80" spans="1:10">
      <c r="A80" s="1">
        <v>45579</v>
      </c>
      <c r="B80" t="s">
        <v>35</v>
      </c>
      <c r="C80">
        <v>201</v>
      </c>
      <c r="D80">
        <v>221</v>
      </c>
      <c r="E80">
        <v>309772</v>
      </c>
      <c r="F80">
        <v>5.9</v>
      </c>
      <c r="G80">
        <v>33174</v>
      </c>
      <c r="H80">
        <f>Engagement_Summary[[#This Row],[New_Followers]]-Engagement_Summary[[#This Row],[Unfollows]]</f>
        <v>-20</v>
      </c>
      <c r="I80" s="17">
        <f>(Engagement_Summary[[#This Row],[Net new follower]]-H79)/H79</f>
        <v>-1.0701754385964912</v>
      </c>
      <c r="J80" t="str" cm="1">
        <f t="array" ref="J80">_xlfn._xlws.FILTER(Campaign_Metadata[Campaign_Name],(Engagement_Summary[[#This Row],[Week_Start_Date]]&gt;=Campaign_Metadata[Start_Date])*(Engagement_Summary[[#This Row],[Week_Start_Date]]&lt;=Campaign_Metadata[End_Date]),"No Campaign")</f>
        <v>ModelYCampaign</v>
      </c>
    </row>
    <row r="81" spans="1:10">
      <c r="A81" s="1">
        <v>45579</v>
      </c>
      <c r="B81" t="s">
        <v>46</v>
      </c>
      <c r="C81">
        <v>414</v>
      </c>
      <c r="D81">
        <v>47</v>
      </c>
      <c r="E81">
        <v>199178</v>
      </c>
      <c r="F81">
        <v>1.53</v>
      </c>
      <c r="G81">
        <v>6742</v>
      </c>
      <c r="H81">
        <f>Engagement_Summary[[#This Row],[New_Followers]]-Engagement_Summary[[#This Row],[Unfollows]]</f>
        <v>367</v>
      </c>
      <c r="I81" s="17">
        <f>(Engagement_Summary[[#This Row],[Net new follower]]-H80)/H80</f>
        <v>-19.350000000000001</v>
      </c>
      <c r="J81" t="str" cm="1">
        <f t="array" ref="J81">_xlfn._xlws.FILTER(Campaign_Metadata[Campaign_Name],(Engagement_Summary[[#This Row],[Week_Start_Date]]&gt;=Campaign_Metadata[Start_Date])*(Engagement_Summary[[#This Row],[Week_Start_Date]]&lt;=Campaign_Metadata[End_Date]),"No Campaign")</f>
        <v>ModelYCampaign</v>
      </c>
    </row>
    <row r="82" spans="1:10">
      <c r="A82" s="1">
        <v>45586</v>
      </c>
      <c r="B82" t="s">
        <v>49</v>
      </c>
      <c r="C82">
        <v>703</v>
      </c>
      <c r="D82">
        <v>441</v>
      </c>
      <c r="E82">
        <v>357089</v>
      </c>
      <c r="F82">
        <v>6.5</v>
      </c>
      <c r="G82">
        <v>32478</v>
      </c>
      <c r="H82">
        <f>Engagement_Summary[[#This Row],[New_Followers]]-Engagement_Summary[[#This Row],[Unfollows]]</f>
        <v>262</v>
      </c>
      <c r="I82" s="17">
        <f>(Engagement_Summary[[#This Row],[Net new follower]]-H81)/H81</f>
        <v>-0.28610354223433243</v>
      </c>
      <c r="J82" t="str" cm="1">
        <f t="array" ref="J82">_xlfn._xlws.FILTER(Campaign_Metadata[Campaign_Name],(Engagement_Summary[[#This Row],[Week_Start_Date]]&gt;=Campaign_Metadata[Start_Date])*(Engagement_Summary[[#This Row],[Week_Start_Date]]&lt;=Campaign_Metadata[End_Date]),"No Campaign")</f>
        <v>ModelYCampaign</v>
      </c>
    </row>
    <row r="83" spans="1:10">
      <c r="A83" s="1">
        <v>45586</v>
      </c>
      <c r="B83" t="s">
        <v>55</v>
      </c>
      <c r="C83">
        <v>508</v>
      </c>
      <c r="D83">
        <v>69</v>
      </c>
      <c r="E83">
        <v>23492</v>
      </c>
      <c r="F83">
        <v>3.16</v>
      </c>
      <c r="G83">
        <v>42824</v>
      </c>
      <c r="H83">
        <f>Engagement_Summary[[#This Row],[New_Followers]]-Engagement_Summary[[#This Row],[Unfollows]]</f>
        <v>439</v>
      </c>
      <c r="I83" s="17">
        <f>(Engagement_Summary[[#This Row],[Net new follower]]-H82)/H82</f>
        <v>0.67557251908396942</v>
      </c>
      <c r="J83" t="str" cm="1">
        <f t="array" ref="J83">_xlfn._xlws.FILTER(Campaign_Metadata[Campaign_Name],(Engagement_Summary[[#This Row],[Week_Start_Date]]&gt;=Campaign_Metadata[Start_Date])*(Engagement_Summary[[#This Row],[Week_Start_Date]]&lt;=Campaign_Metadata[End_Date]),"No Campaign")</f>
        <v>ModelYCampaign</v>
      </c>
    </row>
    <row r="84" spans="1:10">
      <c r="A84" s="1">
        <v>45586</v>
      </c>
      <c r="B84" t="s">
        <v>35</v>
      </c>
      <c r="C84">
        <v>697</v>
      </c>
      <c r="D84">
        <v>61</v>
      </c>
      <c r="E84">
        <v>258287</v>
      </c>
      <c r="F84">
        <v>8.25</v>
      </c>
      <c r="G84">
        <v>21208</v>
      </c>
      <c r="H84">
        <f>Engagement_Summary[[#This Row],[New_Followers]]-Engagement_Summary[[#This Row],[Unfollows]]</f>
        <v>636</v>
      </c>
      <c r="I84" s="17">
        <f>(Engagement_Summary[[#This Row],[Net new follower]]-H83)/H83</f>
        <v>0.44874715261958997</v>
      </c>
      <c r="J84" t="str" cm="1">
        <f t="array" ref="J84">_xlfn._xlws.FILTER(Campaign_Metadata[Campaign_Name],(Engagement_Summary[[#This Row],[Week_Start_Date]]&gt;=Campaign_Metadata[Start_Date])*(Engagement_Summary[[#This Row],[Week_Start_Date]]&lt;=Campaign_Metadata[End_Date]),"No Campaign")</f>
        <v>ModelYCampaign</v>
      </c>
    </row>
    <row r="85" spans="1:10">
      <c r="A85" s="1">
        <v>45586</v>
      </c>
      <c r="B85" t="s">
        <v>46</v>
      </c>
      <c r="C85">
        <v>1707</v>
      </c>
      <c r="D85">
        <v>223</v>
      </c>
      <c r="E85">
        <v>256910</v>
      </c>
      <c r="F85">
        <v>5.41</v>
      </c>
      <c r="G85">
        <v>44321</v>
      </c>
      <c r="H85">
        <f>Engagement_Summary[[#This Row],[New_Followers]]-Engagement_Summary[[#This Row],[Unfollows]]</f>
        <v>1484</v>
      </c>
      <c r="I85" s="17">
        <f>(Engagement_Summary[[#This Row],[Net new follower]]-H84)/H84</f>
        <v>1.3333333333333333</v>
      </c>
      <c r="J85" t="str" cm="1">
        <f t="array" ref="J85">_xlfn._xlws.FILTER(Campaign_Metadata[Campaign_Name],(Engagement_Summary[[#This Row],[Week_Start_Date]]&gt;=Campaign_Metadata[Start_Date])*(Engagement_Summary[[#This Row],[Week_Start_Date]]&lt;=Campaign_Metadata[End_Date]),"No Campaign")</f>
        <v>ModelYCampaign</v>
      </c>
    </row>
    <row r="86" spans="1:10">
      <c r="A86" s="1">
        <v>45593</v>
      </c>
      <c r="B86" t="s">
        <v>49</v>
      </c>
      <c r="C86">
        <v>642</v>
      </c>
      <c r="D86">
        <v>66</v>
      </c>
      <c r="E86">
        <v>346522</v>
      </c>
      <c r="F86">
        <v>5.85</v>
      </c>
      <c r="G86">
        <v>13116</v>
      </c>
      <c r="H86">
        <f>Engagement_Summary[[#This Row],[New_Followers]]-Engagement_Summary[[#This Row],[Unfollows]]</f>
        <v>576</v>
      </c>
      <c r="I86" s="17">
        <f>(Engagement_Summary[[#This Row],[Net new follower]]-H85)/H85</f>
        <v>-0.61185983827493262</v>
      </c>
      <c r="J86" t="str" cm="1">
        <f t="array" ref="J86">_xlfn._xlws.FILTER(Campaign_Metadata[Campaign_Name],(Engagement_Summary[[#This Row],[Week_Start_Date]]&gt;=Campaign_Metadata[Start_Date])*(Engagement_Summary[[#This Row],[Week_Start_Date]]&lt;=Campaign_Metadata[End_Date]),"No Campaign")</f>
        <v>ModelYCampaign</v>
      </c>
    </row>
    <row r="87" spans="1:10">
      <c r="A87" s="1">
        <v>45593</v>
      </c>
      <c r="B87" t="s">
        <v>55</v>
      </c>
      <c r="C87">
        <v>859</v>
      </c>
      <c r="D87">
        <v>473</v>
      </c>
      <c r="E87">
        <v>209987</v>
      </c>
      <c r="F87">
        <v>4.46</v>
      </c>
      <c r="G87">
        <v>30214</v>
      </c>
      <c r="H87">
        <f>Engagement_Summary[[#This Row],[New_Followers]]-Engagement_Summary[[#This Row],[Unfollows]]</f>
        <v>386</v>
      </c>
      <c r="I87" s="17">
        <f>(Engagement_Summary[[#This Row],[Net new follower]]-H86)/H86</f>
        <v>-0.3298611111111111</v>
      </c>
      <c r="J87" t="str" cm="1">
        <f t="array" ref="J87">_xlfn._xlws.FILTER(Campaign_Metadata[Campaign_Name],(Engagement_Summary[[#This Row],[Week_Start_Date]]&gt;=Campaign_Metadata[Start_Date])*(Engagement_Summary[[#This Row],[Week_Start_Date]]&lt;=Campaign_Metadata[End_Date]),"No Campaign")</f>
        <v>ModelYCampaign</v>
      </c>
    </row>
    <row r="88" spans="1:10">
      <c r="A88" s="1">
        <v>45593</v>
      </c>
      <c r="B88" t="s">
        <v>35</v>
      </c>
      <c r="C88">
        <v>191</v>
      </c>
      <c r="D88">
        <v>154</v>
      </c>
      <c r="E88">
        <v>240550</v>
      </c>
      <c r="F88">
        <v>5.22</v>
      </c>
      <c r="G88">
        <v>15827</v>
      </c>
      <c r="H88">
        <f>Engagement_Summary[[#This Row],[New_Followers]]-Engagement_Summary[[#This Row],[Unfollows]]</f>
        <v>37</v>
      </c>
      <c r="I88" s="17">
        <f>(Engagement_Summary[[#This Row],[Net new follower]]-H87)/H87</f>
        <v>-0.90414507772020725</v>
      </c>
      <c r="J88" t="str" cm="1">
        <f t="array" ref="J88">_xlfn._xlws.FILTER(Campaign_Metadata[Campaign_Name],(Engagement_Summary[[#This Row],[Week_Start_Date]]&gt;=Campaign_Metadata[Start_Date])*(Engagement_Summary[[#This Row],[Week_Start_Date]]&lt;=Campaign_Metadata[End_Date]),"No Campaign")</f>
        <v>ModelYCampaign</v>
      </c>
    </row>
    <row r="89" spans="1:10">
      <c r="A89" s="1">
        <v>45593</v>
      </c>
      <c r="B89" t="s">
        <v>46</v>
      </c>
      <c r="C89">
        <v>1814</v>
      </c>
      <c r="D89">
        <v>157</v>
      </c>
      <c r="E89">
        <v>305827</v>
      </c>
      <c r="F89">
        <v>1.99</v>
      </c>
      <c r="G89">
        <v>46643</v>
      </c>
      <c r="H89">
        <f>Engagement_Summary[[#This Row],[New_Followers]]-Engagement_Summary[[#This Row],[Unfollows]]</f>
        <v>1657</v>
      </c>
      <c r="I89" s="17">
        <f>(Engagement_Summary[[#This Row],[Net new follower]]-H88)/H88</f>
        <v>43.783783783783782</v>
      </c>
      <c r="J89" t="str" cm="1">
        <f t="array" ref="J89">_xlfn._xlws.FILTER(Campaign_Metadata[Campaign_Name],(Engagement_Summary[[#This Row],[Week_Start_Date]]&gt;=Campaign_Metadata[Start_Date])*(Engagement_Summary[[#This Row],[Week_Start_Date]]&lt;=Campaign_Metadata[End_Date]),"No Campaign")</f>
        <v>ModelYCampaign</v>
      </c>
    </row>
    <row r="90" spans="1:10">
      <c r="A90" s="1">
        <v>45600</v>
      </c>
      <c r="B90" t="s">
        <v>49</v>
      </c>
      <c r="C90">
        <v>1466</v>
      </c>
      <c r="D90">
        <v>69</v>
      </c>
      <c r="E90">
        <v>54935</v>
      </c>
      <c r="F90">
        <v>6.85</v>
      </c>
      <c r="G90">
        <v>36484</v>
      </c>
      <c r="H90">
        <f>Engagement_Summary[[#This Row],[New_Followers]]-Engagement_Summary[[#This Row],[Unfollows]]</f>
        <v>1397</v>
      </c>
      <c r="I90" s="17">
        <f>(Engagement_Summary[[#This Row],[Net new follower]]-H89)/H89</f>
        <v>-0.15691007845503924</v>
      </c>
      <c r="J90" t="str" cm="1">
        <f t="array" ref="J90">_xlfn._xlws.FILTER(Campaign_Metadata[Campaign_Name],(Engagement_Summary[[#This Row],[Week_Start_Date]]&gt;=Campaign_Metadata[Start_Date])*(Engagement_Summary[[#This Row],[Week_Start_Date]]&lt;=Campaign_Metadata[End_Date]),"No Campaign")</f>
        <v>No Campaign</v>
      </c>
    </row>
    <row r="91" spans="1:10">
      <c r="A91" s="1">
        <v>45600</v>
      </c>
      <c r="B91" t="s">
        <v>55</v>
      </c>
      <c r="C91">
        <v>947</v>
      </c>
      <c r="D91">
        <v>407</v>
      </c>
      <c r="E91">
        <v>319186</v>
      </c>
      <c r="F91">
        <v>3.32</v>
      </c>
      <c r="G91">
        <v>4996</v>
      </c>
      <c r="H91">
        <f>Engagement_Summary[[#This Row],[New_Followers]]-Engagement_Summary[[#This Row],[Unfollows]]</f>
        <v>540</v>
      </c>
      <c r="I91" s="17">
        <f>(Engagement_Summary[[#This Row],[Net new follower]]-H90)/H90</f>
        <v>-0.61345740873299925</v>
      </c>
      <c r="J91" t="str" cm="1">
        <f t="array" ref="J91">_xlfn._xlws.FILTER(Campaign_Metadata[Campaign_Name],(Engagement_Summary[[#This Row],[Week_Start_Date]]&gt;=Campaign_Metadata[Start_Date])*(Engagement_Summary[[#This Row],[Week_Start_Date]]&lt;=Campaign_Metadata[End_Date]),"No Campaign")</f>
        <v>No Campaign</v>
      </c>
    </row>
    <row r="92" spans="1:10">
      <c r="A92" s="1">
        <v>45600</v>
      </c>
      <c r="B92" t="s">
        <v>35</v>
      </c>
      <c r="C92">
        <v>1821</v>
      </c>
      <c r="D92">
        <v>218</v>
      </c>
      <c r="E92">
        <v>439080</v>
      </c>
      <c r="F92">
        <v>5.68</v>
      </c>
      <c r="G92">
        <v>36095</v>
      </c>
      <c r="H92">
        <f>Engagement_Summary[[#This Row],[New_Followers]]-Engagement_Summary[[#This Row],[Unfollows]]</f>
        <v>1603</v>
      </c>
      <c r="I92" s="17">
        <f>(Engagement_Summary[[#This Row],[Net new follower]]-H91)/H91</f>
        <v>1.9685185185185186</v>
      </c>
      <c r="J92" t="str" cm="1">
        <f t="array" ref="J92">_xlfn._xlws.FILTER(Campaign_Metadata[Campaign_Name],(Engagement_Summary[[#This Row],[Week_Start_Date]]&gt;=Campaign_Metadata[Start_Date])*(Engagement_Summary[[#This Row],[Week_Start_Date]]&lt;=Campaign_Metadata[End_Date]),"No Campaign")</f>
        <v>No Campaign</v>
      </c>
    </row>
    <row r="93" spans="1:10">
      <c r="A93" s="1">
        <v>45600</v>
      </c>
      <c r="B93" t="s">
        <v>46</v>
      </c>
      <c r="C93">
        <v>1507</v>
      </c>
      <c r="D93">
        <v>463</v>
      </c>
      <c r="E93">
        <v>258944</v>
      </c>
      <c r="F93">
        <v>6.08</v>
      </c>
      <c r="G93">
        <v>16443</v>
      </c>
      <c r="H93">
        <f>Engagement_Summary[[#This Row],[New_Followers]]-Engagement_Summary[[#This Row],[Unfollows]]</f>
        <v>1044</v>
      </c>
      <c r="I93" s="17">
        <f>(Engagement_Summary[[#This Row],[Net new follower]]-H92)/H92</f>
        <v>-0.34872114784778541</v>
      </c>
      <c r="J93" t="str" cm="1">
        <f t="array" ref="J93">_xlfn._xlws.FILTER(Campaign_Metadata[Campaign_Name],(Engagement_Summary[[#This Row],[Week_Start_Date]]&gt;=Campaign_Metadata[Start_Date])*(Engagement_Summary[[#This Row],[Week_Start_Date]]&lt;=Campaign_Metadata[End_Date]),"No Campaign")</f>
        <v>No Campaign</v>
      </c>
    </row>
    <row r="94" spans="1:10">
      <c r="A94" s="1">
        <v>45607</v>
      </c>
      <c r="B94" t="s">
        <v>49</v>
      </c>
      <c r="C94">
        <v>1075</v>
      </c>
      <c r="D94">
        <v>173</v>
      </c>
      <c r="E94">
        <v>51395</v>
      </c>
      <c r="F94">
        <v>4.66</v>
      </c>
      <c r="G94">
        <v>47812</v>
      </c>
      <c r="H94">
        <f>Engagement_Summary[[#This Row],[New_Followers]]-Engagement_Summary[[#This Row],[Unfollows]]</f>
        <v>902</v>
      </c>
      <c r="I94" s="17">
        <f>(Engagement_Summary[[#This Row],[Net new follower]]-H93)/H93</f>
        <v>-0.13601532567049809</v>
      </c>
      <c r="J94" t="str" cm="1">
        <f t="array" ref="J94">_xlfn._xlws.FILTER(Campaign_Metadata[Campaign_Name],(Engagement_Summary[[#This Row],[Week_Start_Date]]&gt;=Campaign_Metadata[Start_Date])*(Engagement_Summary[[#This Row],[Week_Start_Date]]&lt;=Campaign_Metadata[End_Date]),"No Campaign")</f>
        <v>No Campaign</v>
      </c>
    </row>
    <row r="95" spans="1:10">
      <c r="A95" s="1">
        <v>45607</v>
      </c>
      <c r="B95" t="s">
        <v>55</v>
      </c>
      <c r="C95">
        <v>171</v>
      </c>
      <c r="D95">
        <v>277</v>
      </c>
      <c r="E95">
        <v>309483</v>
      </c>
      <c r="F95">
        <v>8.6999999999999993</v>
      </c>
      <c r="G95">
        <v>38452</v>
      </c>
      <c r="H95">
        <f>Engagement_Summary[[#This Row],[New_Followers]]-Engagement_Summary[[#This Row],[Unfollows]]</f>
        <v>-106</v>
      </c>
      <c r="I95" s="17">
        <f>(Engagement_Summary[[#This Row],[Net new follower]]-H94)/H94</f>
        <v>-1.1175166297117516</v>
      </c>
      <c r="J95" t="str" cm="1">
        <f t="array" ref="J95">_xlfn._xlws.FILTER(Campaign_Metadata[Campaign_Name],(Engagement_Summary[[#This Row],[Week_Start_Date]]&gt;=Campaign_Metadata[Start_Date])*(Engagement_Summary[[#This Row],[Week_Start_Date]]&lt;=Campaign_Metadata[End_Date]),"No Campaign")</f>
        <v>No Campaign</v>
      </c>
    </row>
    <row r="96" spans="1:10">
      <c r="A96" s="1">
        <v>45607</v>
      </c>
      <c r="B96" t="s">
        <v>35</v>
      </c>
      <c r="C96">
        <v>1487</v>
      </c>
      <c r="D96">
        <v>337</v>
      </c>
      <c r="E96">
        <v>87305</v>
      </c>
      <c r="F96">
        <v>2.46</v>
      </c>
      <c r="G96">
        <v>30428</v>
      </c>
      <c r="H96">
        <f>Engagement_Summary[[#This Row],[New_Followers]]-Engagement_Summary[[#This Row],[Unfollows]]</f>
        <v>1150</v>
      </c>
      <c r="I96" s="17">
        <f>(Engagement_Summary[[#This Row],[Net new follower]]-H95)/H95</f>
        <v>-11.849056603773585</v>
      </c>
      <c r="J96" t="str" cm="1">
        <f t="array" ref="J96">_xlfn._xlws.FILTER(Campaign_Metadata[Campaign_Name],(Engagement_Summary[[#This Row],[Week_Start_Date]]&gt;=Campaign_Metadata[Start_Date])*(Engagement_Summary[[#This Row],[Week_Start_Date]]&lt;=Campaign_Metadata[End_Date]),"No Campaign")</f>
        <v>No Campaign</v>
      </c>
    </row>
    <row r="97" spans="1:10">
      <c r="A97" s="1">
        <v>45607</v>
      </c>
      <c r="B97" t="s">
        <v>46</v>
      </c>
      <c r="C97">
        <v>454</v>
      </c>
      <c r="D97">
        <v>105</v>
      </c>
      <c r="E97">
        <v>121091</v>
      </c>
      <c r="F97">
        <v>7.97</v>
      </c>
      <c r="G97">
        <v>9269</v>
      </c>
      <c r="H97">
        <f>Engagement_Summary[[#This Row],[New_Followers]]-Engagement_Summary[[#This Row],[Unfollows]]</f>
        <v>349</v>
      </c>
      <c r="I97" s="17">
        <f>(Engagement_Summary[[#This Row],[Net new follower]]-H96)/H96</f>
        <v>-0.6965217391304348</v>
      </c>
      <c r="J97" t="str" cm="1">
        <f t="array" ref="J97">_xlfn._xlws.FILTER(Campaign_Metadata[Campaign_Name],(Engagement_Summary[[#This Row],[Week_Start_Date]]&gt;=Campaign_Metadata[Start_Date])*(Engagement_Summary[[#This Row],[Week_Start_Date]]&lt;=Campaign_Metadata[End_Date]),"No Campaign")</f>
        <v>No Campaign</v>
      </c>
    </row>
    <row r="98" spans="1:10">
      <c r="A98" s="1">
        <v>45614</v>
      </c>
      <c r="B98" t="s">
        <v>49</v>
      </c>
      <c r="C98">
        <v>187</v>
      </c>
      <c r="D98">
        <v>236</v>
      </c>
      <c r="E98">
        <v>51087</v>
      </c>
      <c r="F98">
        <v>9.41</v>
      </c>
      <c r="G98">
        <v>29533</v>
      </c>
      <c r="H98">
        <f>Engagement_Summary[[#This Row],[New_Followers]]-Engagement_Summary[[#This Row],[Unfollows]]</f>
        <v>-49</v>
      </c>
      <c r="I98" s="17">
        <f>(Engagement_Summary[[#This Row],[Net new follower]]-H97)/H97</f>
        <v>-1.1404011461318051</v>
      </c>
      <c r="J98" t="str" cm="1">
        <f t="array" ref="J98">_xlfn._xlws.FILTER(Campaign_Metadata[Campaign_Name],(Engagement_Summary[[#This Row],[Week_Start_Date]]&gt;=Campaign_Metadata[Start_Date])*(Engagement_Summary[[#This Row],[Week_Start_Date]]&lt;=Campaign_Metadata[End_Date]),"No Campaign")</f>
        <v>No Campaign</v>
      </c>
    </row>
    <row r="99" spans="1:10">
      <c r="A99" s="1">
        <v>45614</v>
      </c>
      <c r="B99" t="s">
        <v>55</v>
      </c>
      <c r="C99">
        <v>513</v>
      </c>
      <c r="D99">
        <v>441</v>
      </c>
      <c r="E99">
        <v>338847</v>
      </c>
      <c r="F99">
        <v>2.68</v>
      </c>
      <c r="G99">
        <v>39997</v>
      </c>
      <c r="H99">
        <f>Engagement_Summary[[#This Row],[New_Followers]]-Engagement_Summary[[#This Row],[Unfollows]]</f>
        <v>72</v>
      </c>
      <c r="I99" s="17">
        <f>(Engagement_Summary[[#This Row],[Net new follower]]-H98)/H98</f>
        <v>-2.4693877551020407</v>
      </c>
      <c r="J99" t="str" cm="1">
        <f t="array" ref="J99">_xlfn._xlws.FILTER(Campaign_Metadata[Campaign_Name],(Engagement_Summary[[#This Row],[Week_Start_Date]]&gt;=Campaign_Metadata[Start_Date])*(Engagement_Summary[[#This Row],[Week_Start_Date]]&lt;=Campaign_Metadata[End_Date]),"No Campaign")</f>
        <v>No Campaign</v>
      </c>
    </row>
    <row r="100" spans="1:10">
      <c r="A100" s="1">
        <v>45614</v>
      </c>
      <c r="B100" t="s">
        <v>35</v>
      </c>
      <c r="C100">
        <v>628</v>
      </c>
      <c r="D100">
        <v>183</v>
      </c>
      <c r="E100">
        <v>487523</v>
      </c>
      <c r="F100">
        <v>7.32</v>
      </c>
      <c r="G100">
        <v>5391</v>
      </c>
      <c r="H100">
        <f>Engagement_Summary[[#This Row],[New_Followers]]-Engagement_Summary[[#This Row],[Unfollows]]</f>
        <v>445</v>
      </c>
      <c r="I100" s="17">
        <f>(Engagement_Summary[[#This Row],[Net new follower]]-H99)/H99</f>
        <v>5.1805555555555554</v>
      </c>
      <c r="J100" t="str" cm="1">
        <f t="array" ref="J100">_xlfn._xlws.FILTER(Campaign_Metadata[Campaign_Name],(Engagement_Summary[[#This Row],[Week_Start_Date]]&gt;=Campaign_Metadata[Start_Date])*(Engagement_Summary[[#This Row],[Week_Start_Date]]&lt;=Campaign_Metadata[End_Date]),"No Campaign")</f>
        <v>No Campaign</v>
      </c>
    </row>
    <row r="101" spans="1:10">
      <c r="A101" s="1">
        <v>45614</v>
      </c>
      <c r="B101" t="s">
        <v>46</v>
      </c>
      <c r="C101">
        <v>278</v>
      </c>
      <c r="D101">
        <v>218</v>
      </c>
      <c r="E101">
        <v>301695</v>
      </c>
      <c r="F101">
        <v>4.68</v>
      </c>
      <c r="G101">
        <v>22373</v>
      </c>
      <c r="H101">
        <f>Engagement_Summary[[#This Row],[New_Followers]]-Engagement_Summary[[#This Row],[Unfollows]]</f>
        <v>60</v>
      </c>
      <c r="I101" s="17">
        <f>(Engagement_Summary[[#This Row],[Net new follower]]-H100)/H100</f>
        <v>-0.8651685393258427</v>
      </c>
      <c r="J101" t="str" cm="1">
        <f t="array" ref="J101">_xlfn._xlws.FILTER(Campaign_Metadata[Campaign_Name],(Engagement_Summary[[#This Row],[Week_Start_Date]]&gt;=Campaign_Metadata[Start_Date])*(Engagement_Summary[[#This Row],[Week_Start_Date]]&lt;=Campaign_Metadata[End_Date]),"No Campaign")</f>
        <v>No Campaign</v>
      </c>
    </row>
    <row r="102" spans="1:10">
      <c r="A102" s="1">
        <v>45621</v>
      </c>
      <c r="B102" t="s">
        <v>49</v>
      </c>
      <c r="C102">
        <v>1854</v>
      </c>
      <c r="D102">
        <v>161</v>
      </c>
      <c r="E102">
        <v>282466</v>
      </c>
      <c r="F102">
        <v>5.17</v>
      </c>
      <c r="G102">
        <v>1810</v>
      </c>
      <c r="H102">
        <f>Engagement_Summary[[#This Row],[New_Followers]]-Engagement_Summary[[#This Row],[Unfollows]]</f>
        <v>1693</v>
      </c>
      <c r="I102" s="17">
        <f>(Engagement_Summary[[#This Row],[Net new follower]]-H101)/H101</f>
        <v>27.216666666666665</v>
      </c>
      <c r="J102" t="str" cm="1">
        <f t="array" ref="J102">_xlfn._xlws.FILTER(Campaign_Metadata[Campaign_Name],(Engagement_Summary[[#This Row],[Week_Start_Date]]&gt;=Campaign_Metadata[Start_Date])*(Engagement_Summary[[#This Row],[Week_Start_Date]]&lt;=Campaign_Metadata[End_Date]),"No Campaign")</f>
        <v>No Campaign</v>
      </c>
    </row>
    <row r="103" spans="1:10">
      <c r="A103" s="1">
        <v>45621</v>
      </c>
      <c r="B103" t="s">
        <v>55</v>
      </c>
      <c r="C103">
        <v>1710</v>
      </c>
      <c r="D103">
        <v>378</v>
      </c>
      <c r="E103">
        <v>336661</v>
      </c>
      <c r="F103">
        <v>6.2</v>
      </c>
      <c r="G103">
        <v>28498</v>
      </c>
      <c r="H103">
        <f>Engagement_Summary[[#This Row],[New_Followers]]-Engagement_Summary[[#This Row],[Unfollows]]</f>
        <v>1332</v>
      </c>
      <c r="I103" s="17">
        <f>(Engagement_Summary[[#This Row],[Net new follower]]-H102)/H102</f>
        <v>-0.21323095097460129</v>
      </c>
      <c r="J103" t="str" cm="1">
        <f t="array" ref="J103">_xlfn._xlws.FILTER(Campaign_Metadata[Campaign_Name],(Engagement_Summary[[#This Row],[Week_Start_Date]]&gt;=Campaign_Metadata[Start_Date])*(Engagement_Summary[[#This Row],[Week_Start_Date]]&lt;=Campaign_Metadata[End_Date]),"No Campaign")</f>
        <v>No Campaign</v>
      </c>
    </row>
    <row r="104" spans="1:10">
      <c r="A104" s="1">
        <v>45621</v>
      </c>
      <c r="B104" t="s">
        <v>35</v>
      </c>
      <c r="C104">
        <v>330</v>
      </c>
      <c r="D104">
        <v>232</v>
      </c>
      <c r="E104">
        <v>88455</v>
      </c>
      <c r="F104">
        <v>2.69</v>
      </c>
      <c r="G104">
        <v>39530</v>
      </c>
      <c r="H104">
        <f>Engagement_Summary[[#This Row],[New_Followers]]-Engagement_Summary[[#This Row],[Unfollows]]</f>
        <v>98</v>
      </c>
      <c r="I104" s="17">
        <f>(Engagement_Summary[[#This Row],[Net new follower]]-H103)/H103</f>
        <v>-0.92642642642642647</v>
      </c>
      <c r="J104" t="str" cm="1">
        <f t="array" ref="J104">_xlfn._xlws.FILTER(Campaign_Metadata[Campaign_Name],(Engagement_Summary[[#This Row],[Week_Start_Date]]&gt;=Campaign_Metadata[Start_Date])*(Engagement_Summary[[#This Row],[Week_Start_Date]]&lt;=Campaign_Metadata[End_Date]),"No Campaign")</f>
        <v>No Campaign</v>
      </c>
    </row>
    <row r="105" spans="1:10">
      <c r="A105" s="1">
        <v>45621</v>
      </c>
      <c r="B105" t="s">
        <v>46</v>
      </c>
      <c r="C105">
        <v>1293</v>
      </c>
      <c r="D105">
        <v>408</v>
      </c>
      <c r="E105">
        <v>62535</v>
      </c>
      <c r="F105">
        <v>8.9</v>
      </c>
      <c r="G105">
        <v>37876</v>
      </c>
      <c r="H105">
        <f>Engagement_Summary[[#This Row],[New_Followers]]-Engagement_Summary[[#This Row],[Unfollows]]</f>
        <v>885</v>
      </c>
      <c r="I105" s="17">
        <f>(Engagement_Summary[[#This Row],[Net new follower]]-H104)/H104</f>
        <v>8.0306122448979593</v>
      </c>
      <c r="J105" t="str" cm="1">
        <f t="array" ref="J105">_xlfn._xlws.FILTER(Campaign_Metadata[Campaign_Name],(Engagement_Summary[[#This Row],[Week_Start_Date]]&gt;=Campaign_Metadata[Start_Date])*(Engagement_Summary[[#This Row],[Week_Start_Date]]&lt;=Campaign_Metadata[End_Date]),"No Campaign")</f>
        <v>No Campaign</v>
      </c>
    </row>
    <row r="106" spans="1:10">
      <c r="A106" s="1">
        <v>45628</v>
      </c>
      <c r="B106" t="s">
        <v>49</v>
      </c>
      <c r="C106">
        <v>1696</v>
      </c>
      <c r="D106">
        <v>71</v>
      </c>
      <c r="E106">
        <v>421957</v>
      </c>
      <c r="F106">
        <v>3.79</v>
      </c>
      <c r="G106">
        <v>36103</v>
      </c>
      <c r="H106">
        <f>Engagement_Summary[[#This Row],[New_Followers]]-Engagement_Summary[[#This Row],[Unfollows]]</f>
        <v>1625</v>
      </c>
      <c r="I106" s="17">
        <f>(Engagement_Summary[[#This Row],[Net new follower]]-H105)/H105</f>
        <v>0.83615819209039544</v>
      </c>
      <c r="J106" t="str" cm="1">
        <f t="array" ref="J106">_xlfn._xlws.FILTER(Campaign_Metadata[Campaign_Name],(Engagement_Summary[[#This Row],[Week_Start_Date]]&gt;=Campaign_Metadata[Start_Date])*(Engagement_Summary[[#This Row],[Week_Start_Date]]&lt;=Campaign_Metadata[End_Date]),"No Campaign")</f>
        <v>No Campaign</v>
      </c>
    </row>
    <row r="107" spans="1:10">
      <c r="A107" s="1">
        <v>45628</v>
      </c>
      <c r="B107" t="s">
        <v>55</v>
      </c>
      <c r="C107">
        <v>1902</v>
      </c>
      <c r="D107">
        <v>196</v>
      </c>
      <c r="E107">
        <v>470269</v>
      </c>
      <c r="F107">
        <v>4.79</v>
      </c>
      <c r="G107">
        <v>26103</v>
      </c>
      <c r="H107">
        <f>Engagement_Summary[[#This Row],[New_Followers]]-Engagement_Summary[[#This Row],[Unfollows]]</f>
        <v>1706</v>
      </c>
      <c r="I107" s="17">
        <f>(Engagement_Summary[[#This Row],[Net new follower]]-H106)/H106</f>
        <v>4.9846153846153846E-2</v>
      </c>
      <c r="J107" t="str" cm="1">
        <f t="array" ref="J107">_xlfn._xlws.FILTER(Campaign_Metadata[Campaign_Name],(Engagement_Summary[[#This Row],[Week_Start_Date]]&gt;=Campaign_Metadata[Start_Date])*(Engagement_Summary[[#This Row],[Week_Start_Date]]&lt;=Campaign_Metadata[End_Date]),"No Campaign")</f>
        <v>No Campaign</v>
      </c>
    </row>
    <row r="108" spans="1:10">
      <c r="A108" s="1">
        <v>45628</v>
      </c>
      <c r="B108" t="s">
        <v>35</v>
      </c>
      <c r="C108">
        <v>1441</v>
      </c>
      <c r="D108">
        <v>268</v>
      </c>
      <c r="E108">
        <v>309904</v>
      </c>
      <c r="F108">
        <v>6.37</v>
      </c>
      <c r="G108">
        <v>3455</v>
      </c>
      <c r="H108">
        <f>Engagement_Summary[[#This Row],[New_Followers]]-Engagement_Summary[[#This Row],[Unfollows]]</f>
        <v>1173</v>
      </c>
      <c r="I108" s="17">
        <f>(Engagement_Summary[[#This Row],[Net new follower]]-H107)/H107</f>
        <v>-0.31242672919109027</v>
      </c>
      <c r="J108" t="str" cm="1">
        <f t="array" ref="J108">_xlfn._xlws.FILTER(Campaign_Metadata[Campaign_Name],(Engagement_Summary[[#This Row],[Week_Start_Date]]&gt;=Campaign_Metadata[Start_Date])*(Engagement_Summary[[#This Row],[Week_Start_Date]]&lt;=Campaign_Metadata[End_Date]),"No Campaign")</f>
        <v>No Campaign</v>
      </c>
    </row>
    <row r="109" spans="1:10">
      <c r="A109" s="1">
        <v>45628</v>
      </c>
      <c r="B109" t="s">
        <v>46</v>
      </c>
      <c r="C109">
        <v>452</v>
      </c>
      <c r="D109">
        <v>161</v>
      </c>
      <c r="E109">
        <v>221274</v>
      </c>
      <c r="F109">
        <v>2.65</v>
      </c>
      <c r="G109">
        <v>40888</v>
      </c>
      <c r="H109">
        <f>Engagement_Summary[[#This Row],[New_Followers]]-Engagement_Summary[[#This Row],[Unfollows]]</f>
        <v>291</v>
      </c>
      <c r="I109" s="17">
        <f>(Engagement_Summary[[#This Row],[Net new follower]]-H108)/H108</f>
        <v>-0.75191815856777489</v>
      </c>
      <c r="J109" t="str" cm="1">
        <f t="array" ref="J109">_xlfn._xlws.FILTER(Campaign_Metadata[Campaign_Name],(Engagement_Summary[[#This Row],[Week_Start_Date]]&gt;=Campaign_Metadata[Start_Date])*(Engagement_Summary[[#This Row],[Week_Start_Date]]&lt;=Campaign_Metadata[End_Date]),"No Campaign")</f>
        <v>No Campaign</v>
      </c>
    </row>
    <row r="110" spans="1:10">
      <c r="A110" s="1">
        <v>45635</v>
      </c>
      <c r="B110" t="s">
        <v>49</v>
      </c>
      <c r="C110">
        <v>1494</v>
      </c>
      <c r="D110">
        <v>375</v>
      </c>
      <c r="E110">
        <v>220616</v>
      </c>
      <c r="F110">
        <v>1.81</v>
      </c>
      <c r="G110">
        <v>22724</v>
      </c>
      <c r="H110">
        <f>Engagement_Summary[[#This Row],[New_Followers]]-Engagement_Summary[[#This Row],[Unfollows]]</f>
        <v>1119</v>
      </c>
      <c r="I110" s="17">
        <f>(Engagement_Summary[[#This Row],[Net new follower]]-H109)/H109</f>
        <v>2.8453608247422681</v>
      </c>
      <c r="J110" t="str" cm="1">
        <f t="array" ref="J110">_xlfn._xlws.FILTER(Campaign_Metadata[Campaign_Name],(Engagement_Summary[[#This Row],[Week_Start_Date]]&gt;=Campaign_Metadata[Start_Date])*(Engagement_Summary[[#This Row],[Week_Start_Date]]&lt;=Campaign_Metadata[End_Date]),"No Campaign")</f>
        <v>No Campaign</v>
      </c>
    </row>
    <row r="111" spans="1:10">
      <c r="A111" s="1">
        <v>45635</v>
      </c>
      <c r="B111" t="s">
        <v>55</v>
      </c>
      <c r="C111">
        <v>1514</v>
      </c>
      <c r="D111">
        <v>141</v>
      </c>
      <c r="E111">
        <v>35842</v>
      </c>
      <c r="F111">
        <v>7.47</v>
      </c>
      <c r="G111">
        <v>18601</v>
      </c>
      <c r="H111">
        <f>Engagement_Summary[[#This Row],[New_Followers]]-Engagement_Summary[[#This Row],[Unfollows]]</f>
        <v>1373</v>
      </c>
      <c r="I111" s="17">
        <f>(Engagement_Summary[[#This Row],[Net new follower]]-H110)/H110</f>
        <v>0.22698838248436104</v>
      </c>
      <c r="J111" t="str" cm="1">
        <f t="array" ref="J111">_xlfn._xlws.FILTER(Campaign_Metadata[Campaign_Name],(Engagement_Summary[[#This Row],[Week_Start_Date]]&gt;=Campaign_Metadata[Start_Date])*(Engagement_Summary[[#This Row],[Week_Start_Date]]&lt;=Campaign_Metadata[End_Date]),"No Campaign")</f>
        <v>No Campaign</v>
      </c>
    </row>
    <row r="112" spans="1:10">
      <c r="A112" s="1">
        <v>45635</v>
      </c>
      <c r="B112" t="s">
        <v>35</v>
      </c>
      <c r="C112">
        <v>1937</v>
      </c>
      <c r="D112">
        <v>210</v>
      </c>
      <c r="E112">
        <v>20607</v>
      </c>
      <c r="F112">
        <v>4.2</v>
      </c>
      <c r="G112">
        <v>20861</v>
      </c>
      <c r="H112">
        <f>Engagement_Summary[[#This Row],[New_Followers]]-Engagement_Summary[[#This Row],[Unfollows]]</f>
        <v>1727</v>
      </c>
      <c r="I112" s="17">
        <f>(Engagement_Summary[[#This Row],[Net new follower]]-H111)/H111</f>
        <v>0.25782957028404951</v>
      </c>
      <c r="J112" t="str" cm="1">
        <f t="array" ref="J112">_xlfn._xlws.FILTER(Campaign_Metadata[Campaign_Name],(Engagement_Summary[[#This Row],[Week_Start_Date]]&gt;=Campaign_Metadata[Start_Date])*(Engagement_Summary[[#This Row],[Week_Start_Date]]&lt;=Campaign_Metadata[End_Date]),"No Campaign")</f>
        <v>No Campaign</v>
      </c>
    </row>
    <row r="113" spans="1:10">
      <c r="A113" s="1">
        <v>45635</v>
      </c>
      <c r="B113" t="s">
        <v>46</v>
      </c>
      <c r="C113">
        <v>736</v>
      </c>
      <c r="D113">
        <v>163</v>
      </c>
      <c r="E113">
        <v>451894</v>
      </c>
      <c r="F113">
        <v>5.43</v>
      </c>
      <c r="G113">
        <v>46625</v>
      </c>
      <c r="H113">
        <f>Engagement_Summary[[#This Row],[New_Followers]]-Engagement_Summary[[#This Row],[Unfollows]]</f>
        <v>573</v>
      </c>
      <c r="I113" s="17">
        <f>(Engagement_Summary[[#This Row],[Net new follower]]-H112)/H112</f>
        <v>-0.66821077012159813</v>
      </c>
      <c r="J113" t="str" cm="1">
        <f t="array" ref="J113">_xlfn._xlws.FILTER(Campaign_Metadata[Campaign_Name],(Engagement_Summary[[#This Row],[Week_Start_Date]]&gt;=Campaign_Metadata[Start_Date])*(Engagement_Summary[[#This Row],[Week_Start_Date]]&lt;=Campaign_Metadata[End_Date]),"No Campaign")</f>
        <v>No Campaign</v>
      </c>
    </row>
    <row r="114" spans="1:10">
      <c r="A114" s="1">
        <v>45642</v>
      </c>
      <c r="B114" t="s">
        <v>49</v>
      </c>
      <c r="C114">
        <v>1502</v>
      </c>
      <c r="D114">
        <v>70</v>
      </c>
      <c r="E114">
        <v>465553</v>
      </c>
      <c r="F114">
        <v>3.32</v>
      </c>
      <c r="G114">
        <v>20692</v>
      </c>
      <c r="H114">
        <f>Engagement_Summary[[#This Row],[New_Followers]]-Engagement_Summary[[#This Row],[Unfollows]]</f>
        <v>1432</v>
      </c>
      <c r="I114" s="17">
        <f>(Engagement_Summary[[#This Row],[Net new follower]]-H113)/H113</f>
        <v>1.4991273996509598</v>
      </c>
      <c r="J114" t="str" cm="1">
        <f t="array" ref="J114">_xlfn._xlws.FILTER(Campaign_Metadata[Campaign_Name],(Engagement_Summary[[#This Row],[Week_Start_Date]]&gt;=Campaign_Metadata[Start_Date])*(Engagement_Summary[[#This Row],[Week_Start_Date]]&lt;=Campaign_Metadata[End_Date]),"No Campaign")</f>
        <v>No Campaign</v>
      </c>
    </row>
    <row r="115" spans="1:10">
      <c r="A115" s="1">
        <v>45642</v>
      </c>
      <c r="B115" t="s">
        <v>55</v>
      </c>
      <c r="C115">
        <v>1623</v>
      </c>
      <c r="D115">
        <v>246</v>
      </c>
      <c r="E115">
        <v>415815</v>
      </c>
      <c r="F115">
        <v>8.11</v>
      </c>
      <c r="G115">
        <v>18656</v>
      </c>
      <c r="H115">
        <f>Engagement_Summary[[#This Row],[New_Followers]]-Engagement_Summary[[#This Row],[Unfollows]]</f>
        <v>1377</v>
      </c>
      <c r="I115" s="17">
        <f>(Engagement_Summary[[#This Row],[Net new follower]]-H114)/H114</f>
        <v>-3.840782122905028E-2</v>
      </c>
      <c r="J115" t="str" cm="1">
        <f t="array" ref="J115">_xlfn._xlws.FILTER(Campaign_Metadata[Campaign_Name],(Engagement_Summary[[#This Row],[Week_Start_Date]]&gt;=Campaign_Metadata[Start_Date])*(Engagement_Summary[[#This Row],[Week_Start_Date]]&lt;=Campaign_Metadata[End_Date]),"No Campaign")</f>
        <v>No Campaign</v>
      </c>
    </row>
    <row r="116" spans="1:10">
      <c r="A116" s="1">
        <v>45642</v>
      </c>
      <c r="B116" t="s">
        <v>35</v>
      </c>
      <c r="C116">
        <v>1592</v>
      </c>
      <c r="D116">
        <v>233</v>
      </c>
      <c r="E116">
        <v>327183</v>
      </c>
      <c r="F116">
        <v>6.66</v>
      </c>
      <c r="G116">
        <v>13316</v>
      </c>
      <c r="H116">
        <f>Engagement_Summary[[#This Row],[New_Followers]]-Engagement_Summary[[#This Row],[Unfollows]]</f>
        <v>1359</v>
      </c>
      <c r="I116" s="17">
        <f>(Engagement_Summary[[#This Row],[Net new follower]]-H115)/H115</f>
        <v>-1.3071895424836602E-2</v>
      </c>
      <c r="J116" t="str" cm="1">
        <f t="array" ref="J116">_xlfn._xlws.FILTER(Campaign_Metadata[Campaign_Name],(Engagement_Summary[[#This Row],[Week_Start_Date]]&gt;=Campaign_Metadata[Start_Date])*(Engagement_Summary[[#This Row],[Week_Start_Date]]&lt;=Campaign_Metadata[End_Date]),"No Campaign")</f>
        <v>No Campaign</v>
      </c>
    </row>
    <row r="117" spans="1:10">
      <c r="A117" s="1">
        <v>45642</v>
      </c>
      <c r="B117" t="s">
        <v>46</v>
      </c>
      <c r="C117">
        <v>1004</v>
      </c>
      <c r="D117">
        <v>128</v>
      </c>
      <c r="E117">
        <v>488901</v>
      </c>
      <c r="F117">
        <v>8.09</v>
      </c>
      <c r="G117">
        <v>49558</v>
      </c>
      <c r="H117">
        <f>Engagement_Summary[[#This Row],[New_Followers]]-Engagement_Summary[[#This Row],[Unfollows]]</f>
        <v>876</v>
      </c>
      <c r="I117" s="17">
        <f>(Engagement_Summary[[#This Row],[Net new follower]]-H116)/H116</f>
        <v>-0.35540838852097129</v>
      </c>
      <c r="J117" t="str" cm="1">
        <f t="array" ref="J117">_xlfn._xlws.FILTER(Campaign_Metadata[Campaign_Name],(Engagement_Summary[[#This Row],[Week_Start_Date]]&gt;=Campaign_Metadata[Start_Date])*(Engagement_Summary[[#This Row],[Week_Start_Date]]&lt;=Campaign_Metadata[End_Date]),"No Campaign")</f>
        <v>No Campaign</v>
      </c>
    </row>
    <row r="118" spans="1:10">
      <c r="A118" s="1">
        <v>45649</v>
      </c>
      <c r="B118" t="s">
        <v>49</v>
      </c>
      <c r="C118">
        <v>1092</v>
      </c>
      <c r="D118">
        <v>408</v>
      </c>
      <c r="E118">
        <v>280795</v>
      </c>
      <c r="F118">
        <v>8.44</v>
      </c>
      <c r="G118">
        <v>4683</v>
      </c>
      <c r="H118">
        <f>Engagement_Summary[[#This Row],[New_Followers]]-Engagement_Summary[[#This Row],[Unfollows]]</f>
        <v>684</v>
      </c>
      <c r="I118" s="17">
        <f>(Engagement_Summary[[#This Row],[Net new follower]]-H117)/H117</f>
        <v>-0.21917808219178081</v>
      </c>
      <c r="J118" t="str" cm="1">
        <f t="array" ref="J118">_xlfn._xlws.FILTER(Campaign_Metadata[Campaign_Name],(Engagement_Summary[[#This Row],[Week_Start_Date]]&gt;=Campaign_Metadata[Start_Date])*(Engagement_Summary[[#This Row],[Week_Start_Date]]&lt;=Campaign_Metadata[End_Date]),"No Campaign")</f>
        <v>No Campaign</v>
      </c>
    </row>
    <row r="119" spans="1:10">
      <c r="A119" s="1">
        <v>45649</v>
      </c>
      <c r="B119" t="s">
        <v>55</v>
      </c>
      <c r="C119">
        <v>1155</v>
      </c>
      <c r="D119">
        <v>425</v>
      </c>
      <c r="E119">
        <v>93347</v>
      </c>
      <c r="F119">
        <v>2.02</v>
      </c>
      <c r="G119">
        <v>47502</v>
      </c>
      <c r="H119">
        <f>Engagement_Summary[[#This Row],[New_Followers]]-Engagement_Summary[[#This Row],[Unfollows]]</f>
        <v>730</v>
      </c>
      <c r="I119" s="17">
        <f>(Engagement_Summary[[#This Row],[Net new follower]]-H118)/H118</f>
        <v>6.725146198830409E-2</v>
      </c>
      <c r="J119" t="str" cm="1">
        <f t="array" ref="J119">_xlfn._xlws.FILTER(Campaign_Metadata[Campaign_Name],(Engagement_Summary[[#This Row],[Week_Start_Date]]&gt;=Campaign_Metadata[Start_Date])*(Engagement_Summary[[#This Row],[Week_Start_Date]]&lt;=Campaign_Metadata[End_Date]),"No Campaign")</f>
        <v>No Campaign</v>
      </c>
    </row>
    <row r="120" spans="1:10">
      <c r="A120" s="1">
        <v>45649</v>
      </c>
      <c r="B120" t="s">
        <v>35</v>
      </c>
      <c r="C120">
        <v>1137</v>
      </c>
      <c r="D120">
        <v>226</v>
      </c>
      <c r="E120">
        <v>81119</v>
      </c>
      <c r="F120">
        <v>7.74</v>
      </c>
      <c r="G120">
        <v>35359</v>
      </c>
      <c r="H120">
        <f>Engagement_Summary[[#This Row],[New_Followers]]-Engagement_Summary[[#This Row],[Unfollows]]</f>
        <v>911</v>
      </c>
      <c r="I120" s="17">
        <f>(Engagement_Summary[[#This Row],[Net new follower]]-H119)/H119</f>
        <v>0.24794520547945206</v>
      </c>
      <c r="J120" t="str" cm="1">
        <f t="array" ref="J120">_xlfn._xlws.FILTER(Campaign_Metadata[Campaign_Name],(Engagement_Summary[[#This Row],[Week_Start_Date]]&gt;=Campaign_Metadata[Start_Date])*(Engagement_Summary[[#This Row],[Week_Start_Date]]&lt;=Campaign_Metadata[End_Date]),"No Campaign")</f>
        <v>No Campaign</v>
      </c>
    </row>
    <row r="121" spans="1:10">
      <c r="A121" s="1">
        <v>45649</v>
      </c>
      <c r="B121" t="s">
        <v>46</v>
      </c>
      <c r="C121">
        <v>1900</v>
      </c>
      <c r="D121">
        <v>311</v>
      </c>
      <c r="E121">
        <v>25177</v>
      </c>
      <c r="F121">
        <v>2.89</v>
      </c>
      <c r="G121">
        <v>14154</v>
      </c>
      <c r="H121">
        <f>Engagement_Summary[[#This Row],[New_Followers]]-Engagement_Summary[[#This Row],[Unfollows]]</f>
        <v>1589</v>
      </c>
      <c r="I121" s="17">
        <f>(Engagement_Summary[[#This Row],[Net new follower]]-H120)/H120</f>
        <v>0.74423710208562022</v>
      </c>
      <c r="J121" t="str" cm="1">
        <f t="array" ref="J121">_xlfn._xlws.FILTER(Campaign_Metadata[Campaign_Name],(Engagement_Summary[[#This Row],[Week_Start_Date]]&gt;=Campaign_Metadata[Start_Date])*(Engagement_Summary[[#This Row],[Week_Start_Date]]&lt;=Campaign_Metadata[End_Date]),"No Campaign")</f>
        <v>No Campaign</v>
      </c>
    </row>
    <row r="122" spans="1:10">
      <c r="A122" s="1">
        <v>45656</v>
      </c>
      <c r="B122" t="s">
        <v>49</v>
      </c>
      <c r="C122">
        <v>1814</v>
      </c>
      <c r="D122">
        <v>49</v>
      </c>
      <c r="E122">
        <v>140804</v>
      </c>
      <c r="F122">
        <v>1.76</v>
      </c>
      <c r="G122">
        <v>4313</v>
      </c>
      <c r="H122">
        <f>Engagement_Summary[[#This Row],[New_Followers]]-Engagement_Summary[[#This Row],[Unfollows]]</f>
        <v>1765</v>
      </c>
      <c r="I122" s="17">
        <f>(Engagement_Summary[[#This Row],[Net new follower]]-H121)/H121</f>
        <v>0.11076148521082442</v>
      </c>
      <c r="J122" t="str" cm="1">
        <f t="array" ref="J122">_xlfn._xlws.FILTER(Campaign_Metadata[Campaign_Name],(Engagement_Summary[[#This Row],[Week_Start_Date]]&gt;=Campaign_Metadata[Start_Date])*(Engagement_Summary[[#This Row],[Week_Start_Date]]&lt;=Campaign_Metadata[End_Date]),"No Campaign")</f>
        <v>FSDUpdate</v>
      </c>
    </row>
    <row r="123" spans="1:10">
      <c r="A123" s="1">
        <v>45656</v>
      </c>
      <c r="B123" t="s">
        <v>55</v>
      </c>
      <c r="C123">
        <v>1980</v>
      </c>
      <c r="D123">
        <v>204</v>
      </c>
      <c r="E123">
        <v>379431</v>
      </c>
      <c r="F123">
        <v>3.09</v>
      </c>
      <c r="G123">
        <v>25140</v>
      </c>
      <c r="H123">
        <f>Engagement_Summary[[#This Row],[New_Followers]]-Engagement_Summary[[#This Row],[Unfollows]]</f>
        <v>1776</v>
      </c>
      <c r="I123" s="17">
        <f>(Engagement_Summary[[#This Row],[Net new follower]]-H122)/H122</f>
        <v>6.2322946175637391E-3</v>
      </c>
      <c r="J123" t="str" cm="1">
        <f t="array" ref="J123">_xlfn._xlws.FILTER(Campaign_Metadata[Campaign_Name],(Engagement_Summary[[#This Row],[Week_Start_Date]]&gt;=Campaign_Metadata[Start_Date])*(Engagement_Summary[[#This Row],[Week_Start_Date]]&lt;=Campaign_Metadata[End_Date]),"No Campaign")</f>
        <v>FSDUpdate</v>
      </c>
    </row>
    <row r="124" spans="1:10">
      <c r="A124" s="1">
        <v>45656</v>
      </c>
      <c r="B124" t="s">
        <v>35</v>
      </c>
      <c r="C124">
        <v>1786</v>
      </c>
      <c r="D124">
        <v>257</v>
      </c>
      <c r="E124">
        <v>274831</v>
      </c>
      <c r="F124">
        <v>4.68</v>
      </c>
      <c r="G124">
        <v>9118</v>
      </c>
      <c r="H124">
        <f>Engagement_Summary[[#This Row],[New_Followers]]-Engagement_Summary[[#This Row],[Unfollows]]</f>
        <v>1529</v>
      </c>
      <c r="I124" s="17">
        <f>(Engagement_Summary[[#This Row],[Net new follower]]-H123)/H123</f>
        <v>-0.13907657657657657</v>
      </c>
      <c r="J124" t="str" cm="1">
        <f t="array" ref="J124">_xlfn._xlws.FILTER(Campaign_Metadata[Campaign_Name],(Engagement_Summary[[#This Row],[Week_Start_Date]]&gt;=Campaign_Metadata[Start_Date])*(Engagement_Summary[[#This Row],[Week_Start_Date]]&lt;=Campaign_Metadata[End_Date]),"No Campaign")</f>
        <v>FSDUpdate</v>
      </c>
    </row>
    <row r="125" spans="1:10">
      <c r="A125" s="1">
        <v>45656</v>
      </c>
      <c r="B125" t="s">
        <v>46</v>
      </c>
      <c r="C125">
        <v>1495</v>
      </c>
      <c r="D125">
        <v>35</v>
      </c>
      <c r="E125">
        <v>136845</v>
      </c>
      <c r="F125">
        <v>4.4800000000000004</v>
      </c>
      <c r="G125">
        <v>39931</v>
      </c>
      <c r="H125">
        <f>Engagement_Summary[[#This Row],[New_Followers]]-Engagement_Summary[[#This Row],[Unfollows]]</f>
        <v>1460</v>
      </c>
      <c r="I125" s="17">
        <f>(Engagement_Summary[[#This Row],[Net new follower]]-H124)/H124</f>
        <v>-4.5127534336167431E-2</v>
      </c>
      <c r="J125" t="str" cm="1">
        <f t="array" ref="J125">_xlfn._xlws.FILTER(Campaign_Metadata[Campaign_Name],(Engagement_Summary[[#This Row],[Week_Start_Date]]&gt;=Campaign_Metadata[Start_Date])*(Engagement_Summary[[#This Row],[Week_Start_Date]]&lt;=Campaign_Metadata[End_Date]),"No Campaign")</f>
        <v>FSDUpdate</v>
      </c>
    </row>
    <row r="126" spans="1:10">
      <c r="A126" s="1">
        <v>45663</v>
      </c>
      <c r="B126" t="s">
        <v>49</v>
      </c>
      <c r="C126">
        <v>1013</v>
      </c>
      <c r="D126">
        <v>110</v>
      </c>
      <c r="E126">
        <v>466382</v>
      </c>
      <c r="F126">
        <v>5.3</v>
      </c>
      <c r="G126">
        <v>37132</v>
      </c>
      <c r="H126">
        <f>Engagement_Summary[[#This Row],[New_Followers]]-Engagement_Summary[[#This Row],[Unfollows]]</f>
        <v>903</v>
      </c>
      <c r="I126" s="17">
        <f>(Engagement_Summary[[#This Row],[Net new follower]]-H125)/H125</f>
        <v>-0.38150684931506851</v>
      </c>
      <c r="J126" t="str" cm="1">
        <f t="array" ref="J126">_xlfn._xlws.FILTER(Campaign_Metadata[Campaign_Name],(Engagement_Summary[[#This Row],[Week_Start_Date]]&gt;=Campaign_Metadata[Start_Date])*(Engagement_Summary[[#This Row],[Week_Start_Date]]&lt;=Campaign_Metadata[End_Date]),"No Campaign")</f>
        <v>FSDUpdate</v>
      </c>
    </row>
    <row r="127" spans="1:10">
      <c r="A127" s="1">
        <v>45663</v>
      </c>
      <c r="B127" t="s">
        <v>55</v>
      </c>
      <c r="C127">
        <v>816</v>
      </c>
      <c r="D127">
        <v>196</v>
      </c>
      <c r="E127">
        <v>95728</v>
      </c>
      <c r="F127">
        <v>8.1999999999999993</v>
      </c>
      <c r="G127">
        <v>17951</v>
      </c>
      <c r="H127">
        <f>Engagement_Summary[[#This Row],[New_Followers]]-Engagement_Summary[[#This Row],[Unfollows]]</f>
        <v>620</v>
      </c>
      <c r="I127" s="17">
        <f>(Engagement_Summary[[#This Row],[Net new follower]]-H126)/H126</f>
        <v>-0.3133997785160576</v>
      </c>
      <c r="J127" t="str" cm="1">
        <f t="array" ref="J127">_xlfn._xlws.FILTER(Campaign_Metadata[Campaign_Name],(Engagement_Summary[[#This Row],[Week_Start_Date]]&gt;=Campaign_Metadata[Start_Date])*(Engagement_Summary[[#This Row],[Week_Start_Date]]&lt;=Campaign_Metadata[End_Date]),"No Campaign")</f>
        <v>FSDUpdate</v>
      </c>
    </row>
    <row r="128" spans="1:10">
      <c r="A128" s="1">
        <v>45663</v>
      </c>
      <c r="B128" t="s">
        <v>35</v>
      </c>
      <c r="C128">
        <v>1633</v>
      </c>
      <c r="D128">
        <v>445</v>
      </c>
      <c r="E128">
        <v>371156</v>
      </c>
      <c r="F128">
        <v>2.2200000000000002</v>
      </c>
      <c r="G128">
        <v>2798</v>
      </c>
      <c r="H128">
        <f>Engagement_Summary[[#This Row],[New_Followers]]-Engagement_Summary[[#This Row],[Unfollows]]</f>
        <v>1188</v>
      </c>
      <c r="I128" s="17">
        <f>(Engagement_Summary[[#This Row],[Net new follower]]-H127)/H127</f>
        <v>0.91612903225806452</v>
      </c>
      <c r="J128" t="str" cm="1">
        <f t="array" ref="J128">_xlfn._xlws.FILTER(Campaign_Metadata[Campaign_Name],(Engagement_Summary[[#This Row],[Week_Start_Date]]&gt;=Campaign_Metadata[Start_Date])*(Engagement_Summary[[#This Row],[Week_Start_Date]]&lt;=Campaign_Metadata[End_Date]),"No Campaign")</f>
        <v>FSDUpdate</v>
      </c>
    </row>
    <row r="129" spans="1:10">
      <c r="A129" s="1">
        <v>45663</v>
      </c>
      <c r="B129" t="s">
        <v>46</v>
      </c>
      <c r="C129">
        <v>891</v>
      </c>
      <c r="D129">
        <v>45</v>
      </c>
      <c r="E129">
        <v>95410</v>
      </c>
      <c r="F129">
        <v>8.33</v>
      </c>
      <c r="G129">
        <v>15045</v>
      </c>
      <c r="H129">
        <f>Engagement_Summary[[#This Row],[New_Followers]]-Engagement_Summary[[#This Row],[Unfollows]]</f>
        <v>846</v>
      </c>
      <c r="I129" s="17">
        <f>(Engagement_Summary[[#This Row],[Net new follower]]-H128)/H128</f>
        <v>-0.2878787878787879</v>
      </c>
      <c r="J129" t="str" cm="1">
        <f t="array" ref="J129">_xlfn._xlws.FILTER(Campaign_Metadata[Campaign_Name],(Engagement_Summary[[#This Row],[Week_Start_Date]]&gt;=Campaign_Metadata[Start_Date])*(Engagement_Summary[[#This Row],[Week_Start_Date]]&lt;=Campaign_Metadata[End_Date]),"No Campaign")</f>
        <v>FSDUpdate</v>
      </c>
    </row>
    <row r="130" spans="1:10">
      <c r="A130" s="1">
        <v>45670</v>
      </c>
      <c r="B130" t="s">
        <v>49</v>
      </c>
      <c r="C130">
        <v>1855</v>
      </c>
      <c r="D130">
        <v>133</v>
      </c>
      <c r="E130">
        <v>349413</v>
      </c>
      <c r="F130">
        <v>3.3</v>
      </c>
      <c r="G130">
        <v>14548</v>
      </c>
      <c r="H130">
        <f>Engagement_Summary[[#This Row],[New_Followers]]-Engagement_Summary[[#This Row],[Unfollows]]</f>
        <v>1722</v>
      </c>
      <c r="I130" s="17">
        <f>(Engagement_Summary[[#This Row],[Net new follower]]-H129)/H129</f>
        <v>1.0354609929078014</v>
      </c>
      <c r="J130" t="str" cm="1">
        <f t="array" ref="J130">_xlfn._xlws.FILTER(Campaign_Metadata[Campaign_Name],(Engagement_Summary[[#This Row],[Week_Start_Date]]&gt;=Campaign_Metadata[Start_Date])*(Engagement_Summary[[#This Row],[Week_Start_Date]]&lt;=Campaign_Metadata[End_Date]),"No Campaign")</f>
        <v>No Campaign</v>
      </c>
    </row>
    <row r="131" spans="1:10">
      <c r="A131" s="1">
        <v>45670</v>
      </c>
      <c r="B131" t="s">
        <v>55</v>
      </c>
      <c r="C131">
        <v>651</v>
      </c>
      <c r="D131">
        <v>353</v>
      </c>
      <c r="E131">
        <v>224699</v>
      </c>
      <c r="F131">
        <v>5.61</v>
      </c>
      <c r="G131">
        <v>45708</v>
      </c>
      <c r="H131">
        <f>Engagement_Summary[[#This Row],[New_Followers]]-Engagement_Summary[[#This Row],[Unfollows]]</f>
        <v>298</v>
      </c>
      <c r="I131" s="17">
        <f>(Engagement_Summary[[#This Row],[Net new follower]]-H130)/H130</f>
        <v>-0.82694541231126595</v>
      </c>
      <c r="J131" t="str" cm="1">
        <f t="array" ref="J131">_xlfn._xlws.FILTER(Campaign_Metadata[Campaign_Name],(Engagement_Summary[[#This Row],[Week_Start_Date]]&gt;=Campaign_Metadata[Start_Date])*(Engagement_Summary[[#This Row],[Week_Start_Date]]&lt;=Campaign_Metadata[End_Date]),"No Campaign")</f>
        <v>No Campaign</v>
      </c>
    </row>
    <row r="132" spans="1:10">
      <c r="A132" s="1">
        <v>45670</v>
      </c>
      <c r="B132" t="s">
        <v>35</v>
      </c>
      <c r="C132">
        <v>118</v>
      </c>
      <c r="D132">
        <v>262</v>
      </c>
      <c r="E132">
        <v>487896</v>
      </c>
      <c r="F132">
        <v>2.56</v>
      </c>
      <c r="G132">
        <v>12350</v>
      </c>
      <c r="H132">
        <f>Engagement_Summary[[#This Row],[New_Followers]]-Engagement_Summary[[#This Row],[Unfollows]]</f>
        <v>-144</v>
      </c>
      <c r="I132" s="17">
        <f>(Engagement_Summary[[#This Row],[Net new follower]]-H131)/H131</f>
        <v>-1.4832214765100671</v>
      </c>
      <c r="J132" t="str" cm="1">
        <f t="array" ref="J132">_xlfn._xlws.FILTER(Campaign_Metadata[Campaign_Name],(Engagement_Summary[[#This Row],[Week_Start_Date]]&gt;=Campaign_Metadata[Start_Date])*(Engagement_Summary[[#This Row],[Week_Start_Date]]&lt;=Campaign_Metadata[End_Date]),"No Campaign")</f>
        <v>No Campaign</v>
      </c>
    </row>
    <row r="133" spans="1:10">
      <c r="A133" s="1">
        <v>45670</v>
      </c>
      <c r="B133" t="s">
        <v>46</v>
      </c>
      <c r="C133">
        <v>1331</v>
      </c>
      <c r="D133">
        <v>430</v>
      </c>
      <c r="E133">
        <v>14437</v>
      </c>
      <c r="F133">
        <v>3.29</v>
      </c>
      <c r="G133">
        <v>40868</v>
      </c>
      <c r="H133">
        <f>Engagement_Summary[[#This Row],[New_Followers]]-Engagement_Summary[[#This Row],[Unfollows]]</f>
        <v>901</v>
      </c>
      <c r="I133" s="17">
        <f>(Engagement_Summary[[#This Row],[Net new follower]]-H132)/H132</f>
        <v>-7.2569444444444446</v>
      </c>
      <c r="J133" t="str" cm="1">
        <f t="array" ref="J133">_xlfn._xlws.FILTER(Campaign_Metadata[Campaign_Name],(Engagement_Summary[[#This Row],[Week_Start_Date]]&gt;=Campaign_Metadata[Start_Date])*(Engagement_Summary[[#This Row],[Week_Start_Date]]&lt;=Campaign_Metadata[End_Date]),"No Campaign")</f>
        <v>No Campaign</v>
      </c>
    </row>
    <row r="134" spans="1:10">
      <c r="A134" s="1">
        <v>45677</v>
      </c>
      <c r="B134" t="s">
        <v>49</v>
      </c>
      <c r="C134">
        <v>1748</v>
      </c>
      <c r="D134">
        <v>176</v>
      </c>
      <c r="E134">
        <v>383681</v>
      </c>
      <c r="F134">
        <v>9.24</v>
      </c>
      <c r="G134">
        <v>43122</v>
      </c>
      <c r="H134">
        <f>Engagement_Summary[[#This Row],[New_Followers]]-Engagement_Summary[[#This Row],[Unfollows]]</f>
        <v>1572</v>
      </c>
      <c r="I134" s="17">
        <f>(Engagement_Summary[[#This Row],[Net new follower]]-H133)/H133</f>
        <v>0.74472807991120982</v>
      </c>
      <c r="J134" t="str" cm="1">
        <f t="array" ref="J134">_xlfn._xlws.FILTER(Campaign_Metadata[Campaign_Name],(Engagement_Summary[[#This Row],[Week_Start_Date]]&gt;=Campaign_Metadata[Start_Date])*(Engagement_Summary[[#This Row],[Week_Start_Date]]&lt;=Campaign_Metadata[End_Date]),"No Campaign")</f>
        <v>No Campaign</v>
      </c>
    </row>
    <row r="135" spans="1:10">
      <c r="A135" s="1">
        <v>45677</v>
      </c>
      <c r="B135" t="s">
        <v>55</v>
      </c>
      <c r="C135">
        <v>663</v>
      </c>
      <c r="D135">
        <v>236</v>
      </c>
      <c r="E135">
        <v>479490</v>
      </c>
      <c r="F135">
        <v>4.51</v>
      </c>
      <c r="G135">
        <v>23853</v>
      </c>
      <c r="H135">
        <f>Engagement_Summary[[#This Row],[New_Followers]]-Engagement_Summary[[#This Row],[Unfollows]]</f>
        <v>427</v>
      </c>
      <c r="I135" s="17">
        <f>(Engagement_Summary[[#This Row],[Net new follower]]-H134)/H134</f>
        <v>-0.72837150127226458</v>
      </c>
      <c r="J135" t="str" cm="1">
        <f t="array" ref="J135">_xlfn._xlws.FILTER(Campaign_Metadata[Campaign_Name],(Engagement_Summary[[#This Row],[Week_Start_Date]]&gt;=Campaign_Metadata[Start_Date])*(Engagement_Summary[[#This Row],[Week_Start_Date]]&lt;=Campaign_Metadata[End_Date]),"No Campaign")</f>
        <v>No Campaign</v>
      </c>
    </row>
    <row r="136" spans="1:10">
      <c r="A136" s="1">
        <v>45677</v>
      </c>
      <c r="B136" t="s">
        <v>35</v>
      </c>
      <c r="C136">
        <v>1040</v>
      </c>
      <c r="D136">
        <v>149</v>
      </c>
      <c r="E136">
        <v>124404</v>
      </c>
      <c r="F136">
        <v>5.23</v>
      </c>
      <c r="G136">
        <v>45380</v>
      </c>
      <c r="H136">
        <f>Engagement_Summary[[#This Row],[New_Followers]]-Engagement_Summary[[#This Row],[Unfollows]]</f>
        <v>891</v>
      </c>
      <c r="I136" s="17">
        <f>(Engagement_Summary[[#This Row],[Net new follower]]-H135)/H135</f>
        <v>1.0866510538641687</v>
      </c>
      <c r="J136" t="str" cm="1">
        <f t="array" ref="J136">_xlfn._xlws.FILTER(Campaign_Metadata[Campaign_Name],(Engagement_Summary[[#This Row],[Week_Start_Date]]&gt;=Campaign_Metadata[Start_Date])*(Engagement_Summary[[#This Row],[Week_Start_Date]]&lt;=Campaign_Metadata[End_Date]),"No Campaign")</f>
        <v>No Campaign</v>
      </c>
    </row>
    <row r="137" spans="1:10">
      <c r="A137" s="1">
        <v>45677</v>
      </c>
      <c r="B137" t="s">
        <v>46</v>
      </c>
      <c r="C137">
        <v>1166</v>
      </c>
      <c r="D137">
        <v>442</v>
      </c>
      <c r="E137">
        <v>336949</v>
      </c>
      <c r="F137">
        <v>4.68</v>
      </c>
      <c r="G137">
        <v>7705</v>
      </c>
      <c r="H137">
        <f>Engagement_Summary[[#This Row],[New_Followers]]-Engagement_Summary[[#This Row],[Unfollows]]</f>
        <v>724</v>
      </c>
      <c r="I137" s="17">
        <f>(Engagement_Summary[[#This Row],[Net new follower]]-H136)/H136</f>
        <v>-0.18742985409652077</v>
      </c>
      <c r="J137" t="str" cm="1">
        <f t="array" ref="J137">_xlfn._xlws.FILTER(Campaign_Metadata[Campaign_Name],(Engagement_Summary[[#This Row],[Week_Start_Date]]&gt;=Campaign_Metadata[Start_Date])*(Engagement_Summary[[#This Row],[Week_Start_Date]]&lt;=Campaign_Metadata[End_Date]),"No Campaign")</f>
        <v>No Campaign</v>
      </c>
    </row>
    <row r="138" spans="1:10">
      <c r="A138" s="1">
        <v>45684</v>
      </c>
      <c r="B138" t="s">
        <v>49</v>
      </c>
      <c r="C138">
        <v>115</v>
      </c>
      <c r="D138">
        <v>281</v>
      </c>
      <c r="E138">
        <v>357265</v>
      </c>
      <c r="F138">
        <v>9.23</v>
      </c>
      <c r="G138">
        <v>25525</v>
      </c>
      <c r="H138">
        <f>Engagement_Summary[[#This Row],[New_Followers]]-Engagement_Summary[[#This Row],[Unfollows]]</f>
        <v>-166</v>
      </c>
      <c r="I138" s="17">
        <f>(Engagement_Summary[[#This Row],[Net new follower]]-H137)/H137</f>
        <v>-1.229281767955801</v>
      </c>
      <c r="J138" t="str" cm="1">
        <f t="array" ref="J138">_xlfn._xlws.FILTER(Campaign_Metadata[Campaign_Name],(Engagement_Summary[[#This Row],[Week_Start_Date]]&gt;=Campaign_Metadata[Start_Date])*(Engagement_Summary[[#This Row],[Week_Start_Date]]&lt;=Campaign_Metadata[End_Date]),"No Campaign")</f>
        <v>No Campaign</v>
      </c>
    </row>
    <row r="139" spans="1:10">
      <c r="A139" s="1">
        <v>45684</v>
      </c>
      <c r="B139" t="s">
        <v>55</v>
      </c>
      <c r="C139">
        <v>1249</v>
      </c>
      <c r="D139">
        <v>351</v>
      </c>
      <c r="E139">
        <v>321307</v>
      </c>
      <c r="F139">
        <v>6.37</v>
      </c>
      <c r="G139">
        <v>20560</v>
      </c>
      <c r="H139">
        <f>Engagement_Summary[[#This Row],[New_Followers]]-Engagement_Summary[[#This Row],[Unfollows]]</f>
        <v>898</v>
      </c>
      <c r="I139" s="17">
        <f>(Engagement_Summary[[#This Row],[Net new follower]]-H138)/H138</f>
        <v>-6.4096385542168672</v>
      </c>
      <c r="J139" t="str" cm="1">
        <f t="array" ref="J139">_xlfn._xlws.FILTER(Campaign_Metadata[Campaign_Name],(Engagement_Summary[[#This Row],[Week_Start_Date]]&gt;=Campaign_Metadata[Start_Date])*(Engagement_Summary[[#This Row],[Week_Start_Date]]&lt;=Campaign_Metadata[End_Date]),"No Campaign")</f>
        <v>No Campaign</v>
      </c>
    </row>
    <row r="140" spans="1:10">
      <c r="A140" s="1">
        <v>45684</v>
      </c>
      <c r="B140" t="s">
        <v>35</v>
      </c>
      <c r="C140">
        <v>1501</v>
      </c>
      <c r="D140">
        <v>75</v>
      </c>
      <c r="E140">
        <v>262569</v>
      </c>
      <c r="F140">
        <v>2.0099999999999998</v>
      </c>
      <c r="G140">
        <v>19119</v>
      </c>
      <c r="H140">
        <f>Engagement_Summary[[#This Row],[New_Followers]]-Engagement_Summary[[#This Row],[Unfollows]]</f>
        <v>1426</v>
      </c>
      <c r="I140" s="17">
        <f>(Engagement_Summary[[#This Row],[Net new follower]]-H139)/H139</f>
        <v>0.58797327394209353</v>
      </c>
      <c r="J140" t="str" cm="1">
        <f t="array" ref="J140">_xlfn._xlws.FILTER(Campaign_Metadata[Campaign_Name],(Engagement_Summary[[#This Row],[Week_Start_Date]]&gt;=Campaign_Metadata[Start_Date])*(Engagement_Summary[[#This Row],[Week_Start_Date]]&lt;=Campaign_Metadata[End_Date]),"No Campaign")</f>
        <v>No Campaign</v>
      </c>
    </row>
    <row r="141" spans="1:10">
      <c r="A141" s="1">
        <v>45684</v>
      </c>
      <c r="B141" t="s">
        <v>46</v>
      </c>
      <c r="C141">
        <v>1411</v>
      </c>
      <c r="D141">
        <v>186</v>
      </c>
      <c r="E141">
        <v>461669</v>
      </c>
      <c r="F141">
        <v>3.72</v>
      </c>
      <c r="G141">
        <v>43999</v>
      </c>
      <c r="H141">
        <f>Engagement_Summary[[#This Row],[New_Followers]]-Engagement_Summary[[#This Row],[Unfollows]]</f>
        <v>1225</v>
      </c>
      <c r="I141" s="17">
        <f>(Engagement_Summary[[#This Row],[Net new follower]]-H140)/H140</f>
        <v>-0.14095371669004209</v>
      </c>
      <c r="J141" t="str" cm="1">
        <f t="array" ref="J141">_xlfn._xlws.FILTER(Campaign_Metadata[Campaign_Name],(Engagement_Summary[[#This Row],[Week_Start_Date]]&gt;=Campaign_Metadata[Start_Date])*(Engagement_Summary[[#This Row],[Week_Start_Date]]&lt;=Campaign_Metadata[End_Date]),"No Campaign")</f>
        <v>No Campaign</v>
      </c>
    </row>
    <row r="142" spans="1:10">
      <c r="A142" s="1">
        <v>45691</v>
      </c>
      <c r="B142" t="s">
        <v>49</v>
      </c>
      <c r="C142">
        <v>1556</v>
      </c>
      <c r="D142">
        <v>476</v>
      </c>
      <c r="E142">
        <v>351556</v>
      </c>
      <c r="F142">
        <v>3.89</v>
      </c>
      <c r="G142">
        <v>10825</v>
      </c>
      <c r="H142">
        <f>Engagement_Summary[[#This Row],[New_Followers]]-Engagement_Summary[[#This Row],[Unfollows]]</f>
        <v>1080</v>
      </c>
      <c r="I142" s="17">
        <f>(Engagement_Summary[[#This Row],[Net new follower]]-H141)/H141</f>
        <v>-0.11836734693877551</v>
      </c>
      <c r="J142" t="str" cm="1">
        <f t="array" ref="J142">_xlfn._xlws.FILTER(Campaign_Metadata[Campaign_Name],(Engagement_Summary[[#This Row],[Week_Start_Date]]&gt;=Campaign_Metadata[Start_Date])*(Engagement_Summary[[#This Row],[Week_Start_Date]]&lt;=Campaign_Metadata[End_Date]),"No Campaign")</f>
        <v>No Campaign</v>
      </c>
    </row>
    <row r="143" spans="1:10">
      <c r="A143" s="1">
        <v>45691</v>
      </c>
      <c r="B143" t="s">
        <v>55</v>
      </c>
      <c r="C143">
        <v>1159</v>
      </c>
      <c r="D143">
        <v>411</v>
      </c>
      <c r="E143">
        <v>135987</v>
      </c>
      <c r="F143">
        <v>8.6999999999999993</v>
      </c>
      <c r="G143">
        <v>40323</v>
      </c>
      <c r="H143">
        <f>Engagement_Summary[[#This Row],[New_Followers]]-Engagement_Summary[[#This Row],[Unfollows]]</f>
        <v>748</v>
      </c>
      <c r="I143" s="17">
        <f>(Engagement_Summary[[#This Row],[Net new follower]]-H142)/H142</f>
        <v>-0.30740740740740741</v>
      </c>
      <c r="J143" t="str" cm="1">
        <f t="array" ref="J143">_xlfn._xlws.FILTER(Campaign_Metadata[Campaign_Name],(Engagement_Summary[[#This Row],[Week_Start_Date]]&gt;=Campaign_Metadata[Start_Date])*(Engagement_Summary[[#This Row],[Week_Start_Date]]&lt;=Campaign_Metadata[End_Date]),"No Campaign")</f>
        <v>No Campaign</v>
      </c>
    </row>
    <row r="144" spans="1:10">
      <c r="A144" s="1">
        <v>45691</v>
      </c>
      <c r="B144" t="s">
        <v>35</v>
      </c>
      <c r="C144">
        <v>927</v>
      </c>
      <c r="D144">
        <v>358</v>
      </c>
      <c r="E144">
        <v>177554</v>
      </c>
      <c r="F144">
        <v>6.95</v>
      </c>
      <c r="G144">
        <v>48270</v>
      </c>
      <c r="H144">
        <f>Engagement_Summary[[#This Row],[New_Followers]]-Engagement_Summary[[#This Row],[Unfollows]]</f>
        <v>569</v>
      </c>
      <c r="I144" s="17">
        <f>(Engagement_Summary[[#This Row],[Net new follower]]-H143)/H143</f>
        <v>-0.23930481283422461</v>
      </c>
      <c r="J144" t="str" cm="1">
        <f t="array" ref="J144">_xlfn._xlws.FILTER(Campaign_Metadata[Campaign_Name],(Engagement_Summary[[#This Row],[Week_Start_Date]]&gt;=Campaign_Metadata[Start_Date])*(Engagement_Summary[[#This Row],[Week_Start_Date]]&lt;=Campaign_Metadata[End_Date]),"No Campaign")</f>
        <v>No Campaign</v>
      </c>
    </row>
    <row r="145" spans="1:10">
      <c r="A145" s="1">
        <v>45691</v>
      </c>
      <c r="B145" t="s">
        <v>46</v>
      </c>
      <c r="C145">
        <v>152</v>
      </c>
      <c r="D145">
        <v>355</v>
      </c>
      <c r="E145">
        <v>270766</v>
      </c>
      <c r="F145">
        <v>9.48</v>
      </c>
      <c r="G145">
        <v>18001</v>
      </c>
      <c r="H145">
        <f>Engagement_Summary[[#This Row],[New_Followers]]-Engagement_Summary[[#This Row],[Unfollows]]</f>
        <v>-203</v>
      </c>
      <c r="I145" s="17">
        <f>(Engagement_Summary[[#This Row],[Net new follower]]-H144)/H144</f>
        <v>-1.3567662565905096</v>
      </c>
      <c r="J145" t="str" cm="1">
        <f t="array" ref="J145">_xlfn._xlws.FILTER(Campaign_Metadata[Campaign_Name],(Engagement_Summary[[#This Row],[Week_Start_Date]]&gt;=Campaign_Metadata[Start_Date])*(Engagement_Summary[[#This Row],[Week_Start_Date]]&lt;=Campaign_Metadata[End_Date]),"No Campaign")</f>
        <v>No Campaign</v>
      </c>
    </row>
    <row r="146" spans="1:10">
      <c r="A146" s="1">
        <v>45698</v>
      </c>
      <c r="B146" t="s">
        <v>49</v>
      </c>
      <c r="C146">
        <v>1957</v>
      </c>
      <c r="D146">
        <v>234</v>
      </c>
      <c r="E146">
        <v>222126</v>
      </c>
      <c r="F146">
        <v>4.6100000000000003</v>
      </c>
      <c r="G146">
        <v>3314</v>
      </c>
      <c r="H146">
        <f>Engagement_Summary[[#This Row],[New_Followers]]-Engagement_Summary[[#This Row],[Unfollows]]</f>
        <v>1723</v>
      </c>
      <c r="I146" s="17">
        <f>(Engagement_Summary[[#This Row],[Net new follower]]-H145)/H145</f>
        <v>-9.4876847290640391</v>
      </c>
      <c r="J146" t="str" cm="1">
        <f t="array" ref="J146">_xlfn._xlws.FILTER(Campaign_Metadata[Campaign_Name],(Engagement_Summary[[#This Row],[Week_Start_Date]]&gt;=Campaign_Metadata[Start_Date])*(Engagement_Summary[[#This Row],[Week_Start_Date]]&lt;=Campaign_Metadata[End_Date]),"No Campaign")</f>
        <v>No Campaign</v>
      </c>
    </row>
    <row r="147" spans="1:10">
      <c r="A147" s="1">
        <v>45698</v>
      </c>
      <c r="B147" t="s">
        <v>55</v>
      </c>
      <c r="C147">
        <v>1294</v>
      </c>
      <c r="D147">
        <v>382</v>
      </c>
      <c r="E147">
        <v>309914</v>
      </c>
      <c r="F147">
        <v>8.0299999999999994</v>
      </c>
      <c r="G147">
        <v>23489</v>
      </c>
      <c r="H147">
        <f>Engagement_Summary[[#This Row],[New_Followers]]-Engagement_Summary[[#This Row],[Unfollows]]</f>
        <v>912</v>
      </c>
      <c r="I147" s="17">
        <f>(Engagement_Summary[[#This Row],[Net new follower]]-H146)/H146</f>
        <v>-0.47069065583284969</v>
      </c>
      <c r="J147" t="str" cm="1">
        <f t="array" ref="J147">_xlfn._xlws.FILTER(Campaign_Metadata[Campaign_Name],(Engagement_Summary[[#This Row],[Week_Start_Date]]&gt;=Campaign_Metadata[Start_Date])*(Engagement_Summary[[#This Row],[Week_Start_Date]]&lt;=Campaign_Metadata[End_Date]),"No Campaign")</f>
        <v>No Campaign</v>
      </c>
    </row>
    <row r="148" spans="1:10">
      <c r="A148" s="1">
        <v>45698</v>
      </c>
      <c r="B148" t="s">
        <v>35</v>
      </c>
      <c r="C148">
        <v>1587</v>
      </c>
      <c r="D148">
        <v>385</v>
      </c>
      <c r="E148">
        <v>126582</v>
      </c>
      <c r="F148">
        <v>6.99</v>
      </c>
      <c r="G148">
        <v>42832</v>
      </c>
      <c r="H148">
        <f>Engagement_Summary[[#This Row],[New_Followers]]-Engagement_Summary[[#This Row],[Unfollows]]</f>
        <v>1202</v>
      </c>
      <c r="I148" s="17">
        <f>(Engagement_Summary[[#This Row],[Net new follower]]-H147)/H147</f>
        <v>0.31798245614035087</v>
      </c>
      <c r="J148" t="str" cm="1">
        <f t="array" ref="J148">_xlfn._xlws.FILTER(Campaign_Metadata[Campaign_Name],(Engagement_Summary[[#This Row],[Week_Start_Date]]&gt;=Campaign_Metadata[Start_Date])*(Engagement_Summary[[#This Row],[Week_Start_Date]]&lt;=Campaign_Metadata[End_Date]),"No Campaign")</f>
        <v>No Campaign</v>
      </c>
    </row>
    <row r="149" spans="1:10">
      <c r="A149" s="1">
        <v>45698</v>
      </c>
      <c r="B149" t="s">
        <v>46</v>
      </c>
      <c r="C149">
        <v>1707</v>
      </c>
      <c r="D149">
        <v>263</v>
      </c>
      <c r="E149">
        <v>485280</v>
      </c>
      <c r="F149">
        <v>9.0299999999999994</v>
      </c>
      <c r="G149">
        <v>24494</v>
      </c>
      <c r="H149">
        <f>Engagement_Summary[[#This Row],[New_Followers]]-Engagement_Summary[[#This Row],[Unfollows]]</f>
        <v>1444</v>
      </c>
      <c r="I149" s="17">
        <f>(Engagement_Summary[[#This Row],[Net new follower]]-H148)/H148</f>
        <v>0.20133111480865223</v>
      </c>
      <c r="J149" t="str" cm="1">
        <f t="array" ref="J149">_xlfn._xlws.FILTER(Campaign_Metadata[Campaign_Name],(Engagement_Summary[[#This Row],[Week_Start_Date]]&gt;=Campaign_Metadata[Start_Date])*(Engagement_Summary[[#This Row],[Week_Start_Date]]&lt;=Campaign_Metadata[End_Date]),"No Campaign")</f>
        <v>No Campaign</v>
      </c>
    </row>
    <row r="150" spans="1:10">
      <c r="A150" s="1">
        <v>45705</v>
      </c>
      <c r="B150" t="s">
        <v>49</v>
      </c>
      <c r="C150">
        <v>1138</v>
      </c>
      <c r="D150">
        <v>173</v>
      </c>
      <c r="E150">
        <v>453243</v>
      </c>
      <c r="F150">
        <v>2.86</v>
      </c>
      <c r="G150">
        <v>44097</v>
      </c>
      <c r="H150">
        <f>Engagement_Summary[[#This Row],[New_Followers]]-Engagement_Summary[[#This Row],[Unfollows]]</f>
        <v>965</v>
      </c>
      <c r="I150" s="17">
        <f>(Engagement_Summary[[#This Row],[Net new follower]]-H149)/H149</f>
        <v>-0.3317174515235457</v>
      </c>
      <c r="J150" t="str" cm="1">
        <f t="array" ref="J150">_xlfn._xlws.FILTER(Campaign_Metadata[Campaign_Name],(Engagement_Summary[[#This Row],[Week_Start_Date]]&gt;=Campaign_Metadata[Start_Date])*(Engagement_Summary[[#This Row],[Week_Start_Date]]&lt;=Campaign_Metadata[End_Date]),"No Campaign")</f>
        <v>No Campaign</v>
      </c>
    </row>
    <row r="151" spans="1:10">
      <c r="A151" s="1">
        <v>45705</v>
      </c>
      <c r="B151" t="s">
        <v>55</v>
      </c>
      <c r="C151">
        <v>1895</v>
      </c>
      <c r="D151">
        <v>305</v>
      </c>
      <c r="E151">
        <v>104967</v>
      </c>
      <c r="F151">
        <v>3.85</v>
      </c>
      <c r="G151">
        <v>31853</v>
      </c>
      <c r="H151">
        <f>Engagement_Summary[[#This Row],[New_Followers]]-Engagement_Summary[[#This Row],[Unfollows]]</f>
        <v>1590</v>
      </c>
      <c r="I151" s="17">
        <f>(Engagement_Summary[[#This Row],[Net new follower]]-H150)/H150</f>
        <v>0.64766839378238339</v>
      </c>
      <c r="J151" t="str" cm="1">
        <f t="array" ref="J151">_xlfn._xlws.FILTER(Campaign_Metadata[Campaign_Name],(Engagement_Summary[[#This Row],[Week_Start_Date]]&gt;=Campaign_Metadata[Start_Date])*(Engagement_Summary[[#This Row],[Week_Start_Date]]&lt;=Campaign_Metadata[End_Date]),"No Campaign")</f>
        <v>No Campaign</v>
      </c>
    </row>
    <row r="152" spans="1:10">
      <c r="A152" s="1">
        <v>45705</v>
      </c>
      <c r="B152" t="s">
        <v>35</v>
      </c>
      <c r="C152">
        <v>362</v>
      </c>
      <c r="D152">
        <v>399</v>
      </c>
      <c r="E152">
        <v>145608</v>
      </c>
      <c r="F152">
        <v>7.3</v>
      </c>
      <c r="G152">
        <v>37636</v>
      </c>
      <c r="H152">
        <f>Engagement_Summary[[#This Row],[New_Followers]]-Engagement_Summary[[#This Row],[Unfollows]]</f>
        <v>-37</v>
      </c>
      <c r="I152" s="17">
        <f>(Engagement_Summary[[#This Row],[Net new follower]]-H151)/H151</f>
        <v>-1.0232704402515724</v>
      </c>
      <c r="J152" t="str" cm="1">
        <f t="array" ref="J152">_xlfn._xlws.FILTER(Campaign_Metadata[Campaign_Name],(Engagement_Summary[[#This Row],[Week_Start_Date]]&gt;=Campaign_Metadata[Start_Date])*(Engagement_Summary[[#This Row],[Week_Start_Date]]&lt;=Campaign_Metadata[End_Date]),"No Campaign")</f>
        <v>No Campaign</v>
      </c>
    </row>
    <row r="153" spans="1:10">
      <c r="A153" s="1">
        <v>45705</v>
      </c>
      <c r="B153" t="s">
        <v>46</v>
      </c>
      <c r="C153">
        <v>1662</v>
      </c>
      <c r="D153">
        <v>487</v>
      </c>
      <c r="E153">
        <v>105980</v>
      </c>
      <c r="F153">
        <v>9.08</v>
      </c>
      <c r="G153">
        <v>22996</v>
      </c>
      <c r="H153">
        <f>Engagement_Summary[[#This Row],[New_Followers]]-Engagement_Summary[[#This Row],[Unfollows]]</f>
        <v>1175</v>
      </c>
      <c r="I153" s="17">
        <f>(Engagement_Summary[[#This Row],[Net new follower]]-H152)/H152</f>
        <v>-32.756756756756758</v>
      </c>
      <c r="J153" t="str" cm="1">
        <f t="array" ref="J153">_xlfn._xlws.FILTER(Campaign_Metadata[Campaign_Name],(Engagement_Summary[[#This Row],[Week_Start_Date]]&gt;=Campaign_Metadata[Start_Date])*(Engagement_Summary[[#This Row],[Week_Start_Date]]&lt;=Campaign_Metadata[End_Date]),"No Campaign")</f>
        <v>No Campaign</v>
      </c>
    </row>
    <row r="154" spans="1:10">
      <c r="A154" s="1">
        <v>45712</v>
      </c>
      <c r="B154" t="s">
        <v>49</v>
      </c>
      <c r="C154">
        <v>1440</v>
      </c>
      <c r="D154">
        <v>65</v>
      </c>
      <c r="E154">
        <v>126524</v>
      </c>
      <c r="F154">
        <v>4.34</v>
      </c>
      <c r="G154">
        <v>49772</v>
      </c>
      <c r="H154">
        <f>Engagement_Summary[[#This Row],[New_Followers]]-Engagement_Summary[[#This Row],[Unfollows]]</f>
        <v>1375</v>
      </c>
      <c r="I154" s="17">
        <f>(Engagement_Summary[[#This Row],[Net new follower]]-H153)/H153</f>
        <v>0.1702127659574468</v>
      </c>
      <c r="J154" t="str" cm="1">
        <f t="array" ref="J154">_xlfn._xlws.FILTER(Campaign_Metadata[Campaign_Name],(Engagement_Summary[[#This Row],[Week_Start_Date]]&gt;=Campaign_Metadata[Start_Date])*(Engagement_Summary[[#This Row],[Week_Start_Date]]&lt;=Campaign_Metadata[End_Date]),"No Campaign")</f>
        <v>No Campaign</v>
      </c>
    </row>
    <row r="155" spans="1:10">
      <c r="A155" s="1">
        <v>45712</v>
      </c>
      <c r="B155" t="s">
        <v>55</v>
      </c>
      <c r="C155">
        <v>1884</v>
      </c>
      <c r="D155">
        <v>177</v>
      </c>
      <c r="E155">
        <v>230448</v>
      </c>
      <c r="F155">
        <v>7.8</v>
      </c>
      <c r="G155">
        <v>22713</v>
      </c>
      <c r="H155">
        <f>Engagement_Summary[[#This Row],[New_Followers]]-Engagement_Summary[[#This Row],[Unfollows]]</f>
        <v>1707</v>
      </c>
      <c r="I155" s="17">
        <f>(Engagement_Summary[[#This Row],[Net new follower]]-H154)/H154</f>
        <v>0.24145454545454545</v>
      </c>
      <c r="J155" t="str" cm="1">
        <f t="array" ref="J155">_xlfn._xlws.FILTER(Campaign_Metadata[Campaign_Name],(Engagement_Summary[[#This Row],[Week_Start_Date]]&gt;=Campaign_Metadata[Start_Date])*(Engagement_Summary[[#This Row],[Week_Start_Date]]&lt;=Campaign_Metadata[End_Date]),"No Campaign")</f>
        <v>No Campaign</v>
      </c>
    </row>
    <row r="156" spans="1:10">
      <c r="A156" s="1">
        <v>45712</v>
      </c>
      <c r="B156" t="s">
        <v>35</v>
      </c>
      <c r="C156">
        <v>861</v>
      </c>
      <c r="D156">
        <v>153</v>
      </c>
      <c r="E156">
        <v>317007</v>
      </c>
      <c r="F156">
        <v>3.85</v>
      </c>
      <c r="G156">
        <v>8718</v>
      </c>
      <c r="H156">
        <f>Engagement_Summary[[#This Row],[New_Followers]]-Engagement_Summary[[#This Row],[Unfollows]]</f>
        <v>708</v>
      </c>
      <c r="I156" s="17">
        <f>(Engagement_Summary[[#This Row],[Net new follower]]-H155)/H155</f>
        <v>-0.58523725834797891</v>
      </c>
      <c r="J156" t="str" cm="1">
        <f t="array" ref="J156">_xlfn._xlws.FILTER(Campaign_Metadata[Campaign_Name],(Engagement_Summary[[#This Row],[Week_Start_Date]]&gt;=Campaign_Metadata[Start_Date])*(Engagement_Summary[[#This Row],[Week_Start_Date]]&lt;=Campaign_Metadata[End_Date]),"No Campaign")</f>
        <v>No Campaign</v>
      </c>
    </row>
    <row r="157" spans="1:10">
      <c r="A157" s="1">
        <v>45712</v>
      </c>
      <c r="B157" t="s">
        <v>46</v>
      </c>
      <c r="C157">
        <v>1063</v>
      </c>
      <c r="D157">
        <v>47</v>
      </c>
      <c r="E157">
        <v>464239</v>
      </c>
      <c r="F157">
        <v>6.58</v>
      </c>
      <c r="G157">
        <v>39031</v>
      </c>
      <c r="H157">
        <f>Engagement_Summary[[#This Row],[New_Followers]]-Engagement_Summary[[#This Row],[Unfollows]]</f>
        <v>1016</v>
      </c>
      <c r="I157" s="17">
        <f>(Engagement_Summary[[#This Row],[Net new follower]]-H156)/H156</f>
        <v>0.43502824858757061</v>
      </c>
      <c r="J157" t="str" cm="1">
        <f t="array" ref="J157">_xlfn._xlws.FILTER(Campaign_Metadata[Campaign_Name],(Engagement_Summary[[#This Row],[Week_Start_Date]]&gt;=Campaign_Metadata[Start_Date])*(Engagement_Summary[[#This Row],[Week_Start_Date]]&lt;=Campaign_Metadata[End_Date]),"No Campaign")</f>
        <v>No Campaign</v>
      </c>
    </row>
    <row r="158" spans="1:10">
      <c r="A158" s="1">
        <v>45719</v>
      </c>
      <c r="B158" t="s">
        <v>49</v>
      </c>
      <c r="C158">
        <v>1371</v>
      </c>
      <c r="D158">
        <v>56</v>
      </c>
      <c r="E158">
        <v>257579</v>
      </c>
      <c r="F158">
        <v>8.6199999999999992</v>
      </c>
      <c r="G158">
        <v>33799</v>
      </c>
      <c r="H158">
        <f>Engagement_Summary[[#This Row],[New_Followers]]-Engagement_Summary[[#This Row],[Unfollows]]</f>
        <v>1315</v>
      </c>
      <c r="I158" s="17">
        <f>(Engagement_Summary[[#This Row],[Net new follower]]-H157)/H157</f>
        <v>0.29429133858267714</v>
      </c>
      <c r="J158" t="str" cm="1">
        <f t="array" ref="J158">_xlfn._xlws.FILTER(Campaign_Metadata[Campaign_Name],(Engagement_Summary[[#This Row],[Week_Start_Date]]&gt;=Campaign_Metadata[Start_Date])*(Engagement_Summary[[#This Row],[Week_Start_Date]]&lt;=Campaign_Metadata[End_Date]),"No Campaign")</f>
        <v>SustainabilityDrive</v>
      </c>
    </row>
    <row r="159" spans="1:10">
      <c r="A159" s="1">
        <v>45719</v>
      </c>
      <c r="B159" t="s">
        <v>55</v>
      </c>
      <c r="C159">
        <v>345</v>
      </c>
      <c r="D159">
        <v>464</v>
      </c>
      <c r="E159">
        <v>366881</v>
      </c>
      <c r="F159">
        <v>4.55</v>
      </c>
      <c r="G159">
        <v>20553</v>
      </c>
      <c r="H159">
        <f>Engagement_Summary[[#This Row],[New_Followers]]-Engagement_Summary[[#This Row],[Unfollows]]</f>
        <v>-119</v>
      </c>
      <c r="I159" s="17">
        <f>(Engagement_Summary[[#This Row],[Net new follower]]-H158)/H158</f>
        <v>-1.0904942965779467</v>
      </c>
      <c r="J159" t="str" cm="1">
        <f t="array" ref="J159">_xlfn._xlws.FILTER(Campaign_Metadata[Campaign_Name],(Engagement_Summary[[#This Row],[Week_Start_Date]]&gt;=Campaign_Metadata[Start_Date])*(Engagement_Summary[[#This Row],[Week_Start_Date]]&lt;=Campaign_Metadata[End_Date]),"No Campaign")</f>
        <v>SustainabilityDrive</v>
      </c>
    </row>
    <row r="160" spans="1:10">
      <c r="A160" s="1">
        <v>45719</v>
      </c>
      <c r="B160" t="s">
        <v>35</v>
      </c>
      <c r="C160">
        <v>946</v>
      </c>
      <c r="D160">
        <v>47</v>
      </c>
      <c r="E160">
        <v>466575</v>
      </c>
      <c r="F160">
        <v>8.33</v>
      </c>
      <c r="G160">
        <v>10002</v>
      </c>
      <c r="H160">
        <f>Engagement_Summary[[#This Row],[New_Followers]]-Engagement_Summary[[#This Row],[Unfollows]]</f>
        <v>899</v>
      </c>
      <c r="I160" s="17">
        <f>(Engagement_Summary[[#This Row],[Net new follower]]-H159)/H159</f>
        <v>-8.5546218487394956</v>
      </c>
      <c r="J160" t="str" cm="1">
        <f t="array" ref="J160">_xlfn._xlws.FILTER(Campaign_Metadata[Campaign_Name],(Engagement_Summary[[#This Row],[Week_Start_Date]]&gt;=Campaign_Metadata[Start_Date])*(Engagement_Summary[[#This Row],[Week_Start_Date]]&lt;=Campaign_Metadata[End_Date]),"No Campaign")</f>
        <v>SustainabilityDrive</v>
      </c>
    </row>
    <row r="161" spans="1:10">
      <c r="A161" s="1">
        <v>45719</v>
      </c>
      <c r="B161" t="s">
        <v>46</v>
      </c>
      <c r="C161">
        <v>510</v>
      </c>
      <c r="D161">
        <v>195</v>
      </c>
      <c r="E161">
        <v>224534</v>
      </c>
      <c r="F161">
        <v>9.4</v>
      </c>
      <c r="G161">
        <v>30987</v>
      </c>
      <c r="H161">
        <f>Engagement_Summary[[#This Row],[New_Followers]]-Engagement_Summary[[#This Row],[Unfollows]]</f>
        <v>315</v>
      </c>
      <c r="I161" s="17">
        <f>(Engagement_Summary[[#This Row],[Net new follower]]-H160)/H160</f>
        <v>-0.64961067853170185</v>
      </c>
      <c r="J161" t="str" cm="1">
        <f t="array" ref="J161">_xlfn._xlws.FILTER(Campaign_Metadata[Campaign_Name],(Engagement_Summary[[#This Row],[Week_Start_Date]]&gt;=Campaign_Metadata[Start_Date])*(Engagement_Summary[[#This Row],[Week_Start_Date]]&lt;=Campaign_Metadata[End_Date]),"No Campaign")</f>
        <v>SustainabilityDrive</v>
      </c>
    </row>
    <row r="162" spans="1:10">
      <c r="A162" s="1">
        <v>45726</v>
      </c>
      <c r="B162" t="s">
        <v>49</v>
      </c>
      <c r="C162">
        <v>393</v>
      </c>
      <c r="D162">
        <v>181</v>
      </c>
      <c r="E162">
        <v>462142</v>
      </c>
      <c r="F162">
        <v>7.23</v>
      </c>
      <c r="G162">
        <v>6296</v>
      </c>
      <c r="H162">
        <f>Engagement_Summary[[#This Row],[New_Followers]]-Engagement_Summary[[#This Row],[Unfollows]]</f>
        <v>212</v>
      </c>
      <c r="I162" s="17">
        <f>(Engagement_Summary[[#This Row],[Net new follower]]-H161)/H161</f>
        <v>-0.32698412698412699</v>
      </c>
      <c r="J162" t="str" cm="1">
        <f t="array" ref="J162">_xlfn._xlws.FILTER(Campaign_Metadata[Campaign_Name],(Engagement_Summary[[#This Row],[Week_Start_Date]]&gt;=Campaign_Metadata[Start_Date])*(Engagement_Summary[[#This Row],[Week_Start_Date]]&lt;=Campaign_Metadata[End_Date]),"No Campaign")</f>
        <v>SustainabilityDrive</v>
      </c>
    </row>
    <row r="163" spans="1:10">
      <c r="A163" s="1">
        <v>45726</v>
      </c>
      <c r="B163" t="s">
        <v>55</v>
      </c>
      <c r="C163">
        <v>1098</v>
      </c>
      <c r="D163">
        <v>190</v>
      </c>
      <c r="E163">
        <v>340842</v>
      </c>
      <c r="F163">
        <v>9.39</v>
      </c>
      <c r="G163">
        <v>21539</v>
      </c>
      <c r="H163">
        <f>Engagement_Summary[[#This Row],[New_Followers]]-Engagement_Summary[[#This Row],[Unfollows]]</f>
        <v>908</v>
      </c>
      <c r="I163" s="17">
        <f>(Engagement_Summary[[#This Row],[Net new follower]]-H162)/H162</f>
        <v>3.2830188679245285</v>
      </c>
      <c r="J163" t="str" cm="1">
        <f t="array" ref="J163">_xlfn._xlws.FILTER(Campaign_Metadata[Campaign_Name],(Engagement_Summary[[#This Row],[Week_Start_Date]]&gt;=Campaign_Metadata[Start_Date])*(Engagement_Summary[[#This Row],[Week_Start_Date]]&lt;=Campaign_Metadata[End_Date]),"No Campaign")</f>
        <v>SustainabilityDrive</v>
      </c>
    </row>
    <row r="164" spans="1:10">
      <c r="A164" s="1">
        <v>45726</v>
      </c>
      <c r="B164" t="s">
        <v>35</v>
      </c>
      <c r="C164">
        <v>1399</v>
      </c>
      <c r="D164">
        <v>49</v>
      </c>
      <c r="E164">
        <v>12471</v>
      </c>
      <c r="F164">
        <v>5.12</v>
      </c>
      <c r="G164">
        <v>14722</v>
      </c>
      <c r="H164">
        <f>Engagement_Summary[[#This Row],[New_Followers]]-Engagement_Summary[[#This Row],[Unfollows]]</f>
        <v>1350</v>
      </c>
      <c r="I164" s="17">
        <f>(Engagement_Summary[[#This Row],[Net new follower]]-H163)/H163</f>
        <v>0.486784140969163</v>
      </c>
      <c r="J164" t="str" cm="1">
        <f t="array" ref="J164">_xlfn._xlws.FILTER(Campaign_Metadata[Campaign_Name],(Engagement_Summary[[#This Row],[Week_Start_Date]]&gt;=Campaign_Metadata[Start_Date])*(Engagement_Summary[[#This Row],[Week_Start_Date]]&lt;=Campaign_Metadata[End_Date]),"No Campaign")</f>
        <v>SustainabilityDrive</v>
      </c>
    </row>
    <row r="165" spans="1:10">
      <c r="A165" s="1">
        <v>45726</v>
      </c>
      <c r="B165" t="s">
        <v>46</v>
      </c>
      <c r="C165">
        <v>1658</v>
      </c>
      <c r="D165">
        <v>416</v>
      </c>
      <c r="E165">
        <v>98397</v>
      </c>
      <c r="F165">
        <v>6.11</v>
      </c>
      <c r="G165">
        <v>11383</v>
      </c>
      <c r="H165">
        <f>Engagement_Summary[[#This Row],[New_Followers]]-Engagement_Summary[[#This Row],[Unfollows]]</f>
        <v>1242</v>
      </c>
      <c r="I165" s="17">
        <f>(Engagement_Summary[[#This Row],[Net new follower]]-H164)/H164</f>
        <v>-0.08</v>
      </c>
      <c r="J165" t="str" cm="1">
        <f t="array" ref="J165">_xlfn._xlws.FILTER(Campaign_Metadata[Campaign_Name],(Engagement_Summary[[#This Row],[Week_Start_Date]]&gt;=Campaign_Metadata[Start_Date])*(Engagement_Summary[[#This Row],[Week_Start_Date]]&lt;=Campaign_Metadata[End_Date]),"No Campaign")</f>
        <v>SustainabilityDrive</v>
      </c>
    </row>
    <row r="166" spans="1:10">
      <c r="A166" s="1">
        <v>45733</v>
      </c>
      <c r="B166" t="s">
        <v>49</v>
      </c>
      <c r="C166">
        <v>1102</v>
      </c>
      <c r="D166">
        <v>422</v>
      </c>
      <c r="E166">
        <v>410330</v>
      </c>
      <c r="F166">
        <v>7.74</v>
      </c>
      <c r="G166">
        <v>9480</v>
      </c>
      <c r="H166">
        <f>Engagement_Summary[[#This Row],[New_Followers]]-Engagement_Summary[[#This Row],[Unfollows]]</f>
        <v>680</v>
      </c>
      <c r="I166" s="17">
        <f>(Engagement_Summary[[#This Row],[Net new follower]]-H165)/H165</f>
        <v>-0.45249597423510468</v>
      </c>
      <c r="J166" t="str" cm="1">
        <f t="array" ref="J166">_xlfn._xlws.FILTER(Campaign_Metadata[Campaign_Name],(Engagement_Summary[[#This Row],[Week_Start_Date]]&gt;=Campaign_Metadata[Start_Date])*(Engagement_Summary[[#This Row],[Week_Start_Date]]&lt;=Campaign_Metadata[End_Date]),"No Campaign")</f>
        <v>SustainabilityDrive</v>
      </c>
    </row>
    <row r="167" spans="1:10">
      <c r="A167" s="1">
        <v>45733</v>
      </c>
      <c r="B167" t="s">
        <v>55</v>
      </c>
      <c r="C167">
        <v>1358</v>
      </c>
      <c r="D167">
        <v>242</v>
      </c>
      <c r="E167">
        <v>342129</v>
      </c>
      <c r="F167">
        <v>4.9400000000000004</v>
      </c>
      <c r="G167">
        <v>29116</v>
      </c>
      <c r="H167">
        <f>Engagement_Summary[[#This Row],[New_Followers]]-Engagement_Summary[[#This Row],[Unfollows]]</f>
        <v>1116</v>
      </c>
      <c r="I167" s="17">
        <f>(Engagement_Summary[[#This Row],[Net new follower]]-H166)/H166</f>
        <v>0.64117647058823535</v>
      </c>
      <c r="J167" t="str" cm="1">
        <f t="array" ref="J167">_xlfn._xlws.FILTER(Campaign_Metadata[Campaign_Name],(Engagement_Summary[[#This Row],[Week_Start_Date]]&gt;=Campaign_Metadata[Start_Date])*(Engagement_Summary[[#This Row],[Week_Start_Date]]&lt;=Campaign_Metadata[End_Date]),"No Campaign")</f>
        <v>SustainabilityDrive</v>
      </c>
    </row>
    <row r="168" spans="1:10">
      <c r="A168" s="1">
        <v>45733</v>
      </c>
      <c r="B168" t="s">
        <v>35</v>
      </c>
      <c r="C168">
        <v>1077</v>
      </c>
      <c r="D168">
        <v>216</v>
      </c>
      <c r="E168">
        <v>12447</v>
      </c>
      <c r="F168">
        <v>1.8</v>
      </c>
      <c r="G168">
        <v>14068</v>
      </c>
      <c r="H168">
        <f>Engagement_Summary[[#This Row],[New_Followers]]-Engagement_Summary[[#This Row],[Unfollows]]</f>
        <v>861</v>
      </c>
      <c r="I168" s="17">
        <f>(Engagement_Summary[[#This Row],[Net new follower]]-H167)/H167</f>
        <v>-0.22849462365591397</v>
      </c>
      <c r="J168" t="str" cm="1">
        <f t="array" ref="J168">_xlfn._xlws.FILTER(Campaign_Metadata[Campaign_Name],(Engagement_Summary[[#This Row],[Week_Start_Date]]&gt;=Campaign_Metadata[Start_Date])*(Engagement_Summary[[#This Row],[Week_Start_Date]]&lt;=Campaign_Metadata[End_Date]),"No Campaign")</f>
        <v>SustainabilityDrive</v>
      </c>
    </row>
    <row r="169" spans="1:10">
      <c r="A169" s="1">
        <v>45733</v>
      </c>
      <c r="B169" t="s">
        <v>46</v>
      </c>
      <c r="C169">
        <v>1596</v>
      </c>
      <c r="D169">
        <v>211</v>
      </c>
      <c r="E169">
        <v>17380</v>
      </c>
      <c r="F169">
        <v>8.64</v>
      </c>
      <c r="G169">
        <v>35801</v>
      </c>
      <c r="H169">
        <f>Engagement_Summary[[#This Row],[New_Followers]]-Engagement_Summary[[#This Row],[Unfollows]]</f>
        <v>1385</v>
      </c>
      <c r="I169" s="17">
        <f>(Engagement_Summary[[#This Row],[Net new follower]]-H168)/H168</f>
        <v>0.60859465737514518</v>
      </c>
      <c r="J169" t="str" cm="1">
        <f t="array" ref="J169">_xlfn._xlws.FILTER(Campaign_Metadata[Campaign_Name],(Engagement_Summary[[#This Row],[Week_Start_Date]]&gt;=Campaign_Metadata[Start_Date])*(Engagement_Summary[[#This Row],[Week_Start_Date]]&lt;=Campaign_Metadata[End_Date]),"No Campaign")</f>
        <v>SustainabilityDrive</v>
      </c>
    </row>
    <row r="170" spans="1:10">
      <c r="A170" s="1">
        <v>45740</v>
      </c>
      <c r="B170" t="s">
        <v>49</v>
      </c>
      <c r="C170">
        <v>490</v>
      </c>
      <c r="D170">
        <v>29</v>
      </c>
      <c r="E170">
        <v>364810</v>
      </c>
      <c r="F170">
        <v>1.53</v>
      </c>
      <c r="G170">
        <v>49077</v>
      </c>
      <c r="H170">
        <f>Engagement_Summary[[#This Row],[New_Followers]]-Engagement_Summary[[#This Row],[Unfollows]]</f>
        <v>461</v>
      </c>
      <c r="I170" s="17">
        <f>(Engagement_Summary[[#This Row],[Net new follower]]-H169)/H169</f>
        <v>-0.66714801444043326</v>
      </c>
      <c r="J170" t="str" cm="1">
        <f t="array" ref="J170">_xlfn._xlws.FILTER(Campaign_Metadata[Campaign_Name],(Engagement_Summary[[#This Row],[Week_Start_Date]]&gt;=Campaign_Metadata[Start_Date])*(Engagement_Summary[[#This Row],[Week_Start_Date]]&lt;=Campaign_Metadata[End_Date]),"No Campaign")</f>
        <v>SustainabilityDrive</v>
      </c>
    </row>
    <row r="171" spans="1:10">
      <c r="A171" s="1">
        <v>45740</v>
      </c>
      <c r="B171" t="s">
        <v>55</v>
      </c>
      <c r="C171">
        <v>609</v>
      </c>
      <c r="D171">
        <v>135</v>
      </c>
      <c r="E171">
        <v>373606</v>
      </c>
      <c r="F171">
        <v>8.52</v>
      </c>
      <c r="G171">
        <v>21453</v>
      </c>
      <c r="H171">
        <f>Engagement_Summary[[#This Row],[New_Followers]]-Engagement_Summary[[#This Row],[Unfollows]]</f>
        <v>474</v>
      </c>
      <c r="I171" s="17">
        <f>(Engagement_Summary[[#This Row],[Net new follower]]-H170)/H170</f>
        <v>2.8199566160520606E-2</v>
      </c>
      <c r="J171" t="str" cm="1">
        <f t="array" ref="J171">_xlfn._xlws.FILTER(Campaign_Metadata[Campaign_Name],(Engagement_Summary[[#This Row],[Week_Start_Date]]&gt;=Campaign_Metadata[Start_Date])*(Engagement_Summary[[#This Row],[Week_Start_Date]]&lt;=Campaign_Metadata[End_Date]),"No Campaign")</f>
        <v>SustainabilityDrive</v>
      </c>
    </row>
    <row r="172" spans="1:10">
      <c r="A172" s="1">
        <v>45740</v>
      </c>
      <c r="B172" t="s">
        <v>35</v>
      </c>
      <c r="C172">
        <v>364</v>
      </c>
      <c r="D172">
        <v>72</v>
      </c>
      <c r="E172">
        <v>211090</v>
      </c>
      <c r="F172">
        <v>5.53</v>
      </c>
      <c r="G172">
        <v>21061</v>
      </c>
      <c r="H172">
        <f>Engagement_Summary[[#This Row],[New_Followers]]-Engagement_Summary[[#This Row],[Unfollows]]</f>
        <v>292</v>
      </c>
      <c r="I172" s="17">
        <f>(Engagement_Summary[[#This Row],[Net new follower]]-H171)/H171</f>
        <v>-0.38396624472573837</v>
      </c>
      <c r="J172" t="str" cm="1">
        <f t="array" ref="J172">_xlfn._xlws.FILTER(Campaign_Metadata[Campaign_Name],(Engagement_Summary[[#This Row],[Week_Start_Date]]&gt;=Campaign_Metadata[Start_Date])*(Engagement_Summary[[#This Row],[Week_Start_Date]]&lt;=Campaign_Metadata[End_Date]),"No Campaign")</f>
        <v>SustainabilityDrive</v>
      </c>
    </row>
    <row r="173" spans="1:10">
      <c r="A173" s="1">
        <v>45740</v>
      </c>
      <c r="B173" t="s">
        <v>46</v>
      </c>
      <c r="C173">
        <v>442</v>
      </c>
      <c r="D173">
        <v>53</v>
      </c>
      <c r="E173">
        <v>441931</v>
      </c>
      <c r="F173">
        <v>1.87</v>
      </c>
      <c r="G173">
        <v>20059</v>
      </c>
      <c r="H173">
        <f>Engagement_Summary[[#This Row],[New_Followers]]-Engagement_Summary[[#This Row],[Unfollows]]</f>
        <v>389</v>
      </c>
      <c r="I173" s="17">
        <f>(Engagement_Summary[[#This Row],[Net new follower]]-H172)/H172</f>
        <v>0.3321917808219178</v>
      </c>
      <c r="J173" t="str" cm="1">
        <f t="array" ref="J173">_xlfn._xlws.FILTER(Campaign_Metadata[Campaign_Name],(Engagement_Summary[[#This Row],[Week_Start_Date]]&gt;=Campaign_Metadata[Start_Date])*(Engagement_Summary[[#This Row],[Week_Start_Date]]&lt;=Campaign_Metadata[End_Date]),"No Campaign")</f>
        <v>SustainabilityDrive</v>
      </c>
    </row>
    <row r="174" spans="1:10">
      <c r="A174" s="1">
        <v>45747</v>
      </c>
      <c r="B174" t="s">
        <v>49</v>
      </c>
      <c r="C174">
        <v>1033</v>
      </c>
      <c r="D174">
        <v>392</v>
      </c>
      <c r="E174">
        <v>282780</v>
      </c>
      <c r="F174">
        <v>6.27</v>
      </c>
      <c r="G174">
        <v>23140</v>
      </c>
      <c r="H174">
        <f>Engagement_Summary[[#This Row],[New_Followers]]-Engagement_Summary[[#This Row],[Unfollows]]</f>
        <v>641</v>
      </c>
      <c r="I174" s="17">
        <f>(Engagement_Summary[[#This Row],[Net new follower]]-H173)/H173</f>
        <v>0.6478149100257069</v>
      </c>
      <c r="J174" t="str" cm="1">
        <f t="array" ref="J174">_xlfn._xlws.FILTER(Campaign_Metadata[Campaign_Name],(Engagement_Summary[[#This Row],[Week_Start_Date]]&gt;=Campaign_Metadata[Start_Date])*(Engagement_Summary[[#This Row],[Week_Start_Date]]&lt;=Campaign_Metadata[End_Date]),"No Campaign")</f>
        <v>SustainabilityDrive</v>
      </c>
    </row>
    <row r="175" spans="1:10">
      <c r="A175" s="1">
        <v>45747</v>
      </c>
      <c r="B175" t="s">
        <v>55</v>
      </c>
      <c r="C175">
        <v>988</v>
      </c>
      <c r="D175">
        <v>474</v>
      </c>
      <c r="E175">
        <v>370070</v>
      </c>
      <c r="F175">
        <v>9.4600000000000009</v>
      </c>
      <c r="G175">
        <v>23461</v>
      </c>
      <c r="H175">
        <f>Engagement_Summary[[#This Row],[New_Followers]]-Engagement_Summary[[#This Row],[Unfollows]]</f>
        <v>514</v>
      </c>
      <c r="I175" s="17">
        <f>(Engagement_Summary[[#This Row],[Net new follower]]-H174)/H174</f>
        <v>-0.19812792511700469</v>
      </c>
      <c r="J175" t="str" cm="1">
        <f t="array" ref="J175">_xlfn._xlws.FILTER(Campaign_Metadata[Campaign_Name],(Engagement_Summary[[#This Row],[Week_Start_Date]]&gt;=Campaign_Metadata[Start_Date])*(Engagement_Summary[[#This Row],[Week_Start_Date]]&lt;=Campaign_Metadata[End_Date]),"No Campaign")</f>
        <v>SustainabilityDrive</v>
      </c>
    </row>
    <row r="176" spans="1:10">
      <c r="A176" s="1">
        <v>45747</v>
      </c>
      <c r="B176" t="s">
        <v>35</v>
      </c>
      <c r="C176">
        <v>1946</v>
      </c>
      <c r="D176">
        <v>270</v>
      </c>
      <c r="E176">
        <v>198350</v>
      </c>
      <c r="F176">
        <v>7.5</v>
      </c>
      <c r="G176">
        <v>11805</v>
      </c>
      <c r="H176">
        <f>Engagement_Summary[[#This Row],[New_Followers]]-Engagement_Summary[[#This Row],[Unfollows]]</f>
        <v>1676</v>
      </c>
      <c r="I176" s="17">
        <f>(Engagement_Summary[[#This Row],[Net new follower]]-H175)/H175</f>
        <v>2.2607003891050583</v>
      </c>
      <c r="J176" t="str" cm="1">
        <f t="array" ref="J176">_xlfn._xlws.FILTER(Campaign_Metadata[Campaign_Name],(Engagement_Summary[[#This Row],[Week_Start_Date]]&gt;=Campaign_Metadata[Start_Date])*(Engagement_Summary[[#This Row],[Week_Start_Date]]&lt;=Campaign_Metadata[End_Date]),"No Campaign")</f>
        <v>SustainabilityDrive</v>
      </c>
    </row>
    <row r="177" spans="1:10">
      <c r="A177" s="1">
        <v>45747</v>
      </c>
      <c r="B177" t="s">
        <v>46</v>
      </c>
      <c r="C177">
        <v>1957</v>
      </c>
      <c r="D177">
        <v>490</v>
      </c>
      <c r="E177">
        <v>435726</v>
      </c>
      <c r="F177">
        <v>4.7300000000000004</v>
      </c>
      <c r="G177">
        <v>15969</v>
      </c>
      <c r="H177">
        <f>Engagement_Summary[[#This Row],[New_Followers]]-Engagement_Summary[[#This Row],[Unfollows]]</f>
        <v>1467</v>
      </c>
      <c r="I177" s="17">
        <f>(Engagement_Summary[[#This Row],[Net new follower]]-H176)/H176</f>
        <v>-0.1247016706443914</v>
      </c>
      <c r="J177" t="str" cm="1">
        <f t="array" ref="J177">_xlfn._xlws.FILTER(Campaign_Metadata[Campaign_Name],(Engagement_Summary[[#This Row],[Week_Start_Date]]&gt;=Campaign_Metadata[Start_Date])*(Engagement_Summary[[#This Row],[Week_Start_Date]]&lt;=Campaign_Metadata[End_Date]),"No Campaign")</f>
        <v>SustainabilityDrive</v>
      </c>
    </row>
    <row r="178" spans="1:10">
      <c r="A178" s="1">
        <v>45754</v>
      </c>
      <c r="B178" t="s">
        <v>49</v>
      </c>
      <c r="C178">
        <v>559</v>
      </c>
      <c r="D178">
        <v>392</v>
      </c>
      <c r="E178">
        <v>78789</v>
      </c>
      <c r="F178">
        <v>3.19</v>
      </c>
      <c r="G178">
        <v>2436</v>
      </c>
      <c r="H178">
        <f>Engagement_Summary[[#This Row],[New_Followers]]-Engagement_Summary[[#This Row],[Unfollows]]</f>
        <v>167</v>
      </c>
      <c r="I178" s="17">
        <f>(Engagement_Summary[[#This Row],[Net new follower]]-H177)/H177</f>
        <v>-0.88616223585548737</v>
      </c>
      <c r="J178" t="str" cm="1">
        <f t="array" ref="J178">_xlfn._xlws.FILTER(Campaign_Metadata[Campaign_Name],(Engagement_Summary[[#This Row],[Week_Start_Date]]&gt;=Campaign_Metadata[Start_Date])*(Engagement_Summary[[#This Row],[Week_Start_Date]]&lt;=Campaign_Metadata[End_Date]),"No Campaign")</f>
        <v>No Campaign</v>
      </c>
    </row>
    <row r="179" spans="1:10">
      <c r="A179" s="1">
        <v>45754</v>
      </c>
      <c r="B179" t="s">
        <v>55</v>
      </c>
      <c r="C179">
        <v>1307</v>
      </c>
      <c r="D179">
        <v>278</v>
      </c>
      <c r="E179">
        <v>98596</v>
      </c>
      <c r="F179">
        <v>2.4900000000000002</v>
      </c>
      <c r="G179">
        <v>47603</v>
      </c>
      <c r="H179">
        <f>Engagement_Summary[[#This Row],[New_Followers]]-Engagement_Summary[[#This Row],[Unfollows]]</f>
        <v>1029</v>
      </c>
      <c r="I179" s="17">
        <f>(Engagement_Summary[[#This Row],[Net new follower]]-H178)/H178</f>
        <v>5.1616766467065869</v>
      </c>
      <c r="J179" t="str" cm="1">
        <f t="array" ref="J179">_xlfn._xlws.FILTER(Campaign_Metadata[Campaign_Name],(Engagement_Summary[[#This Row],[Week_Start_Date]]&gt;=Campaign_Metadata[Start_Date])*(Engagement_Summary[[#This Row],[Week_Start_Date]]&lt;=Campaign_Metadata[End_Date]),"No Campaign")</f>
        <v>No Campaign</v>
      </c>
    </row>
    <row r="180" spans="1:10">
      <c r="A180" s="1">
        <v>45754</v>
      </c>
      <c r="B180" t="s">
        <v>35</v>
      </c>
      <c r="C180">
        <v>1432</v>
      </c>
      <c r="D180">
        <v>425</v>
      </c>
      <c r="E180">
        <v>29589</v>
      </c>
      <c r="F180">
        <v>4.5</v>
      </c>
      <c r="G180">
        <v>42964</v>
      </c>
      <c r="H180">
        <f>Engagement_Summary[[#This Row],[New_Followers]]-Engagement_Summary[[#This Row],[Unfollows]]</f>
        <v>1007</v>
      </c>
      <c r="I180" s="17">
        <f>(Engagement_Summary[[#This Row],[Net new follower]]-H179)/H179</f>
        <v>-2.1379980563654033E-2</v>
      </c>
      <c r="J180" t="str" cm="1">
        <f t="array" ref="J180">_xlfn._xlws.FILTER(Campaign_Metadata[Campaign_Name],(Engagement_Summary[[#This Row],[Week_Start_Date]]&gt;=Campaign_Metadata[Start_Date])*(Engagement_Summary[[#This Row],[Week_Start_Date]]&lt;=Campaign_Metadata[End_Date]),"No Campaign")</f>
        <v>No Campaign</v>
      </c>
    </row>
    <row r="181" spans="1:10">
      <c r="A181" s="1">
        <v>45754</v>
      </c>
      <c r="B181" t="s">
        <v>46</v>
      </c>
      <c r="C181">
        <v>623</v>
      </c>
      <c r="D181">
        <v>414</v>
      </c>
      <c r="E181">
        <v>290354</v>
      </c>
      <c r="F181">
        <v>6.49</v>
      </c>
      <c r="G181">
        <v>39923</v>
      </c>
      <c r="H181">
        <f>Engagement_Summary[[#This Row],[New_Followers]]-Engagement_Summary[[#This Row],[Unfollows]]</f>
        <v>209</v>
      </c>
      <c r="I181" s="17">
        <f>(Engagement_Summary[[#This Row],[Net new follower]]-H180)/H180</f>
        <v>-0.79245283018867929</v>
      </c>
      <c r="J181" t="str" cm="1">
        <f t="array" ref="J181">_xlfn._xlws.FILTER(Campaign_Metadata[Campaign_Name],(Engagement_Summary[[#This Row],[Week_Start_Date]]&gt;=Campaign_Metadata[Start_Date])*(Engagement_Summary[[#This Row],[Week_Start_Date]]&lt;=Campaign_Metadata[End_Date]),"No Campaign")</f>
        <v>No Campaign</v>
      </c>
    </row>
    <row r="182" spans="1:10">
      <c r="A182" s="1">
        <v>45761</v>
      </c>
      <c r="B182" t="s">
        <v>49</v>
      </c>
      <c r="C182">
        <v>198</v>
      </c>
      <c r="D182">
        <v>358</v>
      </c>
      <c r="E182">
        <v>66682</v>
      </c>
      <c r="F182">
        <v>6.73</v>
      </c>
      <c r="G182">
        <v>2293</v>
      </c>
      <c r="H182">
        <f>Engagement_Summary[[#This Row],[New_Followers]]-Engagement_Summary[[#This Row],[Unfollows]]</f>
        <v>-160</v>
      </c>
      <c r="I182" s="17">
        <f>(Engagement_Summary[[#This Row],[Net new follower]]-H181)/H181</f>
        <v>-1.7655502392344498</v>
      </c>
      <c r="J182" t="str" cm="1">
        <f t="array" ref="J182">_xlfn._xlws.FILTER(Campaign_Metadata[Campaign_Name],(Engagement_Summary[[#This Row],[Week_Start_Date]]&gt;=Campaign_Metadata[Start_Date])*(Engagement_Summary[[#This Row],[Week_Start_Date]]&lt;=Campaign_Metadata[End_Date]),"No Campaign")</f>
        <v>No Campaign</v>
      </c>
    </row>
    <row r="183" spans="1:10">
      <c r="A183" s="1">
        <v>45761</v>
      </c>
      <c r="B183" t="s">
        <v>55</v>
      </c>
      <c r="C183">
        <v>198</v>
      </c>
      <c r="D183">
        <v>373</v>
      </c>
      <c r="E183">
        <v>70707</v>
      </c>
      <c r="F183">
        <v>4.83</v>
      </c>
      <c r="G183">
        <v>25920</v>
      </c>
      <c r="H183">
        <f>Engagement_Summary[[#This Row],[New_Followers]]-Engagement_Summary[[#This Row],[Unfollows]]</f>
        <v>-175</v>
      </c>
      <c r="I183" s="17">
        <f>(Engagement_Summary[[#This Row],[Net new follower]]-H182)/H182</f>
        <v>9.375E-2</v>
      </c>
      <c r="J183" t="str" cm="1">
        <f t="array" ref="J183">_xlfn._xlws.FILTER(Campaign_Metadata[Campaign_Name],(Engagement_Summary[[#This Row],[Week_Start_Date]]&gt;=Campaign_Metadata[Start_Date])*(Engagement_Summary[[#This Row],[Week_Start_Date]]&lt;=Campaign_Metadata[End_Date]),"No Campaign")</f>
        <v>No Campaign</v>
      </c>
    </row>
    <row r="184" spans="1:10">
      <c r="A184" s="1">
        <v>45761</v>
      </c>
      <c r="B184" t="s">
        <v>35</v>
      </c>
      <c r="C184">
        <v>353</v>
      </c>
      <c r="D184">
        <v>300</v>
      </c>
      <c r="E184">
        <v>142507</v>
      </c>
      <c r="F184">
        <v>5.3</v>
      </c>
      <c r="G184">
        <v>11035</v>
      </c>
      <c r="H184">
        <f>Engagement_Summary[[#This Row],[New_Followers]]-Engagement_Summary[[#This Row],[Unfollows]]</f>
        <v>53</v>
      </c>
      <c r="I184" s="17">
        <f>(Engagement_Summary[[#This Row],[Net new follower]]-H183)/H183</f>
        <v>-1.3028571428571429</v>
      </c>
      <c r="J184" t="str" cm="1">
        <f t="array" ref="J184">_xlfn._xlws.FILTER(Campaign_Metadata[Campaign_Name],(Engagement_Summary[[#This Row],[Week_Start_Date]]&gt;=Campaign_Metadata[Start_Date])*(Engagement_Summary[[#This Row],[Week_Start_Date]]&lt;=Campaign_Metadata[End_Date]),"No Campaign")</f>
        <v>No Campaign</v>
      </c>
    </row>
    <row r="185" spans="1:10">
      <c r="A185" s="1">
        <v>45761</v>
      </c>
      <c r="B185" t="s">
        <v>46</v>
      </c>
      <c r="C185">
        <v>520</v>
      </c>
      <c r="D185">
        <v>375</v>
      </c>
      <c r="E185">
        <v>369525</v>
      </c>
      <c r="F185">
        <v>6.54</v>
      </c>
      <c r="G185">
        <v>20733</v>
      </c>
      <c r="H185">
        <f>Engagement_Summary[[#This Row],[New_Followers]]-Engagement_Summary[[#This Row],[Unfollows]]</f>
        <v>145</v>
      </c>
      <c r="I185" s="17">
        <f>(Engagement_Summary[[#This Row],[Net new follower]]-H184)/H184</f>
        <v>1.7358490566037736</v>
      </c>
      <c r="J185" t="str" cm="1">
        <f t="array" ref="J185">_xlfn._xlws.FILTER(Campaign_Metadata[Campaign_Name],(Engagement_Summary[[#This Row],[Week_Start_Date]]&gt;=Campaign_Metadata[Start_Date])*(Engagement_Summary[[#This Row],[Week_Start_Date]]&lt;=Campaign_Metadata[End_Date]),"No Campaign")</f>
        <v>No Campaign</v>
      </c>
    </row>
    <row r="186" spans="1:10">
      <c r="A186" s="1">
        <v>45768</v>
      </c>
      <c r="B186" t="s">
        <v>49</v>
      </c>
      <c r="C186">
        <v>961</v>
      </c>
      <c r="D186">
        <v>358</v>
      </c>
      <c r="E186">
        <v>62942</v>
      </c>
      <c r="F186">
        <v>6.8</v>
      </c>
      <c r="G186">
        <v>18693</v>
      </c>
      <c r="H186">
        <f>Engagement_Summary[[#This Row],[New_Followers]]-Engagement_Summary[[#This Row],[Unfollows]]</f>
        <v>603</v>
      </c>
      <c r="I186" s="17">
        <f>(Engagement_Summary[[#This Row],[Net new follower]]-H185)/H185</f>
        <v>3.1586206896551725</v>
      </c>
      <c r="J186" t="str" cm="1">
        <f t="array" ref="J186">_xlfn._xlws.FILTER(Campaign_Metadata[Campaign_Name],(Engagement_Summary[[#This Row],[Week_Start_Date]]&gt;=Campaign_Metadata[Start_Date])*(Engagement_Summary[[#This Row],[Week_Start_Date]]&lt;=Campaign_Metadata[End_Date]),"No Campaign")</f>
        <v>No Campaign</v>
      </c>
    </row>
    <row r="187" spans="1:10">
      <c r="A187" s="1">
        <v>45768</v>
      </c>
      <c r="B187" t="s">
        <v>55</v>
      </c>
      <c r="C187">
        <v>1375</v>
      </c>
      <c r="D187">
        <v>330</v>
      </c>
      <c r="E187">
        <v>377382</v>
      </c>
      <c r="F187">
        <v>2.6</v>
      </c>
      <c r="G187">
        <v>7875</v>
      </c>
      <c r="H187">
        <f>Engagement_Summary[[#This Row],[New_Followers]]-Engagement_Summary[[#This Row],[Unfollows]]</f>
        <v>1045</v>
      </c>
      <c r="I187" s="17">
        <f>(Engagement_Summary[[#This Row],[Net new follower]]-H186)/H186</f>
        <v>0.7330016583747927</v>
      </c>
      <c r="J187" t="str" cm="1">
        <f t="array" ref="J187">_xlfn._xlws.FILTER(Campaign_Metadata[Campaign_Name],(Engagement_Summary[[#This Row],[Week_Start_Date]]&gt;=Campaign_Metadata[Start_Date])*(Engagement_Summary[[#This Row],[Week_Start_Date]]&lt;=Campaign_Metadata[End_Date]),"No Campaign")</f>
        <v>No Campaign</v>
      </c>
    </row>
    <row r="188" spans="1:10">
      <c r="A188" s="1">
        <v>45768</v>
      </c>
      <c r="B188" t="s">
        <v>35</v>
      </c>
      <c r="C188">
        <v>1147</v>
      </c>
      <c r="D188">
        <v>388</v>
      </c>
      <c r="E188">
        <v>333851</v>
      </c>
      <c r="F188">
        <v>2.44</v>
      </c>
      <c r="G188">
        <v>8471</v>
      </c>
      <c r="H188">
        <f>Engagement_Summary[[#This Row],[New_Followers]]-Engagement_Summary[[#This Row],[Unfollows]]</f>
        <v>759</v>
      </c>
      <c r="I188" s="17">
        <f>(Engagement_Summary[[#This Row],[Net new follower]]-H187)/H187</f>
        <v>-0.27368421052631581</v>
      </c>
      <c r="J188" t="str" cm="1">
        <f t="array" ref="J188">_xlfn._xlws.FILTER(Campaign_Metadata[Campaign_Name],(Engagement_Summary[[#This Row],[Week_Start_Date]]&gt;=Campaign_Metadata[Start_Date])*(Engagement_Summary[[#This Row],[Week_Start_Date]]&lt;=Campaign_Metadata[End_Date]),"No Campaign")</f>
        <v>No Campaign</v>
      </c>
    </row>
    <row r="189" spans="1:10">
      <c r="A189" s="1">
        <v>45768</v>
      </c>
      <c r="B189" t="s">
        <v>46</v>
      </c>
      <c r="C189">
        <v>1707</v>
      </c>
      <c r="D189">
        <v>74</v>
      </c>
      <c r="E189">
        <v>270958</v>
      </c>
      <c r="F189">
        <v>3.09</v>
      </c>
      <c r="G189">
        <v>14090</v>
      </c>
      <c r="H189">
        <f>Engagement_Summary[[#This Row],[New_Followers]]-Engagement_Summary[[#This Row],[Unfollows]]</f>
        <v>1633</v>
      </c>
      <c r="I189" s="17">
        <f>(Engagement_Summary[[#This Row],[Net new follower]]-H188)/H188</f>
        <v>1.1515151515151516</v>
      </c>
      <c r="J189" t="str" cm="1">
        <f t="array" ref="J189">_xlfn._xlws.FILTER(Campaign_Metadata[Campaign_Name],(Engagement_Summary[[#This Row],[Week_Start_Date]]&gt;=Campaign_Metadata[Start_Date])*(Engagement_Summary[[#This Row],[Week_Start_Date]]&lt;=Campaign_Metadata[End_Date]),"No Campaign")</f>
        <v>No Campaign</v>
      </c>
    </row>
    <row r="190" spans="1:10">
      <c r="A190" s="1">
        <v>45775</v>
      </c>
      <c r="B190" t="s">
        <v>49</v>
      </c>
      <c r="C190">
        <v>1693</v>
      </c>
      <c r="D190">
        <v>154</v>
      </c>
      <c r="E190">
        <v>445944</v>
      </c>
      <c r="F190">
        <v>5.69</v>
      </c>
      <c r="G190">
        <v>14216</v>
      </c>
      <c r="H190">
        <f>Engagement_Summary[[#This Row],[New_Followers]]-Engagement_Summary[[#This Row],[Unfollows]]</f>
        <v>1539</v>
      </c>
      <c r="I190" s="17">
        <f>(Engagement_Summary[[#This Row],[Net new follower]]-H189)/H189</f>
        <v>-5.7562767911818739E-2</v>
      </c>
      <c r="J190" t="str" cm="1">
        <f t="array" ref="J190">_xlfn._xlws.FILTER(Campaign_Metadata[Campaign_Name],(Engagement_Summary[[#This Row],[Week_Start_Date]]&gt;=Campaign_Metadata[Start_Date])*(Engagement_Summary[[#This Row],[Week_Start_Date]]&lt;=Campaign_Metadata[End_Date]),"No Campaign")</f>
        <v>No Campaign</v>
      </c>
    </row>
    <row r="191" spans="1:10">
      <c r="A191" s="1">
        <v>45775</v>
      </c>
      <c r="B191" t="s">
        <v>55</v>
      </c>
      <c r="C191">
        <v>833</v>
      </c>
      <c r="D191">
        <v>380</v>
      </c>
      <c r="E191">
        <v>224830</v>
      </c>
      <c r="F191">
        <v>3.86</v>
      </c>
      <c r="G191">
        <v>3582</v>
      </c>
      <c r="H191">
        <f>Engagement_Summary[[#This Row],[New_Followers]]-Engagement_Summary[[#This Row],[Unfollows]]</f>
        <v>453</v>
      </c>
      <c r="I191" s="17">
        <f>(Engagement_Summary[[#This Row],[Net new follower]]-H190)/H190</f>
        <v>-0.70565302144249509</v>
      </c>
      <c r="J191" t="str" cm="1">
        <f t="array" ref="J191">_xlfn._xlws.FILTER(Campaign_Metadata[Campaign_Name],(Engagement_Summary[[#This Row],[Week_Start_Date]]&gt;=Campaign_Metadata[Start_Date])*(Engagement_Summary[[#This Row],[Week_Start_Date]]&lt;=Campaign_Metadata[End_Date]),"No Campaign")</f>
        <v>No Campaign</v>
      </c>
    </row>
    <row r="192" spans="1:10">
      <c r="A192" s="1">
        <v>45775</v>
      </c>
      <c r="B192" t="s">
        <v>35</v>
      </c>
      <c r="C192">
        <v>1222</v>
      </c>
      <c r="D192">
        <v>274</v>
      </c>
      <c r="E192">
        <v>487289</v>
      </c>
      <c r="F192">
        <v>3.16</v>
      </c>
      <c r="G192">
        <v>32500</v>
      </c>
      <c r="H192">
        <f>Engagement_Summary[[#This Row],[New_Followers]]-Engagement_Summary[[#This Row],[Unfollows]]</f>
        <v>948</v>
      </c>
      <c r="I192" s="17">
        <f>(Engagement_Summary[[#This Row],[Net new follower]]-H191)/H191</f>
        <v>1.0927152317880795</v>
      </c>
      <c r="J192" t="str" cm="1">
        <f t="array" ref="J192">_xlfn._xlws.FILTER(Campaign_Metadata[Campaign_Name],(Engagement_Summary[[#This Row],[Week_Start_Date]]&gt;=Campaign_Metadata[Start_Date])*(Engagement_Summary[[#This Row],[Week_Start_Date]]&lt;=Campaign_Metadata[End_Date]),"No Campaign")</f>
        <v>No Campaign</v>
      </c>
    </row>
    <row r="193" spans="1:10">
      <c r="A193" s="1">
        <v>45775</v>
      </c>
      <c r="B193" t="s">
        <v>46</v>
      </c>
      <c r="C193">
        <v>777</v>
      </c>
      <c r="D193">
        <v>140</v>
      </c>
      <c r="E193">
        <v>11435</v>
      </c>
      <c r="F193">
        <v>1.6</v>
      </c>
      <c r="G193">
        <v>6832</v>
      </c>
      <c r="H193">
        <f>Engagement_Summary[[#This Row],[New_Followers]]-Engagement_Summary[[#This Row],[Unfollows]]</f>
        <v>637</v>
      </c>
      <c r="I193" s="17">
        <f>(Engagement_Summary[[#This Row],[Net new follower]]-H192)/H192</f>
        <v>-0.3280590717299578</v>
      </c>
      <c r="J193" t="str" cm="1">
        <f t="array" ref="J193">_xlfn._xlws.FILTER(Campaign_Metadata[Campaign_Name],(Engagement_Summary[[#This Row],[Week_Start_Date]]&gt;=Campaign_Metadata[Start_Date])*(Engagement_Summary[[#This Row],[Week_Start_Date]]&lt;=Campaign_Metadata[End_Date]),"No Campaign")</f>
        <v>No Campaign</v>
      </c>
    </row>
    <row r="194" spans="1:10">
      <c r="A194" s="1">
        <v>45782</v>
      </c>
      <c r="B194" t="s">
        <v>49</v>
      </c>
      <c r="C194">
        <v>1957</v>
      </c>
      <c r="D194">
        <v>76</v>
      </c>
      <c r="E194">
        <v>447902</v>
      </c>
      <c r="F194">
        <v>6.09</v>
      </c>
      <c r="G194">
        <v>33381</v>
      </c>
      <c r="H194">
        <f>Engagement_Summary[[#This Row],[New_Followers]]-Engagement_Summary[[#This Row],[Unfollows]]</f>
        <v>1881</v>
      </c>
      <c r="I194" s="17">
        <f>(Engagement_Summary[[#This Row],[Net new follower]]-H193)/H193</f>
        <v>1.9529042386185242</v>
      </c>
      <c r="J194" t="str" cm="1">
        <f t="array" ref="J194">_xlfn._xlws.FILTER(Campaign_Metadata[Campaign_Name],(Engagement_Summary[[#This Row],[Week_Start_Date]]&gt;=Campaign_Metadata[Start_Date])*(Engagement_Summary[[#This Row],[Week_Start_Date]]&lt;=Campaign_Metadata[End_Date]),"No Campaign")</f>
        <v>No Campaign</v>
      </c>
    </row>
    <row r="195" spans="1:10">
      <c r="A195" s="1">
        <v>45782</v>
      </c>
      <c r="B195" t="s">
        <v>55</v>
      </c>
      <c r="C195">
        <v>405</v>
      </c>
      <c r="D195">
        <v>66</v>
      </c>
      <c r="E195">
        <v>418696</v>
      </c>
      <c r="F195">
        <v>5.59</v>
      </c>
      <c r="G195">
        <v>48419</v>
      </c>
      <c r="H195">
        <f>Engagement_Summary[[#This Row],[New_Followers]]-Engagement_Summary[[#This Row],[Unfollows]]</f>
        <v>339</v>
      </c>
      <c r="I195" s="17">
        <f>(Engagement_Summary[[#This Row],[Net new follower]]-H194)/H194</f>
        <v>-0.8197767145135566</v>
      </c>
      <c r="J195" t="str" cm="1">
        <f t="array" ref="J195">_xlfn._xlws.FILTER(Campaign_Metadata[Campaign_Name],(Engagement_Summary[[#This Row],[Week_Start_Date]]&gt;=Campaign_Metadata[Start_Date])*(Engagement_Summary[[#This Row],[Week_Start_Date]]&lt;=Campaign_Metadata[End_Date]),"No Campaign")</f>
        <v>No Campaign</v>
      </c>
    </row>
    <row r="196" spans="1:10">
      <c r="A196" s="1">
        <v>45782</v>
      </c>
      <c r="B196" t="s">
        <v>35</v>
      </c>
      <c r="C196">
        <v>1581</v>
      </c>
      <c r="D196">
        <v>71</v>
      </c>
      <c r="E196">
        <v>484364</v>
      </c>
      <c r="F196">
        <v>3.55</v>
      </c>
      <c r="G196">
        <v>16149</v>
      </c>
      <c r="H196">
        <f>Engagement_Summary[[#This Row],[New_Followers]]-Engagement_Summary[[#This Row],[Unfollows]]</f>
        <v>1510</v>
      </c>
      <c r="I196" s="17">
        <f>(Engagement_Summary[[#This Row],[Net new follower]]-H195)/H195</f>
        <v>3.4542772861356932</v>
      </c>
      <c r="J196" t="str" cm="1">
        <f t="array" ref="J196">_xlfn._xlws.FILTER(Campaign_Metadata[Campaign_Name],(Engagement_Summary[[#This Row],[Week_Start_Date]]&gt;=Campaign_Metadata[Start_Date])*(Engagement_Summary[[#This Row],[Week_Start_Date]]&lt;=Campaign_Metadata[End_Date]),"No Campaign")</f>
        <v>No Campaign</v>
      </c>
    </row>
    <row r="197" spans="1:10">
      <c r="A197" s="1">
        <v>45782</v>
      </c>
      <c r="B197" t="s">
        <v>46</v>
      </c>
      <c r="C197">
        <v>1035</v>
      </c>
      <c r="D197">
        <v>171</v>
      </c>
      <c r="E197">
        <v>148477</v>
      </c>
      <c r="F197">
        <v>5.21</v>
      </c>
      <c r="G197">
        <v>7541</v>
      </c>
      <c r="H197">
        <f>Engagement_Summary[[#This Row],[New_Followers]]-Engagement_Summary[[#This Row],[Unfollows]]</f>
        <v>864</v>
      </c>
      <c r="I197" s="17">
        <f>(Engagement_Summary[[#This Row],[Net new follower]]-H196)/H196</f>
        <v>-0.42781456953642383</v>
      </c>
      <c r="J197" t="str" cm="1">
        <f t="array" ref="J197">_xlfn._xlws.FILTER(Campaign_Metadata[Campaign_Name],(Engagement_Summary[[#This Row],[Week_Start_Date]]&gt;=Campaign_Metadata[Start_Date])*(Engagement_Summary[[#This Row],[Week_Start_Date]]&lt;=Campaign_Metadata[End_Date]),"No Campaign")</f>
        <v>No Campaign</v>
      </c>
    </row>
    <row r="198" spans="1:10">
      <c r="A198" s="1">
        <v>45789</v>
      </c>
      <c r="B198" t="s">
        <v>49</v>
      </c>
      <c r="C198">
        <v>1765</v>
      </c>
      <c r="D198">
        <v>109</v>
      </c>
      <c r="E198">
        <v>468301</v>
      </c>
      <c r="F198">
        <v>1.82</v>
      </c>
      <c r="G198">
        <v>20042</v>
      </c>
      <c r="H198">
        <f>Engagement_Summary[[#This Row],[New_Followers]]-Engagement_Summary[[#This Row],[Unfollows]]</f>
        <v>1656</v>
      </c>
      <c r="I198" s="17">
        <f>(Engagement_Summary[[#This Row],[Net new follower]]-H197)/H197</f>
        <v>0.91666666666666663</v>
      </c>
      <c r="J198" t="str" cm="1">
        <f t="array" ref="J198">_xlfn._xlws.FILTER(Campaign_Metadata[Campaign_Name],(Engagement_Summary[[#This Row],[Week_Start_Date]]&gt;=Campaign_Metadata[Start_Date])*(Engagement_Summary[[#This Row],[Week_Start_Date]]&lt;=Campaign_Metadata[End_Date]),"No Campaign")</f>
        <v>No Campaign</v>
      </c>
    </row>
    <row r="199" spans="1:10">
      <c r="A199" s="1">
        <v>45789</v>
      </c>
      <c r="B199" t="s">
        <v>55</v>
      </c>
      <c r="C199">
        <v>837</v>
      </c>
      <c r="D199">
        <v>430</v>
      </c>
      <c r="E199">
        <v>364820</v>
      </c>
      <c r="F199">
        <v>4</v>
      </c>
      <c r="G199">
        <v>49400</v>
      </c>
      <c r="H199">
        <f>Engagement_Summary[[#This Row],[New_Followers]]-Engagement_Summary[[#This Row],[Unfollows]]</f>
        <v>407</v>
      </c>
      <c r="I199" s="17">
        <f>(Engagement_Summary[[#This Row],[Net new follower]]-H198)/H198</f>
        <v>-0.75422705314009664</v>
      </c>
      <c r="J199" t="str" cm="1">
        <f t="array" ref="J199">_xlfn._xlws.FILTER(Campaign_Metadata[Campaign_Name],(Engagement_Summary[[#This Row],[Week_Start_Date]]&gt;=Campaign_Metadata[Start_Date])*(Engagement_Summary[[#This Row],[Week_Start_Date]]&lt;=Campaign_Metadata[End_Date]),"No Campaign")</f>
        <v>No Campaign</v>
      </c>
    </row>
    <row r="200" spans="1:10">
      <c r="A200" s="1">
        <v>45789</v>
      </c>
      <c r="B200" t="s">
        <v>35</v>
      </c>
      <c r="C200">
        <v>337</v>
      </c>
      <c r="D200">
        <v>68</v>
      </c>
      <c r="E200">
        <v>456298</v>
      </c>
      <c r="F200">
        <v>7.57</v>
      </c>
      <c r="G200">
        <v>4007</v>
      </c>
      <c r="H200">
        <f>Engagement_Summary[[#This Row],[New_Followers]]-Engagement_Summary[[#This Row],[Unfollows]]</f>
        <v>269</v>
      </c>
      <c r="I200" s="17">
        <f>(Engagement_Summary[[#This Row],[Net new follower]]-H199)/H199</f>
        <v>-0.33906633906633904</v>
      </c>
      <c r="J200" t="str" cm="1">
        <f t="array" ref="J200">_xlfn._xlws.FILTER(Campaign_Metadata[Campaign_Name],(Engagement_Summary[[#This Row],[Week_Start_Date]]&gt;=Campaign_Metadata[Start_Date])*(Engagement_Summary[[#This Row],[Week_Start_Date]]&lt;=Campaign_Metadata[End_Date]),"No Campaign")</f>
        <v>No Campaign</v>
      </c>
    </row>
    <row r="201" spans="1:10">
      <c r="A201" s="1">
        <v>45789</v>
      </c>
      <c r="B201" t="s">
        <v>46</v>
      </c>
      <c r="C201">
        <v>119</v>
      </c>
      <c r="D201">
        <v>456</v>
      </c>
      <c r="E201">
        <v>82558</v>
      </c>
      <c r="F201">
        <v>6.81</v>
      </c>
      <c r="G201">
        <v>12174</v>
      </c>
      <c r="H201">
        <f>Engagement_Summary[[#This Row],[New_Followers]]-Engagement_Summary[[#This Row],[Unfollows]]</f>
        <v>-337</v>
      </c>
      <c r="I201" s="17">
        <f>(Engagement_Summary[[#This Row],[Net new follower]]-H200)/H200</f>
        <v>-2.2527881040892193</v>
      </c>
      <c r="J201" t="str" cm="1">
        <f t="array" ref="J201">_xlfn._xlws.FILTER(Campaign_Metadata[Campaign_Name],(Engagement_Summary[[#This Row],[Week_Start_Date]]&gt;=Campaign_Metadata[Start_Date])*(Engagement_Summary[[#This Row],[Week_Start_Date]]&lt;=Campaign_Metadata[End_Date]),"No Campaign")</f>
        <v>No Campaign</v>
      </c>
    </row>
  </sheetData>
  <phoneticPr fontId="5"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2CDE4-BD90-45C9-8FEC-DDADFBFBA822}">
  <dimension ref="A1:Q340"/>
  <sheetViews>
    <sheetView zoomScale="85" zoomScaleNormal="85" workbookViewId="0">
      <selection activeCell="N10" sqref="N10"/>
    </sheetView>
  </sheetViews>
  <sheetFormatPr defaultRowHeight="14.4"/>
  <cols>
    <col min="1" max="1" width="9.5546875" bestFit="1" customWidth="1"/>
    <col min="2" max="2" width="11" bestFit="1" customWidth="1"/>
    <col min="3" max="3" width="10.5546875" bestFit="1" customWidth="1"/>
    <col min="4" max="4" width="14.6640625" bestFit="1" customWidth="1"/>
    <col min="5" max="5" width="38.33203125" bestFit="1" customWidth="1"/>
    <col min="6" max="6" width="8" style="21" bestFit="1" customWidth="1"/>
    <col min="7" max="7" width="9.44140625" style="21" bestFit="1" customWidth="1"/>
    <col min="8" max="8" width="12.88671875" style="21" bestFit="1" customWidth="1"/>
    <col min="9" max="9" width="13.88671875" style="21" bestFit="1" customWidth="1"/>
    <col min="10" max="11" width="8.88671875" style="21" bestFit="1" customWidth="1"/>
    <col min="12" max="12" width="20.77734375" bestFit="1" customWidth="1"/>
    <col min="13" max="14" width="18.109375" bestFit="1" customWidth="1"/>
    <col min="15" max="16" width="17.5546875" bestFit="1" customWidth="1"/>
    <col min="21" max="21" width="17.77734375" bestFit="1" customWidth="1"/>
  </cols>
  <sheetData>
    <row r="1" spans="1:17">
      <c r="A1" t="s">
        <v>23</v>
      </c>
      <c r="B1" t="s">
        <v>24</v>
      </c>
      <c r="C1" t="s">
        <v>25</v>
      </c>
      <c r="D1" t="s">
        <v>26</v>
      </c>
      <c r="E1" t="s">
        <v>27</v>
      </c>
      <c r="F1" s="21" t="s">
        <v>28</v>
      </c>
      <c r="G1" s="21" t="s">
        <v>29</v>
      </c>
      <c r="H1" s="21" t="s">
        <v>30</v>
      </c>
      <c r="I1" s="21" t="s">
        <v>31</v>
      </c>
      <c r="J1" s="21" t="s">
        <v>32</v>
      </c>
      <c r="K1" s="21" t="s">
        <v>33</v>
      </c>
      <c r="L1" t="s">
        <v>382</v>
      </c>
      <c r="M1" t="s">
        <v>0</v>
      </c>
    </row>
    <row r="2" spans="1:17">
      <c r="A2" t="s">
        <v>34</v>
      </c>
      <c r="B2" t="s">
        <v>35</v>
      </c>
      <c r="C2" s="1">
        <v>45649</v>
      </c>
      <c r="D2" t="s">
        <v>36</v>
      </c>
      <c r="E2" t="s">
        <v>37</v>
      </c>
      <c r="F2" s="21">
        <v>1461</v>
      </c>
      <c r="G2" s="21">
        <v>184</v>
      </c>
      <c r="H2" s="21">
        <v>344</v>
      </c>
      <c r="I2" s="21">
        <v>21915</v>
      </c>
      <c r="J2" s="21">
        <v>21675</v>
      </c>
      <c r="K2" s="21">
        <v>15</v>
      </c>
      <c r="L2" t="s">
        <v>38</v>
      </c>
      <c r="M2" t="s">
        <v>7</v>
      </c>
    </row>
    <row r="3" spans="1:17">
      <c r="A3" t="s">
        <v>34</v>
      </c>
      <c r="B3" t="s">
        <v>35</v>
      </c>
      <c r="C3" s="1">
        <v>45649</v>
      </c>
      <c r="D3" t="s">
        <v>36</v>
      </c>
      <c r="E3" t="s">
        <v>37</v>
      </c>
      <c r="F3" s="21">
        <v>1461</v>
      </c>
      <c r="G3" s="21">
        <v>184</v>
      </c>
      <c r="H3" s="21">
        <v>344</v>
      </c>
      <c r="I3" s="21">
        <v>21915</v>
      </c>
      <c r="J3" s="21">
        <v>21675</v>
      </c>
      <c r="K3" s="21">
        <v>15</v>
      </c>
      <c r="L3" t="s">
        <v>39</v>
      </c>
      <c r="M3" t="s">
        <v>7</v>
      </c>
    </row>
    <row r="4" spans="1:17">
      <c r="A4" t="s">
        <v>40</v>
      </c>
      <c r="B4" t="s">
        <v>35</v>
      </c>
      <c r="C4" s="1">
        <v>45750</v>
      </c>
      <c r="D4" t="s">
        <v>41</v>
      </c>
      <c r="E4" t="s">
        <v>42</v>
      </c>
      <c r="F4" s="21">
        <v>4054</v>
      </c>
      <c r="G4" s="21">
        <v>389</v>
      </c>
      <c r="H4" s="21">
        <v>493</v>
      </c>
      <c r="I4" s="21">
        <v>64864</v>
      </c>
      <c r="J4" s="21">
        <v>64383</v>
      </c>
      <c r="K4" s="21">
        <v>117</v>
      </c>
      <c r="L4" t="s">
        <v>43</v>
      </c>
      <c r="M4" t="s">
        <v>11</v>
      </c>
    </row>
    <row r="5" spans="1:17">
      <c r="A5" t="s">
        <v>40</v>
      </c>
      <c r="B5" t="s">
        <v>35</v>
      </c>
      <c r="C5" s="1">
        <v>45750</v>
      </c>
      <c r="D5" t="s">
        <v>41</v>
      </c>
      <c r="E5" t="s">
        <v>42</v>
      </c>
      <c r="F5" s="21">
        <v>4054</v>
      </c>
      <c r="G5" s="21">
        <v>389</v>
      </c>
      <c r="H5" s="21">
        <v>493</v>
      </c>
      <c r="I5" s="21">
        <v>64864</v>
      </c>
      <c r="J5" s="21">
        <v>64383</v>
      </c>
      <c r="K5" s="21">
        <v>117</v>
      </c>
      <c r="L5" t="s">
        <v>44</v>
      </c>
      <c r="M5" t="s">
        <v>11</v>
      </c>
    </row>
    <row r="6" spans="1:17">
      <c r="A6" t="s">
        <v>45</v>
      </c>
      <c r="B6" t="s">
        <v>46</v>
      </c>
      <c r="C6" s="1">
        <v>45789</v>
      </c>
      <c r="D6" t="s">
        <v>36</v>
      </c>
      <c r="E6" t="s">
        <v>47</v>
      </c>
      <c r="F6" s="21">
        <v>2795</v>
      </c>
      <c r="G6" s="21">
        <v>105</v>
      </c>
      <c r="H6" s="21">
        <v>49</v>
      </c>
      <c r="I6" s="21">
        <v>53105</v>
      </c>
      <c r="J6" s="21">
        <v>52307</v>
      </c>
      <c r="K6" s="21">
        <v>204</v>
      </c>
      <c r="L6" t="s">
        <v>43</v>
      </c>
      <c r="M6" t="s">
        <v>15</v>
      </c>
    </row>
    <row r="7" spans="1:17">
      <c r="A7" t="s">
        <v>48</v>
      </c>
      <c r="B7" t="s">
        <v>49</v>
      </c>
      <c r="C7" s="1">
        <v>45516</v>
      </c>
      <c r="D7" t="s">
        <v>50</v>
      </c>
      <c r="E7" t="s">
        <v>51</v>
      </c>
      <c r="F7" s="21">
        <v>2404</v>
      </c>
      <c r="G7" s="21">
        <v>363</v>
      </c>
      <c r="H7" s="21">
        <v>138</v>
      </c>
      <c r="I7" s="21">
        <v>19232</v>
      </c>
      <c r="J7" s="21">
        <v>18636</v>
      </c>
      <c r="K7" s="21">
        <v>128</v>
      </c>
      <c r="L7" t="s">
        <v>52</v>
      </c>
      <c r="M7" t="s">
        <v>19</v>
      </c>
    </row>
    <row r="8" spans="1:17">
      <c r="A8" t="s">
        <v>53</v>
      </c>
      <c r="B8" t="s">
        <v>46</v>
      </c>
      <c r="C8" s="1">
        <v>45469</v>
      </c>
      <c r="D8" t="s">
        <v>36</v>
      </c>
      <c r="E8" t="s">
        <v>47</v>
      </c>
      <c r="F8" s="21">
        <v>3557</v>
      </c>
      <c r="G8" s="21">
        <v>687</v>
      </c>
      <c r="H8" s="21">
        <v>424</v>
      </c>
      <c r="I8" s="21">
        <v>71140</v>
      </c>
      <c r="J8" s="21">
        <v>70701</v>
      </c>
      <c r="K8" s="21">
        <v>224</v>
      </c>
      <c r="L8" t="s">
        <v>52</v>
      </c>
      <c r="M8" t="s">
        <v>7</v>
      </c>
    </row>
    <row r="9" spans="1:17">
      <c r="A9" t="s">
        <v>53</v>
      </c>
      <c r="B9" t="s">
        <v>46</v>
      </c>
      <c r="C9" s="1">
        <v>45469</v>
      </c>
      <c r="D9" t="s">
        <v>36</v>
      </c>
      <c r="E9" t="s">
        <v>47</v>
      </c>
      <c r="F9" s="21">
        <v>3557</v>
      </c>
      <c r="G9" s="21">
        <v>687</v>
      </c>
      <c r="H9" s="21">
        <v>424</v>
      </c>
      <c r="I9" s="21">
        <v>71140</v>
      </c>
      <c r="J9" s="21">
        <v>70701</v>
      </c>
      <c r="K9" s="21">
        <v>224</v>
      </c>
      <c r="L9" t="s">
        <v>43</v>
      </c>
      <c r="M9" t="s">
        <v>7</v>
      </c>
    </row>
    <row r="10" spans="1:17">
      <c r="A10" t="s">
        <v>54</v>
      </c>
      <c r="B10" t="s">
        <v>55</v>
      </c>
      <c r="C10" s="1">
        <v>45596</v>
      </c>
      <c r="D10" t="s">
        <v>56</v>
      </c>
      <c r="E10" t="s">
        <v>57</v>
      </c>
      <c r="F10" s="21">
        <v>2945</v>
      </c>
      <c r="G10" s="21">
        <v>930</v>
      </c>
      <c r="H10" s="21">
        <v>355</v>
      </c>
      <c r="I10" s="21">
        <v>23560</v>
      </c>
      <c r="J10" s="21">
        <v>23275</v>
      </c>
      <c r="K10" s="21">
        <v>256</v>
      </c>
      <c r="L10" t="s">
        <v>43</v>
      </c>
      <c r="M10" t="s">
        <v>11</v>
      </c>
    </row>
    <row r="11" spans="1:17">
      <c r="A11" t="s">
        <v>58</v>
      </c>
      <c r="B11" t="s">
        <v>35</v>
      </c>
      <c r="C11" s="1">
        <v>45467</v>
      </c>
      <c r="D11" t="s">
        <v>56</v>
      </c>
      <c r="E11" t="s">
        <v>59</v>
      </c>
      <c r="F11" s="21">
        <v>3860</v>
      </c>
      <c r="G11" s="21">
        <v>201</v>
      </c>
      <c r="H11" s="21">
        <v>279</v>
      </c>
      <c r="I11" s="21">
        <v>61760</v>
      </c>
      <c r="J11" s="21">
        <v>61660</v>
      </c>
      <c r="K11" s="21">
        <v>235</v>
      </c>
      <c r="L11" t="s">
        <v>43</v>
      </c>
      <c r="M11" t="s">
        <v>11</v>
      </c>
      <c r="Q11" s="6"/>
    </row>
    <row r="12" spans="1:17">
      <c r="A12" t="s">
        <v>60</v>
      </c>
      <c r="B12" t="s">
        <v>46</v>
      </c>
      <c r="C12" s="1">
        <v>45486</v>
      </c>
      <c r="D12" t="s">
        <v>61</v>
      </c>
      <c r="E12" t="s">
        <v>62</v>
      </c>
      <c r="F12" s="21">
        <v>3929</v>
      </c>
      <c r="G12" s="21">
        <v>262</v>
      </c>
      <c r="H12" s="21">
        <v>278</v>
      </c>
      <c r="I12" s="21">
        <v>43219</v>
      </c>
      <c r="J12" s="21">
        <v>42841</v>
      </c>
      <c r="K12" s="21">
        <v>39</v>
      </c>
      <c r="L12" t="s">
        <v>52</v>
      </c>
      <c r="M12" t="s">
        <v>19</v>
      </c>
    </row>
    <row r="13" spans="1:17">
      <c r="A13" t="s">
        <v>63</v>
      </c>
      <c r="B13" t="s">
        <v>55</v>
      </c>
      <c r="C13" s="1">
        <v>45534</v>
      </c>
      <c r="D13" t="s">
        <v>41</v>
      </c>
      <c r="E13" t="s">
        <v>64</v>
      </c>
      <c r="F13" s="21">
        <v>3784</v>
      </c>
      <c r="G13" s="21">
        <v>808</v>
      </c>
      <c r="H13" s="21">
        <v>404</v>
      </c>
      <c r="I13" s="21">
        <v>56760</v>
      </c>
      <c r="J13" s="21">
        <v>56343</v>
      </c>
      <c r="K13" s="21">
        <v>131</v>
      </c>
      <c r="L13" t="s">
        <v>43</v>
      </c>
      <c r="M13" t="s">
        <v>11</v>
      </c>
    </row>
    <row r="14" spans="1:17">
      <c r="A14" t="s">
        <v>65</v>
      </c>
      <c r="B14" t="s">
        <v>55</v>
      </c>
      <c r="C14" s="1">
        <v>45727</v>
      </c>
      <c r="D14" t="s">
        <v>61</v>
      </c>
      <c r="E14" t="s">
        <v>66</v>
      </c>
      <c r="F14" s="21">
        <v>4241</v>
      </c>
      <c r="G14" s="21">
        <v>902</v>
      </c>
      <c r="H14" s="21">
        <v>47</v>
      </c>
      <c r="I14" s="21">
        <v>72097</v>
      </c>
      <c r="J14" s="21">
        <v>71598</v>
      </c>
      <c r="K14" s="21">
        <v>167</v>
      </c>
      <c r="L14" t="s">
        <v>43</v>
      </c>
      <c r="M14" t="s">
        <v>11</v>
      </c>
    </row>
    <row r="15" spans="1:17">
      <c r="A15" t="s">
        <v>67</v>
      </c>
      <c r="B15" t="s">
        <v>49</v>
      </c>
      <c r="C15" s="1">
        <v>45690</v>
      </c>
      <c r="D15" t="s">
        <v>50</v>
      </c>
      <c r="E15" t="s">
        <v>51</v>
      </c>
      <c r="F15" s="21">
        <v>1792</v>
      </c>
      <c r="G15" s="21">
        <v>614</v>
      </c>
      <c r="H15" s="21">
        <v>497</v>
      </c>
      <c r="I15" s="21">
        <v>25088</v>
      </c>
      <c r="J15" s="21">
        <v>24675</v>
      </c>
      <c r="K15" s="21">
        <v>65</v>
      </c>
      <c r="L15" t="s">
        <v>38</v>
      </c>
      <c r="M15" t="s">
        <v>19</v>
      </c>
    </row>
    <row r="16" spans="1:17">
      <c r="A16" t="s">
        <v>68</v>
      </c>
      <c r="B16" t="s">
        <v>55</v>
      </c>
      <c r="C16" s="1">
        <v>45494</v>
      </c>
      <c r="D16" t="s">
        <v>36</v>
      </c>
      <c r="E16" t="s">
        <v>69</v>
      </c>
      <c r="F16" s="21">
        <v>1946</v>
      </c>
      <c r="G16" s="21">
        <v>686</v>
      </c>
      <c r="H16" s="21">
        <v>377</v>
      </c>
      <c r="I16" s="21">
        <v>23352</v>
      </c>
      <c r="J16" s="21">
        <v>22982</v>
      </c>
      <c r="K16" s="21">
        <v>213</v>
      </c>
      <c r="L16" t="s">
        <v>38</v>
      </c>
      <c r="M16" t="s">
        <v>15</v>
      </c>
    </row>
    <row r="17" spans="1:13">
      <c r="A17" t="s">
        <v>70</v>
      </c>
      <c r="B17" t="s">
        <v>46</v>
      </c>
      <c r="C17" s="1">
        <v>45614</v>
      </c>
      <c r="D17" t="s">
        <v>56</v>
      </c>
      <c r="E17" t="s">
        <v>71</v>
      </c>
      <c r="F17" s="21">
        <v>1171</v>
      </c>
      <c r="G17" s="21">
        <v>286</v>
      </c>
      <c r="H17" s="21">
        <v>231</v>
      </c>
      <c r="I17" s="21">
        <v>22249</v>
      </c>
      <c r="J17" s="21">
        <v>21282</v>
      </c>
      <c r="K17" s="21">
        <v>114</v>
      </c>
      <c r="L17" t="s">
        <v>52</v>
      </c>
      <c r="M17" t="s">
        <v>7</v>
      </c>
    </row>
    <row r="18" spans="1:13">
      <c r="A18" t="s">
        <v>72</v>
      </c>
      <c r="B18" t="s">
        <v>55</v>
      </c>
      <c r="C18" s="1">
        <v>45704</v>
      </c>
      <c r="D18" t="s">
        <v>50</v>
      </c>
      <c r="E18" t="s">
        <v>73</v>
      </c>
      <c r="F18" s="21">
        <v>4242</v>
      </c>
      <c r="G18" s="21">
        <v>555</v>
      </c>
      <c r="H18" s="21">
        <v>131</v>
      </c>
      <c r="I18" s="21">
        <v>33936</v>
      </c>
      <c r="J18" s="21">
        <v>33802</v>
      </c>
      <c r="K18" s="21">
        <v>265</v>
      </c>
      <c r="L18" t="s">
        <v>38</v>
      </c>
    </row>
    <row r="19" spans="1:13">
      <c r="A19" t="s">
        <v>74</v>
      </c>
      <c r="B19" t="s">
        <v>55</v>
      </c>
      <c r="C19" s="1">
        <v>45589</v>
      </c>
      <c r="D19" t="s">
        <v>75</v>
      </c>
      <c r="E19" t="s">
        <v>76</v>
      </c>
      <c r="F19" s="21">
        <v>3888</v>
      </c>
      <c r="G19" s="21">
        <v>604</v>
      </c>
      <c r="H19" s="21">
        <v>128</v>
      </c>
      <c r="I19" s="21">
        <v>77760</v>
      </c>
      <c r="J19" s="21">
        <v>77167</v>
      </c>
      <c r="K19" s="21">
        <v>20</v>
      </c>
      <c r="L19" t="s">
        <v>38</v>
      </c>
      <c r="M19" t="s">
        <v>7</v>
      </c>
    </row>
    <row r="20" spans="1:13">
      <c r="A20" t="s">
        <v>77</v>
      </c>
      <c r="B20" t="s">
        <v>55</v>
      </c>
      <c r="C20" s="1">
        <v>45530</v>
      </c>
      <c r="D20" t="s">
        <v>41</v>
      </c>
      <c r="E20" t="s">
        <v>64</v>
      </c>
      <c r="F20" s="21">
        <v>3452</v>
      </c>
      <c r="G20" s="21">
        <v>377</v>
      </c>
      <c r="H20" s="21">
        <v>360</v>
      </c>
      <c r="I20" s="21">
        <v>55232</v>
      </c>
      <c r="J20" s="21">
        <v>55075</v>
      </c>
      <c r="K20" s="21">
        <v>87</v>
      </c>
      <c r="L20" t="s">
        <v>38</v>
      </c>
      <c r="M20" t="s">
        <v>15</v>
      </c>
    </row>
    <row r="21" spans="1:13">
      <c r="A21" t="s">
        <v>78</v>
      </c>
      <c r="B21" t="s">
        <v>55</v>
      </c>
      <c r="C21" s="1">
        <v>45782</v>
      </c>
      <c r="D21" t="s">
        <v>41</v>
      </c>
      <c r="E21" t="s">
        <v>64</v>
      </c>
      <c r="F21" s="21">
        <v>4441</v>
      </c>
      <c r="G21" s="21">
        <v>511</v>
      </c>
      <c r="H21" s="21">
        <v>70</v>
      </c>
      <c r="I21" s="21">
        <v>53292</v>
      </c>
      <c r="J21" s="21">
        <v>53082</v>
      </c>
      <c r="K21" s="21">
        <v>159</v>
      </c>
      <c r="L21" t="s">
        <v>52</v>
      </c>
      <c r="M21" t="s">
        <v>19</v>
      </c>
    </row>
    <row r="22" spans="1:13">
      <c r="A22" t="s">
        <v>79</v>
      </c>
      <c r="B22" t="s">
        <v>49</v>
      </c>
      <c r="C22" s="1">
        <v>45523</v>
      </c>
      <c r="D22" t="s">
        <v>36</v>
      </c>
      <c r="E22" t="s">
        <v>80</v>
      </c>
      <c r="F22" s="21">
        <v>3000</v>
      </c>
      <c r="G22" s="21">
        <v>382</v>
      </c>
      <c r="H22" s="21">
        <v>325</v>
      </c>
      <c r="I22" s="21">
        <v>36000</v>
      </c>
      <c r="J22" s="21">
        <v>35819</v>
      </c>
      <c r="K22" s="21">
        <v>19</v>
      </c>
      <c r="L22" t="s">
        <v>38</v>
      </c>
      <c r="M22" t="s">
        <v>7</v>
      </c>
    </row>
    <row r="23" spans="1:13">
      <c r="A23" t="s">
        <v>81</v>
      </c>
      <c r="B23" t="s">
        <v>49</v>
      </c>
      <c r="C23" s="1">
        <v>45466</v>
      </c>
      <c r="D23" t="s">
        <v>75</v>
      </c>
      <c r="E23" t="s">
        <v>82</v>
      </c>
      <c r="F23" s="21">
        <v>1071</v>
      </c>
      <c r="G23" s="21">
        <v>519</v>
      </c>
      <c r="H23" s="21">
        <v>22</v>
      </c>
      <c r="I23" s="21">
        <v>16065</v>
      </c>
      <c r="J23" s="21">
        <v>15865</v>
      </c>
      <c r="K23" s="21">
        <v>103</v>
      </c>
      <c r="L23" t="s">
        <v>43</v>
      </c>
      <c r="M23" t="s">
        <v>19</v>
      </c>
    </row>
    <row r="24" spans="1:13">
      <c r="A24" t="s">
        <v>83</v>
      </c>
      <c r="B24" t="s">
        <v>49</v>
      </c>
      <c r="C24" s="1">
        <v>45544</v>
      </c>
      <c r="D24" t="s">
        <v>56</v>
      </c>
      <c r="E24" t="s">
        <v>84</v>
      </c>
      <c r="F24" s="21">
        <v>4054</v>
      </c>
      <c r="G24" s="21">
        <v>488</v>
      </c>
      <c r="H24" s="21">
        <v>373</v>
      </c>
      <c r="I24" s="21">
        <v>77026</v>
      </c>
      <c r="J24" s="21">
        <v>76881</v>
      </c>
      <c r="K24" s="21">
        <v>25</v>
      </c>
      <c r="L24" t="s">
        <v>43</v>
      </c>
      <c r="M24" t="s">
        <v>7</v>
      </c>
    </row>
    <row r="25" spans="1:13">
      <c r="A25" t="s">
        <v>85</v>
      </c>
      <c r="B25" t="s">
        <v>49</v>
      </c>
      <c r="C25" s="1">
        <v>45661</v>
      </c>
      <c r="D25" t="s">
        <v>36</v>
      </c>
      <c r="E25" t="s">
        <v>80</v>
      </c>
      <c r="F25" s="21">
        <v>4838</v>
      </c>
      <c r="G25" s="21">
        <v>640</v>
      </c>
      <c r="H25" s="21">
        <v>128</v>
      </c>
      <c r="I25" s="21">
        <v>72570</v>
      </c>
      <c r="J25" s="21">
        <v>72396</v>
      </c>
      <c r="K25" s="21">
        <v>83</v>
      </c>
      <c r="L25" t="s">
        <v>38</v>
      </c>
      <c r="M25" t="s">
        <v>19</v>
      </c>
    </row>
    <row r="26" spans="1:13">
      <c r="A26" t="s">
        <v>86</v>
      </c>
      <c r="B26" t="s">
        <v>55</v>
      </c>
      <c r="C26" s="1">
        <v>45715</v>
      </c>
      <c r="D26" t="s">
        <v>41</v>
      </c>
      <c r="E26" t="s">
        <v>64</v>
      </c>
      <c r="F26" s="21">
        <v>1570</v>
      </c>
      <c r="G26" s="21">
        <v>187</v>
      </c>
      <c r="H26" s="21">
        <v>260</v>
      </c>
      <c r="I26" s="21">
        <v>25120</v>
      </c>
      <c r="J26" s="21">
        <v>24613</v>
      </c>
      <c r="K26" s="21">
        <v>133</v>
      </c>
      <c r="L26" t="s">
        <v>43</v>
      </c>
      <c r="M26" t="s">
        <v>19</v>
      </c>
    </row>
    <row r="27" spans="1:13">
      <c r="A27" t="s">
        <v>87</v>
      </c>
      <c r="B27" t="s">
        <v>55</v>
      </c>
      <c r="C27" s="1">
        <v>45602</v>
      </c>
      <c r="D27" t="s">
        <v>75</v>
      </c>
      <c r="E27" t="s">
        <v>76</v>
      </c>
      <c r="F27" s="21">
        <v>1606</v>
      </c>
      <c r="G27" s="21">
        <v>547</v>
      </c>
      <c r="H27" s="21">
        <v>316</v>
      </c>
      <c r="I27" s="21">
        <v>32120</v>
      </c>
      <c r="J27" s="21">
        <v>31736</v>
      </c>
      <c r="K27" s="21">
        <v>225</v>
      </c>
      <c r="L27" t="s">
        <v>43</v>
      </c>
      <c r="M27" t="s">
        <v>11</v>
      </c>
    </row>
    <row r="28" spans="1:13">
      <c r="A28" t="s">
        <v>87</v>
      </c>
      <c r="B28" t="s">
        <v>55</v>
      </c>
      <c r="C28" s="1">
        <v>45602</v>
      </c>
      <c r="D28" t="s">
        <v>75</v>
      </c>
      <c r="E28" t="s">
        <v>76</v>
      </c>
      <c r="F28" s="21">
        <v>1606</v>
      </c>
      <c r="G28" s="21">
        <v>547</v>
      </c>
      <c r="H28" s="21">
        <v>316</v>
      </c>
      <c r="I28" s="21">
        <v>32120</v>
      </c>
      <c r="J28" s="21">
        <v>31736</v>
      </c>
      <c r="K28" s="21">
        <v>225</v>
      </c>
      <c r="L28" t="s">
        <v>39</v>
      </c>
      <c r="M28" t="s">
        <v>11</v>
      </c>
    </row>
    <row r="29" spans="1:13">
      <c r="A29" t="s">
        <v>88</v>
      </c>
      <c r="B29" t="s">
        <v>55</v>
      </c>
      <c r="C29" s="1">
        <v>45680</v>
      </c>
      <c r="D29" t="s">
        <v>75</v>
      </c>
      <c r="E29" t="s">
        <v>76</v>
      </c>
      <c r="F29" s="21">
        <v>3961</v>
      </c>
      <c r="G29" s="21">
        <v>761</v>
      </c>
      <c r="H29" s="21">
        <v>131</v>
      </c>
      <c r="I29" s="21">
        <v>67337</v>
      </c>
      <c r="J29" s="21">
        <v>66615</v>
      </c>
      <c r="K29" s="21">
        <v>161</v>
      </c>
      <c r="L29" t="s">
        <v>38</v>
      </c>
      <c r="M29" t="s">
        <v>15</v>
      </c>
    </row>
    <row r="30" spans="1:13">
      <c r="A30" t="s">
        <v>89</v>
      </c>
      <c r="B30" t="s">
        <v>35</v>
      </c>
      <c r="C30" s="1">
        <v>45757</v>
      </c>
      <c r="D30" t="s">
        <v>56</v>
      </c>
      <c r="E30" t="s">
        <v>59</v>
      </c>
      <c r="F30" s="21">
        <v>3128</v>
      </c>
      <c r="G30" s="21">
        <v>211</v>
      </c>
      <c r="H30" s="21">
        <v>197</v>
      </c>
      <c r="I30" s="21">
        <v>59432</v>
      </c>
      <c r="J30" s="21">
        <v>59182</v>
      </c>
      <c r="K30" s="21">
        <v>238</v>
      </c>
      <c r="L30" t="s">
        <v>52</v>
      </c>
    </row>
    <row r="31" spans="1:13">
      <c r="A31" t="s">
        <v>90</v>
      </c>
      <c r="B31" t="s">
        <v>46</v>
      </c>
      <c r="C31" s="1">
        <v>45752</v>
      </c>
      <c r="D31" t="s">
        <v>36</v>
      </c>
      <c r="E31" t="s">
        <v>47</v>
      </c>
      <c r="F31" s="21">
        <v>3009</v>
      </c>
      <c r="G31" s="21">
        <v>413</v>
      </c>
      <c r="H31" s="21">
        <v>358</v>
      </c>
      <c r="I31" s="21">
        <v>42126</v>
      </c>
      <c r="J31" s="21">
        <v>41309</v>
      </c>
      <c r="K31" s="21">
        <v>211</v>
      </c>
      <c r="L31" t="s">
        <v>38</v>
      </c>
      <c r="M31" t="s">
        <v>11</v>
      </c>
    </row>
    <row r="32" spans="1:13">
      <c r="A32" t="s">
        <v>91</v>
      </c>
      <c r="B32" t="s">
        <v>46</v>
      </c>
      <c r="C32" s="1">
        <v>45552</v>
      </c>
      <c r="D32" t="s">
        <v>41</v>
      </c>
      <c r="E32" t="s">
        <v>92</v>
      </c>
      <c r="F32" s="21">
        <v>2076</v>
      </c>
      <c r="G32" s="21">
        <v>195</v>
      </c>
      <c r="H32" s="21">
        <v>104</v>
      </c>
      <c r="I32" s="21">
        <v>33216</v>
      </c>
      <c r="J32" s="21">
        <v>32244</v>
      </c>
      <c r="K32" s="21">
        <v>51</v>
      </c>
      <c r="L32" t="s">
        <v>38</v>
      </c>
      <c r="M32" t="s">
        <v>19</v>
      </c>
    </row>
    <row r="33" spans="1:13">
      <c r="A33" t="s">
        <v>93</v>
      </c>
      <c r="B33" t="s">
        <v>49</v>
      </c>
      <c r="C33" s="1">
        <v>45720</v>
      </c>
      <c r="D33" t="s">
        <v>75</v>
      </c>
      <c r="E33" t="s">
        <v>82</v>
      </c>
      <c r="F33" s="21">
        <v>432</v>
      </c>
      <c r="G33" s="21">
        <v>624</v>
      </c>
      <c r="H33" s="21">
        <v>123</v>
      </c>
      <c r="I33" s="21">
        <v>6912</v>
      </c>
      <c r="J33" s="21">
        <v>6259</v>
      </c>
      <c r="K33" s="21">
        <v>79</v>
      </c>
      <c r="L33" t="s">
        <v>38</v>
      </c>
      <c r="M33" t="s">
        <v>19</v>
      </c>
    </row>
    <row r="34" spans="1:13">
      <c r="A34" t="s">
        <v>94</v>
      </c>
      <c r="B34" t="s">
        <v>49</v>
      </c>
      <c r="C34" s="1">
        <v>45688</v>
      </c>
      <c r="D34" t="s">
        <v>56</v>
      </c>
      <c r="E34" t="s">
        <v>84</v>
      </c>
      <c r="F34" s="21">
        <v>2566</v>
      </c>
      <c r="G34" s="21">
        <v>118</v>
      </c>
      <c r="H34" s="21">
        <v>37</v>
      </c>
      <c r="I34" s="21">
        <v>12830</v>
      </c>
      <c r="J34" s="21">
        <v>12264</v>
      </c>
      <c r="K34" s="21">
        <v>221</v>
      </c>
      <c r="L34" t="s">
        <v>38</v>
      </c>
      <c r="M34" t="s">
        <v>15</v>
      </c>
    </row>
    <row r="35" spans="1:13">
      <c r="A35" t="s">
        <v>95</v>
      </c>
      <c r="B35" t="s">
        <v>49</v>
      </c>
      <c r="C35" s="1">
        <v>45713</v>
      </c>
      <c r="D35" t="s">
        <v>75</v>
      </c>
      <c r="E35" t="s">
        <v>82</v>
      </c>
      <c r="F35" s="21">
        <v>3095</v>
      </c>
      <c r="G35" s="21">
        <v>39</v>
      </c>
      <c r="H35" s="21">
        <v>78</v>
      </c>
      <c r="I35" s="21">
        <v>55710</v>
      </c>
      <c r="J35" s="21">
        <v>54808</v>
      </c>
      <c r="K35" s="21">
        <v>93</v>
      </c>
      <c r="L35" t="s">
        <v>52</v>
      </c>
    </row>
    <row r="36" spans="1:13">
      <c r="A36" t="s">
        <v>96</v>
      </c>
      <c r="B36" t="s">
        <v>49</v>
      </c>
      <c r="C36" s="1">
        <v>45642</v>
      </c>
      <c r="D36" t="s">
        <v>41</v>
      </c>
      <c r="E36" t="s">
        <v>97</v>
      </c>
      <c r="F36" s="21">
        <v>438</v>
      </c>
      <c r="G36" s="21">
        <v>153</v>
      </c>
      <c r="H36" s="21">
        <v>275</v>
      </c>
      <c r="I36" s="21">
        <v>3066</v>
      </c>
      <c r="J36" s="21">
        <v>2701</v>
      </c>
      <c r="K36" s="21">
        <v>282</v>
      </c>
      <c r="L36" t="s">
        <v>43</v>
      </c>
      <c r="M36" t="s">
        <v>11</v>
      </c>
    </row>
    <row r="37" spans="1:13">
      <c r="A37" t="s">
        <v>98</v>
      </c>
      <c r="B37" t="s">
        <v>35</v>
      </c>
      <c r="C37" s="1">
        <v>45504</v>
      </c>
      <c r="D37" t="s">
        <v>56</v>
      </c>
      <c r="E37" t="s">
        <v>59</v>
      </c>
      <c r="F37" s="21">
        <v>2278</v>
      </c>
      <c r="G37" s="21">
        <v>10</v>
      </c>
      <c r="H37" s="21">
        <v>321</v>
      </c>
      <c r="I37" s="21">
        <v>13668</v>
      </c>
      <c r="J37" s="21">
        <v>12676</v>
      </c>
      <c r="K37" s="21">
        <v>275</v>
      </c>
      <c r="L37" t="s">
        <v>52</v>
      </c>
      <c r="M37" t="s">
        <v>7</v>
      </c>
    </row>
    <row r="38" spans="1:13">
      <c r="A38" t="s">
        <v>99</v>
      </c>
      <c r="B38" t="s">
        <v>55</v>
      </c>
      <c r="C38" s="1">
        <v>45525</v>
      </c>
      <c r="D38" t="s">
        <v>61</v>
      </c>
      <c r="E38" t="s">
        <v>66</v>
      </c>
      <c r="F38" s="21">
        <v>1407</v>
      </c>
      <c r="G38" s="21">
        <v>400</v>
      </c>
      <c r="H38" s="21">
        <v>351</v>
      </c>
      <c r="I38" s="21">
        <v>16884</v>
      </c>
      <c r="J38" s="21">
        <v>15954</v>
      </c>
      <c r="K38" s="21">
        <v>113</v>
      </c>
      <c r="L38" t="s">
        <v>43</v>
      </c>
      <c r="M38" t="s">
        <v>7</v>
      </c>
    </row>
    <row r="39" spans="1:13">
      <c r="A39" t="s">
        <v>100</v>
      </c>
      <c r="B39" t="s">
        <v>55</v>
      </c>
      <c r="C39" s="1">
        <v>45742</v>
      </c>
      <c r="D39" t="s">
        <v>41</v>
      </c>
      <c r="E39" t="s">
        <v>64</v>
      </c>
      <c r="F39" s="21">
        <v>1652</v>
      </c>
      <c r="G39" s="21">
        <v>89</v>
      </c>
      <c r="H39" s="21">
        <v>357</v>
      </c>
      <c r="I39" s="21">
        <v>29736</v>
      </c>
      <c r="J39" s="21">
        <v>28771</v>
      </c>
      <c r="K39" s="21">
        <v>215</v>
      </c>
      <c r="L39" t="s">
        <v>43</v>
      </c>
      <c r="M39" t="s">
        <v>15</v>
      </c>
    </row>
    <row r="40" spans="1:13">
      <c r="A40" t="s">
        <v>101</v>
      </c>
      <c r="B40" t="s">
        <v>49</v>
      </c>
      <c r="C40" s="1">
        <v>45626</v>
      </c>
      <c r="D40" t="s">
        <v>75</v>
      </c>
      <c r="E40" t="s">
        <v>82</v>
      </c>
      <c r="F40" s="21">
        <v>3775</v>
      </c>
      <c r="G40" s="21">
        <v>16</v>
      </c>
      <c r="H40" s="21">
        <v>239</v>
      </c>
      <c r="I40" s="21">
        <v>33975</v>
      </c>
      <c r="J40" s="21">
        <v>33310</v>
      </c>
      <c r="K40" s="21">
        <v>271</v>
      </c>
      <c r="L40" t="s">
        <v>38</v>
      </c>
      <c r="M40" t="s">
        <v>11</v>
      </c>
    </row>
    <row r="41" spans="1:13">
      <c r="A41" t="s">
        <v>102</v>
      </c>
      <c r="B41" t="s">
        <v>49</v>
      </c>
      <c r="C41" s="1">
        <v>45766</v>
      </c>
      <c r="D41" t="s">
        <v>50</v>
      </c>
      <c r="E41" t="s">
        <v>51</v>
      </c>
      <c r="F41" s="21">
        <v>4518</v>
      </c>
      <c r="G41" s="21">
        <v>285</v>
      </c>
      <c r="H41" s="21">
        <v>383</v>
      </c>
      <c r="I41" s="21">
        <v>67770</v>
      </c>
      <c r="J41" s="21">
        <v>67621</v>
      </c>
      <c r="K41" s="21">
        <v>31</v>
      </c>
      <c r="L41" t="s">
        <v>52</v>
      </c>
      <c r="M41" t="s">
        <v>11</v>
      </c>
    </row>
    <row r="42" spans="1:13">
      <c r="A42" t="s">
        <v>103</v>
      </c>
      <c r="B42" t="s">
        <v>55</v>
      </c>
      <c r="C42" s="1">
        <v>45663</v>
      </c>
      <c r="D42" t="s">
        <v>56</v>
      </c>
      <c r="E42" t="s">
        <v>57</v>
      </c>
      <c r="F42" s="21">
        <v>3024</v>
      </c>
      <c r="G42" s="21">
        <v>925</v>
      </c>
      <c r="H42" s="21">
        <v>350</v>
      </c>
      <c r="I42" s="21">
        <v>24192</v>
      </c>
      <c r="J42" s="21">
        <v>23518</v>
      </c>
      <c r="K42" s="21">
        <v>36</v>
      </c>
      <c r="L42" t="s">
        <v>52</v>
      </c>
      <c r="M42" t="s">
        <v>11</v>
      </c>
    </row>
    <row r="43" spans="1:13">
      <c r="A43" t="s">
        <v>104</v>
      </c>
      <c r="B43" t="s">
        <v>46</v>
      </c>
      <c r="C43" s="1">
        <v>45705</v>
      </c>
      <c r="D43" t="s">
        <v>36</v>
      </c>
      <c r="E43" t="s">
        <v>47</v>
      </c>
      <c r="F43" s="21">
        <v>3138</v>
      </c>
      <c r="G43" s="21">
        <v>123</v>
      </c>
      <c r="H43" s="21">
        <v>291</v>
      </c>
      <c r="I43" s="21">
        <v>28242</v>
      </c>
      <c r="J43" s="21">
        <v>27550</v>
      </c>
      <c r="K43" s="21">
        <v>87</v>
      </c>
      <c r="L43" t="s">
        <v>43</v>
      </c>
      <c r="M43" t="s">
        <v>19</v>
      </c>
    </row>
    <row r="44" spans="1:13">
      <c r="A44" t="s">
        <v>105</v>
      </c>
      <c r="B44" t="s">
        <v>55</v>
      </c>
      <c r="C44" s="1">
        <v>45621</v>
      </c>
      <c r="D44" t="s">
        <v>61</v>
      </c>
      <c r="E44" t="s">
        <v>66</v>
      </c>
      <c r="F44" s="21">
        <v>3564</v>
      </c>
      <c r="G44" s="21">
        <v>629</v>
      </c>
      <c r="H44" s="21">
        <v>177</v>
      </c>
      <c r="I44" s="21">
        <v>60588</v>
      </c>
      <c r="J44" s="21">
        <v>59627</v>
      </c>
      <c r="K44" s="21">
        <v>92</v>
      </c>
      <c r="L44" t="s">
        <v>43</v>
      </c>
    </row>
    <row r="45" spans="1:13">
      <c r="A45" t="s">
        <v>106</v>
      </c>
      <c r="B45" t="s">
        <v>35</v>
      </c>
      <c r="C45" s="1">
        <v>45723</v>
      </c>
      <c r="D45" t="s">
        <v>61</v>
      </c>
      <c r="E45" t="s">
        <v>107</v>
      </c>
      <c r="F45" s="21">
        <v>4750</v>
      </c>
      <c r="G45" s="21">
        <v>151</v>
      </c>
      <c r="H45" s="21">
        <v>415</v>
      </c>
      <c r="I45" s="21">
        <v>38000</v>
      </c>
      <c r="J45" s="21">
        <v>37792</v>
      </c>
      <c r="K45" s="21">
        <v>299</v>
      </c>
      <c r="L45" t="s">
        <v>52</v>
      </c>
      <c r="M45" t="s">
        <v>19</v>
      </c>
    </row>
    <row r="46" spans="1:13">
      <c r="A46" t="s">
        <v>108</v>
      </c>
      <c r="B46" t="s">
        <v>49</v>
      </c>
      <c r="C46" s="1">
        <v>45724</v>
      </c>
      <c r="D46" t="s">
        <v>36</v>
      </c>
      <c r="E46" t="s">
        <v>80</v>
      </c>
      <c r="F46" s="21">
        <v>456</v>
      </c>
      <c r="G46" s="21">
        <v>629</v>
      </c>
      <c r="H46" s="21">
        <v>428</v>
      </c>
      <c r="I46" s="21">
        <v>8208</v>
      </c>
      <c r="J46" s="21">
        <v>7377</v>
      </c>
      <c r="K46" s="21">
        <v>205</v>
      </c>
      <c r="L46" t="s">
        <v>38</v>
      </c>
      <c r="M46" t="s">
        <v>19</v>
      </c>
    </row>
    <row r="47" spans="1:13">
      <c r="A47" t="s">
        <v>109</v>
      </c>
      <c r="B47" t="s">
        <v>46</v>
      </c>
      <c r="C47" s="1">
        <v>45721</v>
      </c>
      <c r="D47" t="s">
        <v>36</v>
      </c>
      <c r="E47" t="s">
        <v>47</v>
      </c>
      <c r="F47" s="21">
        <v>1543</v>
      </c>
      <c r="G47" s="21">
        <v>820</v>
      </c>
      <c r="H47" s="21">
        <v>333</v>
      </c>
      <c r="I47" s="21">
        <v>12344</v>
      </c>
      <c r="J47" s="21">
        <v>11496</v>
      </c>
      <c r="K47" s="21">
        <v>241</v>
      </c>
      <c r="L47" t="s">
        <v>52</v>
      </c>
    </row>
    <row r="48" spans="1:13">
      <c r="A48" t="s">
        <v>110</v>
      </c>
      <c r="B48" t="s">
        <v>49</v>
      </c>
      <c r="C48" s="1">
        <v>45640</v>
      </c>
      <c r="D48" t="s">
        <v>56</v>
      </c>
      <c r="E48" t="s">
        <v>84</v>
      </c>
      <c r="F48" s="21">
        <v>2174</v>
      </c>
      <c r="G48" s="21">
        <v>658</v>
      </c>
      <c r="H48" s="21">
        <v>15</v>
      </c>
      <c r="I48" s="21">
        <v>13044</v>
      </c>
      <c r="J48" s="21">
        <v>12206</v>
      </c>
      <c r="K48" s="21">
        <v>137</v>
      </c>
      <c r="L48" t="s">
        <v>43</v>
      </c>
      <c r="M48" t="s">
        <v>15</v>
      </c>
    </row>
    <row r="49" spans="1:13">
      <c r="A49" t="s">
        <v>111</v>
      </c>
      <c r="B49" t="s">
        <v>35</v>
      </c>
      <c r="C49" s="1">
        <v>45718</v>
      </c>
      <c r="D49" t="s">
        <v>61</v>
      </c>
      <c r="E49" t="s">
        <v>107</v>
      </c>
      <c r="F49" s="21">
        <v>2358</v>
      </c>
      <c r="G49" s="21">
        <v>784</v>
      </c>
      <c r="H49" s="21">
        <v>344</v>
      </c>
      <c r="I49" s="21">
        <v>35370</v>
      </c>
      <c r="J49" s="21">
        <v>34475</v>
      </c>
      <c r="K49" s="21">
        <v>216</v>
      </c>
      <c r="L49" t="s">
        <v>43</v>
      </c>
    </row>
    <row r="50" spans="1:13">
      <c r="A50" t="s">
        <v>112</v>
      </c>
      <c r="B50" t="s">
        <v>55</v>
      </c>
      <c r="C50" s="1">
        <v>45597</v>
      </c>
      <c r="D50" t="s">
        <v>75</v>
      </c>
      <c r="E50" t="s">
        <v>76</v>
      </c>
      <c r="F50" s="21">
        <v>3371</v>
      </c>
      <c r="G50" s="21">
        <v>106</v>
      </c>
      <c r="H50" s="21">
        <v>327</v>
      </c>
      <c r="I50" s="21">
        <v>50565</v>
      </c>
      <c r="J50" s="21">
        <v>49816</v>
      </c>
      <c r="K50" s="21">
        <v>176</v>
      </c>
      <c r="L50" t="s">
        <v>38</v>
      </c>
      <c r="M50" t="s">
        <v>7</v>
      </c>
    </row>
    <row r="51" spans="1:13">
      <c r="A51" t="s">
        <v>113</v>
      </c>
      <c r="B51" t="s">
        <v>35</v>
      </c>
      <c r="C51" s="1">
        <v>45779</v>
      </c>
      <c r="D51" t="s">
        <v>75</v>
      </c>
      <c r="E51" t="s">
        <v>114</v>
      </c>
      <c r="F51" s="21">
        <v>1108</v>
      </c>
      <c r="G51" s="21">
        <v>177</v>
      </c>
      <c r="H51" s="21">
        <v>212</v>
      </c>
      <c r="I51" s="21">
        <v>8864</v>
      </c>
      <c r="J51" s="21">
        <v>8710</v>
      </c>
      <c r="K51" s="21">
        <v>97</v>
      </c>
      <c r="L51" t="s">
        <v>43</v>
      </c>
      <c r="M51" t="s">
        <v>19</v>
      </c>
    </row>
    <row r="52" spans="1:13">
      <c r="A52" t="s">
        <v>115</v>
      </c>
      <c r="B52" t="s">
        <v>35</v>
      </c>
      <c r="C52" s="1">
        <v>45712</v>
      </c>
      <c r="D52" t="s">
        <v>56</v>
      </c>
      <c r="E52" t="s">
        <v>59</v>
      </c>
      <c r="F52" s="21">
        <v>2704</v>
      </c>
      <c r="G52" s="21">
        <v>752</v>
      </c>
      <c r="H52" s="21">
        <v>153</v>
      </c>
      <c r="I52" s="21">
        <v>21632</v>
      </c>
      <c r="J52" s="21">
        <v>20792</v>
      </c>
      <c r="K52" s="21">
        <v>127</v>
      </c>
      <c r="L52" t="s">
        <v>38</v>
      </c>
    </row>
    <row r="53" spans="1:13">
      <c r="A53" t="s">
        <v>116</v>
      </c>
      <c r="B53" t="s">
        <v>35</v>
      </c>
      <c r="C53" s="1">
        <v>45727</v>
      </c>
      <c r="D53" t="s">
        <v>50</v>
      </c>
      <c r="E53" t="s">
        <v>117</v>
      </c>
      <c r="F53" s="21">
        <v>1950</v>
      </c>
      <c r="G53" s="21">
        <v>295</v>
      </c>
      <c r="H53" s="21">
        <v>478</v>
      </c>
      <c r="I53" s="21">
        <v>37050</v>
      </c>
      <c r="J53" s="21">
        <v>36272</v>
      </c>
      <c r="K53" s="21">
        <v>119</v>
      </c>
      <c r="L53" t="s">
        <v>43</v>
      </c>
    </row>
    <row r="54" spans="1:13">
      <c r="A54" t="s">
        <v>118</v>
      </c>
      <c r="B54" t="s">
        <v>35</v>
      </c>
      <c r="C54" s="1">
        <v>45453</v>
      </c>
      <c r="D54" t="s">
        <v>50</v>
      </c>
      <c r="E54" t="s">
        <v>117</v>
      </c>
      <c r="F54" s="21">
        <v>2164</v>
      </c>
      <c r="G54" s="21">
        <v>549</v>
      </c>
      <c r="H54" s="21">
        <v>274</v>
      </c>
      <c r="I54" s="21">
        <v>28132</v>
      </c>
      <c r="J54" s="21">
        <v>27361</v>
      </c>
      <c r="K54" s="21">
        <v>177</v>
      </c>
      <c r="L54" t="s">
        <v>43</v>
      </c>
      <c r="M54" t="s">
        <v>19</v>
      </c>
    </row>
    <row r="55" spans="1:13">
      <c r="A55" t="s">
        <v>119</v>
      </c>
      <c r="B55" t="s">
        <v>46</v>
      </c>
      <c r="C55" s="1">
        <v>45476</v>
      </c>
      <c r="D55" t="s">
        <v>50</v>
      </c>
      <c r="E55" t="s">
        <v>120</v>
      </c>
      <c r="F55" s="21">
        <v>2754</v>
      </c>
      <c r="G55" s="21">
        <v>130</v>
      </c>
      <c r="H55" s="21">
        <v>90</v>
      </c>
      <c r="I55" s="21">
        <v>22032</v>
      </c>
      <c r="J55" s="21">
        <v>21288</v>
      </c>
      <c r="K55" s="21">
        <v>112</v>
      </c>
      <c r="L55" t="s">
        <v>43</v>
      </c>
      <c r="M55" t="s">
        <v>15</v>
      </c>
    </row>
    <row r="56" spans="1:13">
      <c r="A56" t="s">
        <v>121</v>
      </c>
      <c r="B56" t="s">
        <v>55</v>
      </c>
      <c r="C56" s="1">
        <v>45456</v>
      </c>
      <c r="D56" t="s">
        <v>56</v>
      </c>
      <c r="E56" t="s">
        <v>57</v>
      </c>
      <c r="F56" s="21">
        <v>2200</v>
      </c>
      <c r="G56" s="21">
        <v>504</v>
      </c>
      <c r="H56" s="21">
        <v>239</v>
      </c>
      <c r="I56" s="21">
        <v>37400</v>
      </c>
      <c r="J56" s="21">
        <v>36938</v>
      </c>
      <c r="K56" s="21">
        <v>225</v>
      </c>
      <c r="L56" t="s">
        <v>38</v>
      </c>
      <c r="M56" t="s">
        <v>11</v>
      </c>
    </row>
    <row r="57" spans="1:13">
      <c r="A57" t="s">
        <v>122</v>
      </c>
      <c r="B57" t="s">
        <v>55</v>
      </c>
      <c r="C57" s="1">
        <v>45660</v>
      </c>
      <c r="D57" t="s">
        <v>61</v>
      </c>
      <c r="E57" t="s">
        <v>66</v>
      </c>
      <c r="F57" s="21">
        <v>947</v>
      </c>
      <c r="G57" s="21">
        <v>338</v>
      </c>
      <c r="H57" s="21">
        <v>350</v>
      </c>
      <c r="I57" s="21">
        <v>10417</v>
      </c>
      <c r="J57" s="21">
        <v>9730</v>
      </c>
      <c r="K57" s="21">
        <v>34</v>
      </c>
      <c r="L57" t="s">
        <v>43</v>
      </c>
      <c r="M57" t="s">
        <v>19</v>
      </c>
    </row>
    <row r="58" spans="1:13">
      <c r="A58" t="s">
        <v>123</v>
      </c>
      <c r="B58" t="s">
        <v>46</v>
      </c>
      <c r="C58" s="1">
        <v>45712</v>
      </c>
      <c r="D58" t="s">
        <v>56</v>
      </c>
      <c r="E58" t="s">
        <v>71</v>
      </c>
      <c r="F58" s="21">
        <v>804</v>
      </c>
      <c r="G58" s="21">
        <v>639</v>
      </c>
      <c r="H58" s="21">
        <v>43</v>
      </c>
      <c r="I58" s="21">
        <v>4020</v>
      </c>
      <c r="J58" s="21">
        <v>3144</v>
      </c>
      <c r="K58" s="21">
        <v>11</v>
      </c>
      <c r="L58" t="s">
        <v>52</v>
      </c>
    </row>
    <row r="59" spans="1:13">
      <c r="A59" t="s">
        <v>123</v>
      </c>
      <c r="B59" t="s">
        <v>46</v>
      </c>
      <c r="C59" s="1">
        <v>45712</v>
      </c>
      <c r="D59" t="s">
        <v>56</v>
      </c>
      <c r="E59" t="s">
        <v>71</v>
      </c>
      <c r="F59" s="21">
        <v>804</v>
      </c>
      <c r="G59" s="21">
        <v>639</v>
      </c>
      <c r="H59" s="21">
        <v>43</v>
      </c>
      <c r="I59" s="21">
        <v>4020</v>
      </c>
      <c r="J59" s="21">
        <v>3144</v>
      </c>
      <c r="K59" s="21">
        <v>11</v>
      </c>
      <c r="L59" t="s">
        <v>44</v>
      </c>
    </row>
    <row r="60" spans="1:13">
      <c r="A60" t="s">
        <v>124</v>
      </c>
      <c r="B60" t="s">
        <v>46</v>
      </c>
      <c r="C60" s="1">
        <v>45729</v>
      </c>
      <c r="D60" t="s">
        <v>56</v>
      </c>
      <c r="E60" t="s">
        <v>71</v>
      </c>
      <c r="F60" s="21">
        <v>1686</v>
      </c>
      <c r="G60" s="21">
        <v>904</v>
      </c>
      <c r="H60" s="21">
        <v>472</v>
      </c>
      <c r="I60" s="21">
        <v>18546</v>
      </c>
      <c r="J60" s="21">
        <v>18171</v>
      </c>
      <c r="K60" s="21">
        <v>52</v>
      </c>
      <c r="L60" t="s">
        <v>38</v>
      </c>
      <c r="M60" t="s">
        <v>11</v>
      </c>
    </row>
    <row r="61" spans="1:13">
      <c r="A61" t="s">
        <v>125</v>
      </c>
      <c r="B61" t="s">
        <v>55</v>
      </c>
      <c r="C61" s="1">
        <v>45460</v>
      </c>
      <c r="D61" t="s">
        <v>61</v>
      </c>
      <c r="E61" t="s">
        <v>66</v>
      </c>
      <c r="F61" s="21">
        <v>1226</v>
      </c>
      <c r="G61" s="21">
        <v>119</v>
      </c>
      <c r="H61" s="21">
        <v>7</v>
      </c>
      <c r="I61" s="21">
        <v>14712</v>
      </c>
      <c r="J61" s="21">
        <v>14049</v>
      </c>
      <c r="K61" s="21">
        <v>123</v>
      </c>
      <c r="L61" t="s">
        <v>52</v>
      </c>
      <c r="M61" t="s">
        <v>19</v>
      </c>
    </row>
    <row r="62" spans="1:13">
      <c r="A62" t="s">
        <v>126</v>
      </c>
      <c r="B62" t="s">
        <v>55</v>
      </c>
      <c r="C62" s="1">
        <v>45644</v>
      </c>
      <c r="D62" t="s">
        <v>56</v>
      </c>
      <c r="E62" t="s">
        <v>57</v>
      </c>
      <c r="F62" s="21">
        <v>2946</v>
      </c>
      <c r="G62" s="21">
        <v>498</v>
      </c>
      <c r="H62" s="21">
        <v>367</v>
      </c>
      <c r="I62" s="21">
        <v>29460</v>
      </c>
      <c r="J62" s="21">
        <v>28527</v>
      </c>
      <c r="K62" s="21">
        <v>60</v>
      </c>
      <c r="L62" t="s">
        <v>38</v>
      </c>
      <c r="M62" t="s">
        <v>15</v>
      </c>
    </row>
    <row r="63" spans="1:13">
      <c r="A63" t="s">
        <v>127</v>
      </c>
      <c r="B63" t="s">
        <v>35</v>
      </c>
      <c r="C63" s="1">
        <v>45586</v>
      </c>
      <c r="D63" t="s">
        <v>75</v>
      </c>
      <c r="E63" t="s">
        <v>114</v>
      </c>
      <c r="F63" s="21">
        <v>2825</v>
      </c>
      <c r="G63" s="21">
        <v>535</v>
      </c>
      <c r="H63" s="21">
        <v>295</v>
      </c>
      <c r="I63" s="21">
        <v>45200</v>
      </c>
      <c r="J63" s="21">
        <v>44739</v>
      </c>
      <c r="K63" s="21">
        <v>169</v>
      </c>
      <c r="L63" t="s">
        <v>43</v>
      </c>
      <c r="M63" t="s">
        <v>7</v>
      </c>
    </row>
    <row r="64" spans="1:13">
      <c r="A64" t="s">
        <v>128</v>
      </c>
      <c r="B64" t="s">
        <v>49</v>
      </c>
      <c r="C64" s="1">
        <v>45762</v>
      </c>
      <c r="D64" t="s">
        <v>36</v>
      </c>
      <c r="E64" t="s">
        <v>80</v>
      </c>
      <c r="F64" s="21">
        <v>103</v>
      </c>
      <c r="G64" s="21">
        <v>770</v>
      </c>
      <c r="H64" s="21">
        <v>19</v>
      </c>
      <c r="I64" s="21">
        <v>1030</v>
      </c>
      <c r="J64" s="21">
        <v>410</v>
      </c>
      <c r="K64" s="21">
        <v>262</v>
      </c>
      <c r="L64" t="s">
        <v>43</v>
      </c>
      <c r="M64" t="s">
        <v>19</v>
      </c>
    </row>
    <row r="65" spans="1:13">
      <c r="A65" t="s">
        <v>129</v>
      </c>
      <c r="B65" t="s">
        <v>49</v>
      </c>
      <c r="C65" s="1">
        <v>45465</v>
      </c>
      <c r="D65" t="s">
        <v>41</v>
      </c>
      <c r="E65" t="s">
        <v>97</v>
      </c>
      <c r="F65" s="21">
        <v>2180</v>
      </c>
      <c r="G65" s="21">
        <v>263</v>
      </c>
      <c r="H65" s="21">
        <v>387</v>
      </c>
      <c r="I65" s="21">
        <v>30520</v>
      </c>
      <c r="J65" s="21">
        <v>30059</v>
      </c>
      <c r="K65" s="21">
        <v>174</v>
      </c>
      <c r="L65" t="s">
        <v>52</v>
      </c>
    </row>
    <row r="66" spans="1:13">
      <c r="A66" t="s">
        <v>130</v>
      </c>
      <c r="B66" t="s">
        <v>49</v>
      </c>
      <c r="C66" s="1">
        <v>45685</v>
      </c>
      <c r="D66" t="s">
        <v>75</v>
      </c>
      <c r="E66" t="s">
        <v>82</v>
      </c>
      <c r="F66" s="21">
        <v>904</v>
      </c>
      <c r="G66" s="21">
        <v>973</v>
      </c>
      <c r="H66" s="21">
        <v>63</v>
      </c>
      <c r="I66" s="21">
        <v>11752</v>
      </c>
      <c r="J66" s="21">
        <v>11580</v>
      </c>
      <c r="K66" s="21">
        <v>84</v>
      </c>
      <c r="L66" t="s">
        <v>52</v>
      </c>
      <c r="M66" t="s">
        <v>15</v>
      </c>
    </row>
    <row r="67" spans="1:13">
      <c r="A67" t="s">
        <v>130</v>
      </c>
      <c r="B67" t="s">
        <v>49</v>
      </c>
      <c r="C67" s="1">
        <v>45685</v>
      </c>
      <c r="D67" t="s">
        <v>75</v>
      </c>
      <c r="E67" t="s">
        <v>82</v>
      </c>
      <c r="F67" s="21">
        <v>904</v>
      </c>
      <c r="G67" s="21">
        <v>973</v>
      </c>
      <c r="H67" s="21">
        <v>63</v>
      </c>
      <c r="I67" s="21">
        <v>11752</v>
      </c>
      <c r="J67" s="21">
        <v>11580</v>
      </c>
      <c r="K67" s="21">
        <v>84</v>
      </c>
      <c r="L67" t="s">
        <v>43</v>
      </c>
      <c r="M67" t="s">
        <v>15</v>
      </c>
    </row>
    <row r="68" spans="1:13">
      <c r="A68" t="s">
        <v>130</v>
      </c>
      <c r="B68" t="s">
        <v>49</v>
      </c>
      <c r="C68" s="1">
        <v>45685</v>
      </c>
      <c r="D68" t="s">
        <v>75</v>
      </c>
      <c r="E68" t="s">
        <v>82</v>
      </c>
      <c r="F68" s="21">
        <v>904</v>
      </c>
      <c r="G68" s="21">
        <v>973</v>
      </c>
      <c r="H68" s="21">
        <v>63</v>
      </c>
      <c r="I68" s="21">
        <v>11752</v>
      </c>
      <c r="J68" s="21">
        <v>11580</v>
      </c>
      <c r="K68" s="21">
        <v>84</v>
      </c>
      <c r="L68" t="s">
        <v>39</v>
      </c>
      <c r="M68" t="s">
        <v>15</v>
      </c>
    </row>
    <row r="69" spans="1:13">
      <c r="A69" t="s">
        <v>131</v>
      </c>
      <c r="B69" t="s">
        <v>35</v>
      </c>
      <c r="C69" s="1">
        <v>45540</v>
      </c>
      <c r="D69" t="s">
        <v>75</v>
      </c>
      <c r="E69" t="s">
        <v>114</v>
      </c>
      <c r="F69" s="21">
        <v>4886</v>
      </c>
      <c r="G69" s="21">
        <v>983</v>
      </c>
      <c r="H69" s="21">
        <v>409</v>
      </c>
      <c r="I69" s="21">
        <v>43974</v>
      </c>
      <c r="J69" s="21">
        <v>43239</v>
      </c>
      <c r="K69" s="21">
        <v>65</v>
      </c>
      <c r="L69" t="s">
        <v>43</v>
      </c>
      <c r="M69" t="s">
        <v>7</v>
      </c>
    </row>
    <row r="70" spans="1:13">
      <c r="A70" t="s">
        <v>132</v>
      </c>
      <c r="B70" t="s">
        <v>35</v>
      </c>
      <c r="C70" s="1">
        <v>45618</v>
      </c>
      <c r="D70" t="s">
        <v>56</v>
      </c>
      <c r="E70" t="s">
        <v>59</v>
      </c>
      <c r="F70" s="21">
        <v>53</v>
      </c>
      <c r="G70" s="21">
        <v>81</v>
      </c>
      <c r="H70" s="21">
        <v>379</v>
      </c>
      <c r="I70" s="21">
        <v>954</v>
      </c>
      <c r="J70" s="21">
        <v>7</v>
      </c>
      <c r="K70" s="21">
        <v>148</v>
      </c>
      <c r="L70" t="s">
        <v>43</v>
      </c>
      <c r="M70" t="s">
        <v>15</v>
      </c>
    </row>
    <row r="71" spans="1:13">
      <c r="A71" t="s">
        <v>133</v>
      </c>
      <c r="B71" t="s">
        <v>35</v>
      </c>
      <c r="C71" s="1">
        <v>45504</v>
      </c>
      <c r="D71" t="s">
        <v>56</v>
      </c>
      <c r="E71" t="s">
        <v>59</v>
      </c>
      <c r="F71" s="21">
        <v>4507</v>
      </c>
      <c r="G71" s="21">
        <v>217</v>
      </c>
      <c r="H71" s="21">
        <v>13</v>
      </c>
      <c r="I71" s="21">
        <v>90140</v>
      </c>
      <c r="J71" s="21">
        <v>89591</v>
      </c>
      <c r="K71" s="21">
        <v>125</v>
      </c>
      <c r="L71" t="s">
        <v>38</v>
      </c>
      <c r="M71" t="s">
        <v>15</v>
      </c>
    </row>
    <row r="72" spans="1:13">
      <c r="A72" t="s">
        <v>134</v>
      </c>
      <c r="B72" t="s">
        <v>55</v>
      </c>
      <c r="C72" s="1">
        <v>45521</v>
      </c>
      <c r="D72" t="s">
        <v>61</v>
      </c>
      <c r="E72" t="s">
        <v>66</v>
      </c>
      <c r="F72" s="21">
        <v>2878</v>
      </c>
      <c r="G72" s="21">
        <v>248</v>
      </c>
      <c r="H72" s="21">
        <v>416</v>
      </c>
      <c r="I72" s="21">
        <v>43170</v>
      </c>
      <c r="J72" s="21">
        <v>42667</v>
      </c>
      <c r="K72" s="21">
        <v>75</v>
      </c>
      <c r="L72" t="s">
        <v>38</v>
      </c>
      <c r="M72" t="s">
        <v>15</v>
      </c>
    </row>
    <row r="73" spans="1:13">
      <c r="A73" t="s">
        <v>135</v>
      </c>
      <c r="B73" t="s">
        <v>49</v>
      </c>
      <c r="C73" s="1">
        <v>45744</v>
      </c>
      <c r="D73" t="s">
        <v>50</v>
      </c>
      <c r="E73" t="s">
        <v>51</v>
      </c>
      <c r="F73" s="21">
        <v>1881</v>
      </c>
      <c r="G73" s="21">
        <v>501</v>
      </c>
      <c r="H73" s="21">
        <v>99</v>
      </c>
      <c r="I73" s="21">
        <v>20691</v>
      </c>
      <c r="J73" s="21">
        <v>19987</v>
      </c>
      <c r="K73" s="21">
        <v>289</v>
      </c>
      <c r="L73" t="s">
        <v>52</v>
      </c>
    </row>
    <row r="74" spans="1:13">
      <c r="A74" t="s">
        <v>136</v>
      </c>
      <c r="B74" t="s">
        <v>35</v>
      </c>
      <c r="C74" s="1">
        <v>45499</v>
      </c>
      <c r="D74" t="s">
        <v>56</v>
      </c>
      <c r="E74" t="s">
        <v>59</v>
      </c>
      <c r="F74" s="21">
        <v>432</v>
      </c>
      <c r="G74" s="21">
        <v>171</v>
      </c>
      <c r="H74" s="21">
        <v>280</v>
      </c>
      <c r="I74" s="21">
        <v>3024</v>
      </c>
      <c r="J74" s="21">
        <v>2285</v>
      </c>
      <c r="K74" s="21">
        <v>184</v>
      </c>
      <c r="L74" t="s">
        <v>52</v>
      </c>
      <c r="M74" t="s">
        <v>7</v>
      </c>
    </row>
    <row r="75" spans="1:13">
      <c r="A75" t="s">
        <v>137</v>
      </c>
      <c r="B75" t="s">
        <v>55</v>
      </c>
      <c r="C75" s="1">
        <v>45745</v>
      </c>
      <c r="D75" t="s">
        <v>56</v>
      </c>
      <c r="E75" t="s">
        <v>57</v>
      </c>
      <c r="F75" s="21">
        <v>4712</v>
      </c>
      <c r="G75" s="21">
        <v>568</v>
      </c>
      <c r="H75" s="21">
        <v>127</v>
      </c>
      <c r="I75" s="21">
        <v>84816</v>
      </c>
      <c r="J75" s="21">
        <v>84691</v>
      </c>
      <c r="K75" s="21">
        <v>100</v>
      </c>
      <c r="L75" t="s">
        <v>52</v>
      </c>
      <c r="M75" t="s">
        <v>15</v>
      </c>
    </row>
    <row r="76" spans="1:13">
      <c r="A76" t="s">
        <v>138</v>
      </c>
      <c r="B76" t="s">
        <v>49</v>
      </c>
      <c r="C76" s="1">
        <v>45634</v>
      </c>
      <c r="D76" t="s">
        <v>50</v>
      </c>
      <c r="E76" t="s">
        <v>51</v>
      </c>
      <c r="F76" s="21">
        <v>2610</v>
      </c>
      <c r="G76" s="21">
        <v>126</v>
      </c>
      <c r="H76" s="21">
        <v>288</v>
      </c>
      <c r="I76" s="21">
        <v>15660</v>
      </c>
      <c r="J76" s="21">
        <v>15145</v>
      </c>
      <c r="K76" s="21">
        <v>73</v>
      </c>
      <c r="L76" t="s">
        <v>52</v>
      </c>
    </row>
    <row r="77" spans="1:13">
      <c r="A77" t="s">
        <v>139</v>
      </c>
      <c r="B77" t="s">
        <v>35</v>
      </c>
      <c r="C77" s="1">
        <v>45724</v>
      </c>
      <c r="D77" t="s">
        <v>41</v>
      </c>
      <c r="E77" t="s">
        <v>42</v>
      </c>
      <c r="F77" s="21">
        <v>1292</v>
      </c>
      <c r="G77" s="21">
        <v>626</v>
      </c>
      <c r="H77" s="21">
        <v>496</v>
      </c>
      <c r="I77" s="21">
        <v>25840</v>
      </c>
      <c r="J77" s="21">
        <v>24916</v>
      </c>
      <c r="K77" s="21">
        <v>149</v>
      </c>
      <c r="L77" t="s">
        <v>38</v>
      </c>
      <c r="M77" t="s">
        <v>15</v>
      </c>
    </row>
    <row r="78" spans="1:13">
      <c r="A78" t="s">
        <v>140</v>
      </c>
      <c r="B78" t="s">
        <v>55</v>
      </c>
      <c r="C78" s="1">
        <v>45749</v>
      </c>
      <c r="D78" t="s">
        <v>75</v>
      </c>
      <c r="E78" t="s">
        <v>76</v>
      </c>
      <c r="F78" s="21">
        <v>199</v>
      </c>
      <c r="G78" s="21">
        <v>772</v>
      </c>
      <c r="H78" s="21">
        <v>400</v>
      </c>
      <c r="I78" s="21">
        <v>3582</v>
      </c>
      <c r="J78" s="21">
        <v>2988</v>
      </c>
      <c r="K78" s="21">
        <v>43</v>
      </c>
      <c r="L78" t="s">
        <v>43</v>
      </c>
    </row>
    <row r="79" spans="1:13">
      <c r="A79" t="s">
        <v>141</v>
      </c>
      <c r="B79" t="s">
        <v>46</v>
      </c>
      <c r="C79" s="1">
        <v>45537</v>
      </c>
      <c r="D79" t="s">
        <v>56</v>
      </c>
      <c r="E79" t="s">
        <v>71</v>
      </c>
      <c r="F79" s="21">
        <v>2551</v>
      </c>
      <c r="G79" s="21">
        <v>915</v>
      </c>
      <c r="H79" s="21">
        <v>205</v>
      </c>
      <c r="I79" s="21">
        <v>30612</v>
      </c>
      <c r="J79" s="21">
        <v>30360</v>
      </c>
      <c r="K79" s="21">
        <v>227</v>
      </c>
      <c r="L79" t="s">
        <v>43</v>
      </c>
      <c r="M79" t="s">
        <v>11</v>
      </c>
    </row>
    <row r="80" spans="1:13">
      <c r="A80" t="s">
        <v>142</v>
      </c>
      <c r="B80" t="s">
        <v>46</v>
      </c>
      <c r="C80" s="1">
        <v>45719</v>
      </c>
      <c r="D80" t="s">
        <v>36</v>
      </c>
      <c r="E80" t="s">
        <v>47</v>
      </c>
      <c r="F80" s="21">
        <v>296</v>
      </c>
      <c r="G80" s="21">
        <v>60</v>
      </c>
      <c r="H80" s="21">
        <v>141</v>
      </c>
      <c r="I80" s="21">
        <v>5624</v>
      </c>
      <c r="J80" s="21">
        <v>5239</v>
      </c>
      <c r="K80" s="21">
        <v>88</v>
      </c>
      <c r="L80" t="s">
        <v>52</v>
      </c>
      <c r="M80" t="s">
        <v>11</v>
      </c>
    </row>
    <row r="81" spans="1:13">
      <c r="A81" t="s">
        <v>143</v>
      </c>
      <c r="B81" t="s">
        <v>55</v>
      </c>
      <c r="C81" s="1">
        <v>45583</v>
      </c>
      <c r="D81" t="s">
        <v>50</v>
      </c>
      <c r="E81" t="s">
        <v>73</v>
      </c>
      <c r="F81" s="21">
        <v>4126</v>
      </c>
      <c r="G81" s="21">
        <v>426</v>
      </c>
      <c r="H81" s="21">
        <v>486</v>
      </c>
      <c r="I81" s="21">
        <v>78394</v>
      </c>
      <c r="J81" s="21">
        <v>77798</v>
      </c>
      <c r="K81" s="21">
        <v>88</v>
      </c>
      <c r="L81" t="s">
        <v>38</v>
      </c>
      <c r="M81" t="s">
        <v>19</v>
      </c>
    </row>
    <row r="82" spans="1:13">
      <c r="A82" t="s">
        <v>144</v>
      </c>
      <c r="B82" t="s">
        <v>46</v>
      </c>
      <c r="C82" s="1">
        <v>45593</v>
      </c>
      <c r="D82" t="s">
        <v>36</v>
      </c>
      <c r="E82" t="s">
        <v>47</v>
      </c>
      <c r="F82" s="21">
        <v>1855</v>
      </c>
      <c r="G82" s="21">
        <v>200</v>
      </c>
      <c r="H82" s="21">
        <v>174</v>
      </c>
      <c r="I82" s="21">
        <v>16695</v>
      </c>
      <c r="J82" s="21">
        <v>16330</v>
      </c>
      <c r="K82" s="21">
        <v>123</v>
      </c>
      <c r="L82" t="s">
        <v>43</v>
      </c>
      <c r="M82" t="s">
        <v>15</v>
      </c>
    </row>
    <row r="83" spans="1:13">
      <c r="A83" t="s">
        <v>145</v>
      </c>
      <c r="B83" t="s">
        <v>49</v>
      </c>
      <c r="C83" s="1">
        <v>45505</v>
      </c>
      <c r="D83" t="s">
        <v>36</v>
      </c>
      <c r="E83" t="s">
        <v>80</v>
      </c>
      <c r="F83" s="21">
        <v>1674</v>
      </c>
      <c r="G83" s="21">
        <v>929</v>
      </c>
      <c r="H83" s="21">
        <v>37</v>
      </c>
      <c r="I83" s="21">
        <v>21762</v>
      </c>
      <c r="J83" s="21">
        <v>20998</v>
      </c>
      <c r="K83" s="21">
        <v>255</v>
      </c>
      <c r="L83" t="s">
        <v>43</v>
      </c>
      <c r="M83" t="s">
        <v>19</v>
      </c>
    </row>
    <row r="84" spans="1:13">
      <c r="A84" t="s">
        <v>146</v>
      </c>
      <c r="B84" t="s">
        <v>35</v>
      </c>
      <c r="C84" s="1">
        <v>45603</v>
      </c>
      <c r="D84" t="s">
        <v>50</v>
      </c>
      <c r="E84" t="s">
        <v>117</v>
      </c>
      <c r="F84" s="21">
        <v>1121</v>
      </c>
      <c r="G84" s="21">
        <v>135</v>
      </c>
      <c r="H84" s="21">
        <v>18</v>
      </c>
      <c r="I84" s="21">
        <v>15694</v>
      </c>
      <c r="J84" s="21">
        <v>14957</v>
      </c>
      <c r="K84" s="21">
        <v>99</v>
      </c>
      <c r="L84" t="s">
        <v>43</v>
      </c>
      <c r="M84" t="s">
        <v>19</v>
      </c>
    </row>
    <row r="85" spans="1:13">
      <c r="A85" t="s">
        <v>147</v>
      </c>
      <c r="B85" t="s">
        <v>55</v>
      </c>
      <c r="C85" s="1">
        <v>45720</v>
      </c>
      <c r="D85" t="s">
        <v>50</v>
      </c>
      <c r="E85" t="s">
        <v>73</v>
      </c>
      <c r="F85" s="21">
        <v>1249</v>
      </c>
      <c r="G85" s="21">
        <v>116</v>
      </c>
      <c r="H85" s="21">
        <v>420</v>
      </c>
      <c r="I85" s="21">
        <v>8743</v>
      </c>
      <c r="J85" s="21">
        <v>8538</v>
      </c>
      <c r="K85" s="21">
        <v>63</v>
      </c>
      <c r="L85" t="s">
        <v>43</v>
      </c>
    </row>
    <row r="86" spans="1:13">
      <c r="A86" t="s">
        <v>148</v>
      </c>
      <c r="B86" t="s">
        <v>35</v>
      </c>
      <c r="C86" s="1">
        <v>45460</v>
      </c>
      <c r="D86" t="s">
        <v>61</v>
      </c>
      <c r="E86" t="s">
        <v>107</v>
      </c>
      <c r="F86" s="21">
        <v>954</v>
      </c>
      <c r="G86" s="21">
        <v>324</v>
      </c>
      <c r="H86" s="21">
        <v>288</v>
      </c>
      <c r="I86" s="21">
        <v>19080</v>
      </c>
      <c r="J86" s="21">
        <v>18859</v>
      </c>
      <c r="K86" s="21">
        <v>21</v>
      </c>
      <c r="L86" t="s">
        <v>38</v>
      </c>
      <c r="M86" t="s">
        <v>19</v>
      </c>
    </row>
    <row r="87" spans="1:13">
      <c r="A87" t="s">
        <v>149</v>
      </c>
      <c r="B87" t="s">
        <v>49</v>
      </c>
      <c r="C87" s="1">
        <v>45574</v>
      </c>
      <c r="D87" t="s">
        <v>56</v>
      </c>
      <c r="E87" t="s">
        <v>84</v>
      </c>
      <c r="F87" s="21">
        <v>3068</v>
      </c>
      <c r="G87" s="21">
        <v>137</v>
      </c>
      <c r="H87" s="21">
        <v>329</v>
      </c>
      <c r="I87" s="21">
        <v>39884</v>
      </c>
      <c r="J87" s="21">
        <v>39404</v>
      </c>
      <c r="K87" s="21">
        <v>266</v>
      </c>
      <c r="L87" t="s">
        <v>52</v>
      </c>
      <c r="M87" t="s">
        <v>11</v>
      </c>
    </row>
    <row r="88" spans="1:13">
      <c r="A88" t="s">
        <v>150</v>
      </c>
      <c r="B88" t="s">
        <v>49</v>
      </c>
      <c r="C88" s="1">
        <v>45456</v>
      </c>
      <c r="D88" t="s">
        <v>50</v>
      </c>
      <c r="E88" t="s">
        <v>51</v>
      </c>
      <c r="F88" s="21">
        <v>2103</v>
      </c>
      <c r="G88" s="21">
        <v>892</v>
      </c>
      <c r="H88" s="21">
        <v>103</v>
      </c>
      <c r="I88" s="21">
        <v>39957</v>
      </c>
      <c r="J88" s="21">
        <v>39466</v>
      </c>
      <c r="K88" s="21">
        <v>28</v>
      </c>
      <c r="L88" t="s">
        <v>38</v>
      </c>
    </row>
    <row r="89" spans="1:13">
      <c r="A89" t="s">
        <v>151</v>
      </c>
      <c r="B89" t="s">
        <v>49</v>
      </c>
      <c r="C89" s="1">
        <v>45584</v>
      </c>
      <c r="D89" t="s">
        <v>50</v>
      </c>
      <c r="E89" t="s">
        <v>51</v>
      </c>
      <c r="F89" s="21">
        <v>1816</v>
      </c>
      <c r="G89" s="21">
        <v>29</v>
      </c>
      <c r="H89" s="21">
        <v>41</v>
      </c>
      <c r="I89" s="21">
        <v>19976</v>
      </c>
      <c r="J89" s="21">
        <v>19262</v>
      </c>
      <c r="K89" s="21">
        <v>283</v>
      </c>
      <c r="L89" t="s">
        <v>43</v>
      </c>
      <c r="M89" t="s">
        <v>15</v>
      </c>
    </row>
    <row r="90" spans="1:13">
      <c r="A90" t="s">
        <v>152</v>
      </c>
      <c r="B90" t="s">
        <v>49</v>
      </c>
      <c r="C90" s="1">
        <v>45497</v>
      </c>
      <c r="D90" t="s">
        <v>61</v>
      </c>
      <c r="E90" t="s">
        <v>153</v>
      </c>
      <c r="F90" s="21">
        <v>725</v>
      </c>
      <c r="G90" s="21">
        <v>88</v>
      </c>
      <c r="H90" s="21">
        <v>428</v>
      </c>
      <c r="I90" s="21">
        <v>14500</v>
      </c>
      <c r="J90" s="21">
        <v>13637</v>
      </c>
      <c r="K90" s="21">
        <v>200</v>
      </c>
      <c r="L90" t="s">
        <v>38</v>
      </c>
      <c r="M90" t="s">
        <v>15</v>
      </c>
    </row>
    <row r="91" spans="1:13">
      <c r="A91" t="s">
        <v>152</v>
      </c>
      <c r="B91" t="s">
        <v>49</v>
      </c>
      <c r="C91" s="1">
        <v>45497</v>
      </c>
      <c r="D91" t="s">
        <v>61</v>
      </c>
      <c r="E91" t="s">
        <v>153</v>
      </c>
      <c r="F91" s="21">
        <v>725</v>
      </c>
      <c r="G91" s="21">
        <v>88</v>
      </c>
      <c r="H91" s="21">
        <v>428</v>
      </c>
      <c r="I91" s="21">
        <v>14500</v>
      </c>
      <c r="J91" s="21">
        <v>13637</v>
      </c>
      <c r="K91" s="21">
        <v>200</v>
      </c>
      <c r="L91" t="s">
        <v>43</v>
      </c>
      <c r="M91" t="s">
        <v>15</v>
      </c>
    </row>
    <row r="92" spans="1:13">
      <c r="A92" t="s">
        <v>152</v>
      </c>
      <c r="B92" t="s">
        <v>49</v>
      </c>
      <c r="C92" s="1">
        <v>45497</v>
      </c>
      <c r="D92" t="s">
        <v>61</v>
      </c>
      <c r="E92" t="s">
        <v>153</v>
      </c>
      <c r="F92" s="21">
        <v>725</v>
      </c>
      <c r="G92" s="21">
        <v>88</v>
      </c>
      <c r="H92" s="21">
        <v>428</v>
      </c>
      <c r="I92" s="21">
        <v>14500</v>
      </c>
      <c r="J92" s="21">
        <v>13637</v>
      </c>
      <c r="K92" s="21">
        <v>200</v>
      </c>
      <c r="L92" t="s">
        <v>39</v>
      </c>
      <c r="M92" t="s">
        <v>15</v>
      </c>
    </row>
    <row r="93" spans="1:13">
      <c r="A93" t="s">
        <v>154</v>
      </c>
      <c r="B93" t="s">
        <v>46</v>
      </c>
      <c r="C93" s="1">
        <v>45580</v>
      </c>
      <c r="D93" t="s">
        <v>75</v>
      </c>
      <c r="E93" t="s">
        <v>155</v>
      </c>
      <c r="F93" s="21">
        <v>1094</v>
      </c>
      <c r="G93" s="21">
        <v>472</v>
      </c>
      <c r="H93" s="21">
        <v>21</v>
      </c>
      <c r="I93" s="21">
        <v>9846</v>
      </c>
      <c r="J93" s="21">
        <v>9609</v>
      </c>
      <c r="K93" s="21">
        <v>112</v>
      </c>
      <c r="L93" t="s">
        <v>52</v>
      </c>
    </row>
    <row r="94" spans="1:13">
      <c r="A94" t="s">
        <v>156</v>
      </c>
      <c r="B94" t="s">
        <v>55</v>
      </c>
      <c r="C94" s="1">
        <v>45635</v>
      </c>
      <c r="D94" t="s">
        <v>61</v>
      </c>
      <c r="E94" t="s">
        <v>66</v>
      </c>
      <c r="F94" s="21">
        <v>1841</v>
      </c>
      <c r="G94" s="21">
        <v>851</v>
      </c>
      <c r="H94" s="21">
        <v>342</v>
      </c>
      <c r="I94" s="21">
        <v>34979</v>
      </c>
      <c r="J94" s="21">
        <v>34154</v>
      </c>
      <c r="K94" s="21">
        <v>255</v>
      </c>
      <c r="L94" t="s">
        <v>38</v>
      </c>
      <c r="M94" t="s">
        <v>19</v>
      </c>
    </row>
    <row r="95" spans="1:13">
      <c r="A95" t="s">
        <v>157</v>
      </c>
      <c r="B95" t="s">
        <v>49</v>
      </c>
      <c r="C95" s="1">
        <v>45766</v>
      </c>
      <c r="D95" t="s">
        <v>61</v>
      </c>
      <c r="E95" t="s">
        <v>153</v>
      </c>
      <c r="F95" s="21">
        <v>4177</v>
      </c>
      <c r="G95" s="21">
        <v>569</v>
      </c>
      <c r="H95" s="21">
        <v>55</v>
      </c>
      <c r="I95" s="21">
        <v>25062</v>
      </c>
      <c r="J95" s="21">
        <v>24847</v>
      </c>
      <c r="K95" s="21">
        <v>230</v>
      </c>
      <c r="L95" t="s">
        <v>38</v>
      </c>
      <c r="M95" t="s">
        <v>7</v>
      </c>
    </row>
    <row r="96" spans="1:13">
      <c r="A96" t="s">
        <v>158</v>
      </c>
      <c r="B96" t="s">
        <v>46</v>
      </c>
      <c r="C96" s="1">
        <v>45684</v>
      </c>
      <c r="D96" t="s">
        <v>41</v>
      </c>
      <c r="E96" t="s">
        <v>92</v>
      </c>
      <c r="F96" s="21">
        <v>3428</v>
      </c>
      <c r="G96" s="21">
        <v>305</v>
      </c>
      <c r="H96" s="21">
        <v>85</v>
      </c>
      <c r="I96" s="21">
        <v>58276</v>
      </c>
      <c r="J96" s="21">
        <v>58052</v>
      </c>
      <c r="K96" s="21">
        <v>242</v>
      </c>
      <c r="L96" t="s">
        <v>52</v>
      </c>
      <c r="M96" t="s">
        <v>19</v>
      </c>
    </row>
    <row r="97" spans="1:13">
      <c r="A97" t="s">
        <v>158</v>
      </c>
      <c r="B97" t="s">
        <v>46</v>
      </c>
      <c r="C97" s="1">
        <v>45684</v>
      </c>
      <c r="D97" t="s">
        <v>41</v>
      </c>
      <c r="E97" t="s">
        <v>92</v>
      </c>
      <c r="F97" s="21">
        <v>3428</v>
      </c>
      <c r="G97" s="21">
        <v>305</v>
      </c>
      <c r="H97" s="21">
        <v>85</v>
      </c>
      <c r="I97" s="21">
        <v>58276</v>
      </c>
      <c r="J97" s="21">
        <v>58052</v>
      </c>
      <c r="K97" s="21">
        <v>242</v>
      </c>
      <c r="L97" t="s">
        <v>44</v>
      </c>
      <c r="M97" t="s">
        <v>19</v>
      </c>
    </row>
    <row r="98" spans="1:13">
      <c r="A98" t="s">
        <v>159</v>
      </c>
      <c r="B98" t="s">
        <v>35</v>
      </c>
      <c r="C98" s="1">
        <v>45449</v>
      </c>
      <c r="D98" t="s">
        <v>75</v>
      </c>
      <c r="E98" t="s">
        <v>114</v>
      </c>
      <c r="F98" s="21">
        <v>1436</v>
      </c>
      <c r="G98" s="21">
        <v>765</v>
      </c>
      <c r="H98" s="21">
        <v>496</v>
      </c>
      <c r="I98" s="21">
        <v>12924</v>
      </c>
      <c r="J98" s="21">
        <v>12701</v>
      </c>
      <c r="K98" s="21">
        <v>197</v>
      </c>
      <c r="L98" t="s">
        <v>38</v>
      </c>
      <c r="M98" t="s">
        <v>15</v>
      </c>
    </row>
    <row r="99" spans="1:13">
      <c r="A99" t="s">
        <v>160</v>
      </c>
      <c r="B99" t="s">
        <v>55</v>
      </c>
      <c r="C99" s="1">
        <v>45480</v>
      </c>
      <c r="D99" t="s">
        <v>50</v>
      </c>
      <c r="E99" t="s">
        <v>73</v>
      </c>
      <c r="F99" s="21">
        <v>302</v>
      </c>
      <c r="G99" s="21">
        <v>47</v>
      </c>
      <c r="H99" s="21">
        <v>430</v>
      </c>
      <c r="I99" s="21">
        <v>5738</v>
      </c>
      <c r="J99" s="21">
        <v>4890</v>
      </c>
      <c r="K99" s="21">
        <v>25</v>
      </c>
      <c r="L99" t="s">
        <v>43</v>
      </c>
      <c r="M99" t="s">
        <v>19</v>
      </c>
    </row>
    <row r="100" spans="1:13">
      <c r="A100" t="s">
        <v>161</v>
      </c>
      <c r="B100" t="s">
        <v>35</v>
      </c>
      <c r="C100" s="1">
        <v>45667</v>
      </c>
      <c r="D100" t="s">
        <v>61</v>
      </c>
      <c r="E100" t="s">
        <v>107</v>
      </c>
      <c r="F100" s="21">
        <v>2214</v>
      </c>
      <c r="G100" s="21">
        <v>249</v>
      </c>
      <c r="H100" s="21">
        <v>152</v>
      </c>
      <c r="I100" s="21">
        <v>15498</v>
      </c>
      <c r="J100" s="21">
        <v>14800</v>
      </c>
      <c r="K100" s="21">
        <v>180</v>
      </c>
      <c r="L100" t="s">
        <v>52</v>
      </c>
    </row>
    <row r="101" spans="1:13">
      <c r="A101" t="s">
        <v>162</v>
      </c>
      <c r="B101" t="s">
        <v>49</v>
      </c>
      <c r="C101" s="1">
        <v>45446</v>
      </c>
      <c r="D101" t="s">
        <v>61</v>
      </c>
      <c r="E101" t="s">
        <v>153</v>
      </c>
      <c r="F101" s="21">
        <v>3861</v>
      </c>
      <c r="G101" s="21">
        <v>960</v>
      </c>
      <c r="H101" s="21">
        <v>101</v>
      </c>
      <c r="I101" s="21">
        <v>69498</v>
      </c>
      <c r="J101" s="21">
        <v>68817</v>
      </c>
      <c r="K101" s="21">
        <v>297</v>
      </c>
      <c r="L101" t="s">
        <v>43</v>
      </c>
      <c r="M101" t="s">
        <v>19</v>
      </c>
    </row>
    <row r="102" spans="1:13">
      <c r="A102" t="s">
        <v>163</v>
      </c>
      <c r="B102" t="s">
        <v>55</v>
      </c>
      <c r="C102" s="1">
        <v>45740</v>
      </c>
      <c r="D102" t="s">
        <v>61</v>
      </c>
      <c r="E102" t="s">
        <v>66</v>
      </c>
      <c r="F102" s="21">
        <v>1263</v>
      </c>
      <c r="G102" s="21">
        <v>397</v>
      </c>
      <c r="H102" s="21">
        <v>357</v>
      </c>
      <c r="I102" s="21">
        <v>25260</v>
      </c>
      <c r="J102" s="21">
        <v>24615</v>
      </c>
      <c r="K102" s="21">
        <v>137</v>
      </c>
      <c r="L102" t="s">
        <v>52</v>
      </c>
      <c r="M102" t="s">
        <v>19</v>
      </c>
    </row>
    <row r="103" spans="1:13">
      <c r="A103" t="s">
        <v>164</v>
      </c>
      <c r="B103" t="s">
        <v>35</v>
      </c>
      <c r="C103" s="1">
        <v>45586</v>
      </c>
      <c r="D103" t="s">
        <v>50</v>
      </c>
      <c r="E103" t="s">
        <v>117</v>
      </c>
      <c r="F103" s="21">
        <v>3801</v>
      </c>
      <c r="G103" s="21">
        <v>967</v>
      </c>
      <c r="H103" s="21">
        <v>401</v>
      </c>
      <c r="I103" s="21">
        <v>38010</v>
      </c>
      <c r="J103" s="21">
        <v>37625</v>
      </c>
      <c r="K103" s="21">
        <v>236</v>
      </c>
      <c r="L103" t="s">
        <v>38</v>
      </c>
      <c r="M103" t="s">
        <v>15</v>
      </c>
    </row>
    <row r="104" spans="1:13">
      <c r="A104" t="s">
        <v>165</v>
      </c>
      <c r="B104" t="s">
        <v>49</v>
      </c>
      <c r="C104" s="1">
        <v>45637</v>
      </c>
      <c r="D104" t="s">
        <v>75</v>
      </c>
      <c r="E104" t="s">
        <v>82</v>
      </c>
      <c r="F104" s="21">
        <v>1431</v>
      </c>
      <c r="G104" s="21">
        <v>951</v>
      </c>
      <c r="H104" s="21">
        <v>26</v>
      </c>
      <c r="I104" s="21">
        <v>8586</v>
      </c>
      <c r="J104" s="21">
        <v>8396</v>
      </c>
      <c r="K104" s="21">
        <v>150</v>
      </c>
      <c r="L104" t="s">
        <v>52</v>
      </c>
      <c r="M104" t="s">
        <v>15</v>
      </c>
    </row>
    <row r="105" spans="1:13">
      <c r="A105" t="s">
        <v>166</v>
      </c>
      <c r="B105" t="s">
        <v>49</v>
      </c>
      <c r="C105" s="1">
        <v>45603</v>
      </c>
      <c r="D105" t="s">
        <v>61</v>
      </c>
      <c r="E105" t="s">
        <v>153</v>
      </c>
      <c r="F105" s="21">
        <v>2647</v>
      </c>
      <c r="G105" s="21">
        <v>304</v>
      </c>
      <c r="H105" s="21">
        <v>170</v>
      </c>
      <c r="I105" s="21">
        <v>18529</v>
      </c>
      <c r="J105" s="21">
        <v>17841</v>
      </c>
      <c r="K105" s="21">
        <v>46</v>
      </c>
      <c r="L105" t="s">
        <v>38</v>
      </c>
      <c r="M105" t="s">
        <v>15</v>
      </c>
    </row>
    <row r="106" spans="1:13">
      <c r="A106" t="s">
        <v>167</v>
      </c>
      <c r="B106" t="s">
        <v>49</v>
      </c>
      <c r="C106" s="1">
        <v>45604</v>
      </c>
      <c r="D106" t="s">
        <v>41</v>
      </c>
      <c r="E106" t="s">
        <v>97</v>
      </c>
      <c r="F106" s="21">
        <v>3182</v>
      </c>
      <c r="G106" s="21">
        <v>559</v>
      </c>
      <c r="H106" s="21">
        <v>160</v>
      </c>
      <c r="I106" s="21">
        <v>57276</v>
      </c>
      <c r="J106" s="21">
        <v>56890</v>
      </c>
      <c r="K106" s="21">
        <v>163</v>
      </c>
      <c r="L106" t="s">
        <v>38</v>
      </c>
      <c r="M106" t="s">
        <v>19</v>
      </c>
    </row>
    <row r="107" spans="1:13">
      <c r="A107" t="s">
        <v>168</v>
      </c>
      <c r="B107" t="s">
        <v>35</v>
      </c>
      <c r="C107" s="1">
        <v>45545</v>
      </c>
      <c r="D107" t="s">
        <v>61</v>
      </c>
      <c r="E107" t="s">
        <v>107</v>
      </c>
      <c r="F107" s="21">
        <v>1238</v>
      </c>
      <c r="G107" s="21">
        <v>366</v>
      </c>
      <c r="H107" s="21">
        <v>444</v>
      </c>
      <c r="I107" s="21">
        <v>19808</v>
      </c>
      <c r="J107" s="21">
        <v>19334</v>
      </c>
      <c r="K107" s="21">
        <v>123</v>
      </c>
      <c r="L107" t="s">
        <v>38</v>
      </c>
    </row>
    <row r="108" spans="1:13">
      <c r="A108" t="s">
        <v>169</v>
      </c>
      <c r="B108" t="s">
        <v>49</v>
      </c>
      <c r="C108" s="1">
        <v>45517</v>
      </c>
      <c r="D108" t="s">
        <v>61</v>
      </c>
      <c r="E108" t="s">
        <v>153</v>
      </c>
      <c r="F108" s="21">
        <v>4739</v>
      </c>
      <c r="G108" s="21">
        <v>527</v>
      </c>
      <c r="H108" s="21">
        <v>135</v>
      </c>
      <c r="I108" s="21">
        <v>61607</v>
      </c>
      <c r="J108" s="21">
        <v>61333</v>
      </c>
      <c r="K108" s="21">
        <v>36</v>
      </c>
      <c r="L108" t="s">
        <v>43</v>
      </c>
      <c r="M108" t="s">
        <v>11</v>
      </c>
    </row>
    <row r="109" spans="1:13">
      <c r="A109" t="s">
        <v>169</v>
      </c>
      <c r="B109" t="s">
        <v>49</v>
      </c>
      <c r="C109" s="1">
        <v>45517</v>
      </c>
      <c r="D109" t="s">
        <v>61</v>
      </c>
      <c r="E109" t="s">
        <v>153</v>
      </c>
      <c r="F109" s="21">
        <v>4739</v>
      </c>
      <c r="G109" s="21">
        <v>527</v>
      </c>
      <c r="H109" s="21">
        <v>135</v>
      </c>
      <c r="I109" s="21">
        <v>61607</v>
      </c>
      <c r="J109" s="21">
        <v>61333</v>
      </c>
      <c r="K109" s="21">
        <v>36</v>
      </c>
      <c r="L109" t="s">
        <v>39</v>
      </c>
      <c r="M109" t="s">
        <v>11</v>
      </c>
    </row>
    <row r="110" spans="1:13">
      <c r="A110" t="s">
        <v>170</v>
      </c>
      <c r="B110" t="s">
        <v>35</v>
      </c>
      <c r="C110" s="1">
        <v>45453</v>
      </c>
      <c r="D110" t="s">
        <v>50</v>
      </c>
      <c r="E110" t="s">
        <v>117</v>
      </c>
      <c r="F110" s="21">
        <v>1575</v>
      </c>
      <c r="G110" s="21">
        <v>771</v>
      </c>
      <c r="H110" s="21">
        <v>486</v>
      </c>
      <c r="I110" s="21">
        <v>25200</v>
      </c>
      <c r="J110" s="21">
        <v>24826</v>
      </c>
      <c r="K110" s="21">
        <v>17</v>
      </c>
      <c r="L110" t="s">
        <v>38</v>
      </c>
      <c r="M110" t="s">
        <v>19</v>
      </c>
    </row>
    <row r="111" spans="1:13">
      <c r="A111" t="s">
        <v>171</v>
      </c>
      <c r="B111" t="s">
        <v>46</v>
      </c>
      <c r="C111" s="1">
        <v>45475</v>
      </c>
      <c r="D111" t="s">
        <v>56</v>
      </c>
      <c r="E111" t="s">
        <v>71</v>
      </c>
      <c r="F111" s="21">
        <v>4171</v>
      </c>
      <c r="G111" s="21">
        <v>548</v>
      </c>
      <c r="H111" s="21">
        <v>86</v>
      </c>
      <c r="I111" s="21">
        <v>66736</v>
      </c>
      <c r="J111" s="21">
        <v>66634</v>
      </c>
      <c r="K111" s="21">
        <v>173</v>
      </c>
      <c r="L111" t="s">
        <v>38</v>
      </c>
      <c r="M111" t="s">
        <v>15</v>
      </c>
    </row>
    <row r="112" spans="1:13">
      <c r="A112" t="s">
        <v>172</v>
      </c>
      <c r="B112" t="s">
        <v>46</v>
      </c>
      <c r="C112" s="1">
        <v>45698</v>
      </c>
      <c r="D112" t="s">
        <v>75</v>
      </c>
      <c r="E112" t="s">
        <v>155</v>
      </c>
      <c r="F112" s="21">
        <v>1766</v>
      </c>
      <c r="G112" s="21">
        <v>92</v>
      </c>
      <c r="H112" s="21">
        <v>424</v>
      </c>
      <c r="I112" s="21">
        <v>24724</v>
      </c>
      <c r="J112" s="21">
        <v>24333</v>
      </c>
      <c r="K112" s="21">
        <v>52</v>
      </c>
      <c r="L112" t="s">
        <v>52</v>
      </c>
    </row>
    <row r="113" spans="1:13">
      <c r="A113" t="s">
        <v>173</v>
      </c>
      <c r="B113" t="s">
        <v>46</v>
      </c>
      <c r="C113" s="1">
        <v>45583</v>
      </c>
      <c r="D113" t="s">
        <v>75</v>
      </c>
      <c r="E113" t="s">
        <v>155</v>
      </c>
      <c r="F113" s="21">
        <v>4450</v>
      </c>
      <c r="G113" s="21">
        <v>983</v>
      </c>
      <c r="H113" s="21">
        <v>143</v>
      </c>
      <c r="I113" s="21">
        <v>75650</v>
      </c>
      <c r="J113" s="21">
        <v>75008</v>
      </c>
      <c r="K113" s="21">
        <v>12</v>
      </c>
      <c r="L113" t="s">
        <v>38</v>
      </c>
      <c r="M113" t="s">
        <v>15</v>
      </c>
    </row>
    <row r="114" spans="1:13">
      <c r="A114" t="s">
        <v>174</v>
      </c>
      <c r="B114" t="s">
        <v>35</v>
      </c>
      <c r="C114" s="1">
        <v>45553</v>
      </c>
      <c r="D114" t="s">
        <v>36</v>
      </c>
      <c r="E114" t="s">
        <v>37</v>
      </c>
      <c r="F114" s="21">
        <v>1000</v>
      </c>
      <c r="G114" s="21">
        <v>978</v>
      </c>
      <c r="H114" s="21">
        <v>162</v>
      </c>
      <c r="I114" s="21">
        <v>6000</v>
      </c>
      <c r="J114" s="21">
        <v>5221</v>
      </c>
      <c r="K114" s="21">
        <v>223</v>
      </c>
      <c r="L114" t="s">
        <v>52</v>
      </c>
      <c r="M114" t="s">
        <v>11</v>
      </c>
    </row>
    <row r="115" spans="1:13">
      <c r="A115" t="s">
        <v>175</v>
      </c>
      <c r="B115" t="s">
        <v>55</v>
      </c>
      <c r="C115" s="1">
        <v>45454</v>
      </c>
      <c r="D115" t="s">
        <v>61</v>
      </c>
      <c r="E115" t="s">
        <v>66</v>
      </c>
      <c r="F115" s="21">
        <v>3689</v>
      </c>
      <c r="G115" s="21">
        <v>48</v>
      </c>
      <c r="H115" s="21">
        <v>306</v>
      </c>
      <c r="I115" s="21">
        <v>40579</v>
      </c>
      <c r="J115" s="21">
        <v>39588</v>
      </c>
      <c r="K115" s="21">
        <v>212</v>
      </c>
      <c r="L115" t="s">
        <v>52</v>
      </c>
      <c r="M115" t="s">
        <v>11</v>
      </c>
    </row>
    <row r="116" spans="1:13">
      <c r="A116" t="s">
        <v>176</v>
      </c>
      <c r="B116" t="s">
        <v>46</v>
      </c>
      <c r="C116" s="1">
        <v>45739</v>
      </c>
      <c r="D116" t="s">
        <v>50</v>
      </c>
      <c r="E116" t="s">
        <v>120</v>
      </c>
      <c r="F116" s="21">
        <v>3655</v>
      </c>
      <c r="G116" s="21">
        <v>568</v>
      </c>
      <c r="H116" s="21">
        <v>286</v>
      </c>
      <c r="I116" s="21">
        <v>32895</v>
      </c>
      <c r="J116" s="21">
        <v>32015</v>
      </c>
      <c r="K116" s="21">
        <v>199</v>
      </c>
      <c r="L116" t="s">
        <v>43</v>
      </c>
      <c r="M116" t="s">
        <v>15</v>
      </c>
    </row>
    <row r="117" spans="1:13">
      <c r="A117" t="s">
        <v>177</v>
      </c>
      <c r="B117" t="s">
        <v>49</v>
      </c>
      <c r="C117" s="1">
        <v>45457</v>
      </c>
      <c r="D117" t="s">
        <v>56</v>
      </c>
      <c r="E117" t="s">
        <v>84</v>
      </c>
      <c r="F117" s="21">
        <v>498</v>
      </c>
      <c r="G117" s="21">
        <v>38</v>
      </c>
      <c r="H117" s="21">
        <v>42</v>
      </c>
      <c r="I117" s="21">
        <v>4482</v>
      </c>
      <c r="J117" s="21">
        <v>3647</v>
      </c>
      <c r="K117" s="21">
        <v>32</v>
      </c>
      <c r="L117" t="s">
        <v>38</v>
      </c>
      <c r="M117" t="s">
        <v>7</v>
      </c>
    </row>
    <row r="118" spans="1:13">
      <c r="A118" t="s">
        <v>178</v>
      </c>
      <c r="B118" t="s">
        <v>49</v>
      </c>
      <c r="C118" s="1">
        <v>45692</v>
      </c>
      <c r="D118" t="s">
        <v>61</v>
      </c>
      <c r="E118" t="s">
        <v>153</v>
      </c>
      <c r="F118" s="21">
        <v>4619</v>
      </c>
      <c r="G118" s="21">
        <v>821</v>
      </c>
      <c r="H118" s="21">
        <v>499</v>
      </c>
      <c r="I118" s="21">
        <v>69285</v>
      </c>
      <c r="J118" s="21">
        <v>69141</v>
      </c>
      <c r="K118" s="21">
        <v>298</v>
      </c>
      <c r="L118" t="s">
        <v>43</v>
      </c>
      <c r="M118" t="s">
        <v>19</v>
      </c>
    </row>
    <row r="119" spans="1:13">
      <c r="A119" t="s">
        <v>179</v>
      </c>
      <c r="B119" t="s">
        <v>46</v>
      </c>
      <c r="C119" s="1">
        <v>45464</v>
      </c>
      <c r="D119" t="s">
        <v>61</v>
      </c>
      <c r="E119" t="s">
        <v>62</v>
      </c>
      <c r="F119" s="21">
        <v>4832</v>
      </c>
      <c r="G119" s="21">
        <v>893</v>
      </c>
      <c r="H119" s="21">
        <v>10</v>
      </c>
      <c r="I119" s="21">
        <v>91808</v>
      </c>
      <c r="J119" s="21">
        <v>91296</v>
      </c>
      <c r="K119" s="21">
        <v>182</v>
      </c>
      <c r="L119" t="s">
        <v>43</v>
      </c>
    </row>
    <row r="120" spans="1:13">
      <c r="A120" t="s">
        <v>180</v>
      </c>
      <c r="B120" t="s">
        <v>35</v>
      </c>
      <c r="C120" s="1">
        <v>45741</v>
      </c>
      <c r="D120" t="s">
        <v>75</v>
      </c>
      <c r="E120" t="s">
        <v>114</v>
      </c>
      <c r="F120" s="21">
        <v>4050</v>
      </c>
      <c r="G120" s="21">
        <v>871</v>
      </c>
      <c r="H120" s="21">
        <v>347</v>
      </c>
      <c r="I120" s="21">
        <v>52650</v>
      </c>
      <c r="J120" s="21">
        <v>51755</v>
      </c>
      <c r="K120" s="21">
        <v>209</v>
      </c>
      <c r="L120" t="s">
        <v>43</v>
      </c>
      <c r="M120" t="s">
        <v>11</v>
      </c>
    </row>
    <row r="121" spans="1:13">
      <c r="A121" t="s">
        <v>181</v>
      </c>
      <c r="B121" t="s">
        <v>35</v>
      </c>
      <c r="C121" s="1">
        <v>45512</v>
      </c>
      <c r="D121" t="s">
        <v>50</v>
      </c>
      <c r="E121" t="s">
        <v>117</v>
      </c>
      <c r="F121" s="21">
        <v>3649</v>
      </c>
      <c r="G121" s="21">
        <v>215</v>
      </c>
      <c r="H121" s="21">
        <v>413</v>
      </c>
      <c r="I121" s="21">
        <v>25543</v>
      </c>
      <c r="J121" s="21">
        <v>24963</v>
      </c>
      <c r="K121" s="21">
        <v>167</v>
      </c>
      <c r="L121" t="s">
        <v>38</v>
      </c>
      <c r="M121" t="s">
        <v>15</v>
      </c>
    </row>
    <row r="122" spans="1:13">
      <c r="A122" t="s">
        <v>182</v>
      </c>
      <c r="B122" t="s">
        <v>49</v>
      </c>
      <c r="C122" s="1">
        <v>45502</v>
      </c>
      <c r="D122" t="s">
        <v>36</v>
      </c>
      <c r="E122" t="s">
        <v>80</v>
      </c>
      <c r="F122" s="21">
        <v>3523</v>
      </c>
      <c r="G122" s="21">
        <v>753</v>
      </c>
      <c r="H122" s="21">
        <v>482</v>
      </c>
      <c r="I122" s="21">
        <v>38753</v>
      </c>
      <c r="J122" s="21">
        <v>38579</v>
      </c>
      <c r="K122" s="21">
        <v>270</v>
      </c>
      <c r="L122" t="s">
        <v>52</v>
      </c>
      <c r="M122" t="s">
        <v>11</v>
      </c>
    </row>
    <row r="123" spans="1:13">
      <c r="A123" t="s">
        <v>183</v>
      </c>
      <c r="B123" t="s">
        <v>46</v>
      </c>
      <c r="C123" s="1">
        <v>45619</v>
      </c>
      <c r="D123" t="s">
        <v>61</v>
      </c>
      <c r="E123" t="s">
        <v>62</v>
      </c>
      <c r="F123" s="21">
        <v>2719</v>
      </c>
      <c r="G123" s="21">
        <v>17</v>
      </c>
      <c r="H123" s="21">
        <v>285</v>
      </c>
      <c r="I123" s="21">
        <v>40785</v>
      </c>
      <c r="J123" s="21">
        <v>40281</v>
      </c>
      <c r="K123" s="21">
        <v>40</v>
      </c>
      <c r="L123" t="s">
        <v>43</v>
      </c>
      <c r="M123" t="s">
        <v>11</v>
      </c>
    </row>
    <row r="124" spans="1:13">
      <c r="A124" t="s">
        <v>184</v>
      </c>
      <c r="B124" t="s">
        <v>35</v>
      </c>
      <c r="C124" s="1">
        <v>45570</v>
      </c>
      <c r="D124" t="s">
        <v>50</v>
      </c>
      <c r="E124" t="s">
        <v>117</v>
      </c>
      <c r="F124" s="21">
        <v>1957</v>
      </c>
      <c r="G124" s="21">
        <v>877</v>
      </c>
      <c r="H124" s="21">
        <v>238</v>
      </c>
      <c r="I124" s="21">
        <v>17613</v>
      </c>
      <c r="J124" s="21">
        <v>16865</v>
      </c>
      <c r="K124" s="21">
        <v>297</v>
      </c>
      <c r="L124" t="s">
        <v>38</v>
      </c>
      <c r="M124" t="s">
        <v>15</v>
      </c>
    </row>
    <row r="125" spans="1:13">
      <c r="A125" t="s">
        <v>185</v>
      </c>
      <c r="B125" t="s">
        <v>35</v>
      </c>
      <c r="C125" s="1">
        <v>45567</v>
      </c>
      <c r="D125" t="s">
        <v>56</v>
      </c>
      <c r="E125" t="s">
        <v>59</v>
      </c>
      <c r="F125" s="21">
        <v>4419</v>
      </c>
      <c r="G125" s="21">
        <v>236</v>
      </c>
      <c r="H125" s="21">
        <v>369</v>
      </c>
      <c r="I125" s="21">
        <v>44190</v>
      </c>
      <c r="J125" s="21">
        <v>43582</v>
      </c>
      <c r="K125" s="21">
        <v>10</v>
      </c>
      <c r="L125" t="s">
        <v>52</v>
      </c>
      <c r="M125" t="s">
        <v>7</v>
      </c>
    </row>
    <row r="126" spans="1:13">
      <c r="A126" t="s">
        <v>186</v>
      </c>
      <c r="B126" t="s">
        <v>35</v>
      </c>
      <c r="C126" s="1">
        <v>45610</v>
      </c>
      <c r="D126" t="s">
        <v>50</v>
      </c>
      <c r="E126" t="s">
        <v>117</v>
      </c>
      <c r="F126" s="21">
        <v>4000</v>
      </c>
      <c r="G126" s="21">
        <v>689</v>
      </c>
      <c r="H126" s="21">
        <v>488</v>
      </c>
      <c r="I126" s="21">
        <v>40000</v>
      </c>
      <c r="J126" s="21">
        <v>39569</v>
      </c>
      <c r="K126" s="21">
        <v>44</v>
      </c>
      <c r="L126" t="s">
        <v>38</v>
      </c>
      <c r="M126" t="s">
        <v>7</v>
      </c>
    </row>
    <row r="127" spans="1:13">
      <c r="A127" t="s">
        <v>187</v>
      </c>
      <c r="B127" t="s">
        <v>35</v>
      </c>
      <c r="C127" s="1">
        <v>45788</v>
      </c>
      <c r="D127" t="s">
        <v>61</v>
      </c>
      <c r="E127" t="s">
        <v>107</v>
      </c>
      <c r="F127" s="21">
        <v>2493</v>
      </c>
      <c r="G127" s="21">
        <v>97</v>
      </c>
      <c r="H127" s="21">
        <v>44</v>
      </c>
      <c r="I127" s="21">
        <v>42381</v>
      </c>
      <c r="J127" s="21">
        <v>41991</v>
      </c>
      <c r="K127" s="21">
        <v>242</v>
      </c>
      <c r="L127" t="s">
        <v>43</v>
      </c>
      <c r="M127" t="s">
        <v>19</v>
      </c>
    </row>
    <row r="128" spans="1:13">
      <c r="A128" t="s">
        <v>187</v>
      </c>
      <c r="B128" t="s">
        <v>35</v>
      </c>
      <c r="C128" s="1">
        <v>45788</v>
      </c>
      <c r="D128" t="s">
        <v>61</v>
      </c>
      <c r="E128" t="s">
        <v>107</v>
      </c>
      <c r="F128" s="21">
        <v>2493</v>
      </c>
      <c r="G128" s="21">
        <v>97</v>
      </c>
      <c r="H128" s="21">
        <v>44</v>
      </c>
      <c r="I128" s="21">
        <v>42381</v>
      </c>
      <c r="J128" s="21">
        <v>41991</v>
      </c>
      <c r="K128" s="21">
        <v>242</v>
      </c>
      <c r="L128" t="s">
        <v>39</v>
      </c>
      <c r="M128" t="s">
        <v>19</v>
      </c>
    </row>
    <row r="129" spans="1:13">
      <c r="A129" t="s">
        <v>188</v>
      </c>
      <c r="B129" t="s">
        <v>46</v>
      </c>
      <c r="C129" s="1">
        <v>45734</v>
      </c>
      <c r="D129" t="s">
        <v>36</v>
      </c>
      <c r="E129" t="s">
        <v>47</v>
      </c>
      <c r="F129" s="21">
        <v>3704</v>
      </c>
      <c r="G129" s="21">
        <v>186</v>
      </c>
      <c r="H129" s="21">
        <v>458</v>
      </c>
      <c r="I129" s="21">
        <v>25928</v>
      </c>
      <c r="J129" s="21">
        <v>25081</v>
      </c>
      <c r="K129" s="21">
        <v>131</v>
      </c>
      <c r="L129" t="s">
        <v>43</v>
      </c>
    </row>
    <row r="130" spans="1:13">
      <c r="A130" t="s">
        <v>189</v>
      </c>
      <c r="B130" t="s">
        <v>35</v>
      </c>
      <c r="C130" s="1">
        <v>45600</v>
      </c>
      <c r="D130" t="s">
        <v>61</v>
      </c>
      <c r="E130" t="s">
        <v>107</v>
      </c>
      <c r="F130" s="21">
        <v>1606</v>
      </c>
      <c r="G130" s="21">
        <v>451</v>
      </c>
      <c r="H130" s="21">
        <v>405</v>
      </c>
      <c r="I130" s="21">
        <v>20878</v>
      </c>
      <c r="J130" s="21">
        <v>20190</v>
      </c>
      <c r="K130" s="21">
        <v>219</v>
      </c>
      <c r="L130" t="s">
        <v>52</v>
      </c>
      <c r="M130" t="s">
        <v>19</v>
      </c>
    </row>
    <row r="131" spans="1:13">
      <c r="A131" t="s">
        <v>190</v>
      </c>
      <c r="B131" t="s">
        <v>55</v>
      </c>
      <c r="C131" s="1">
        <v>45600</v>
      </c>
      <c r="D131" t="s">
        <v>61</v>
      </c>
      <c r="E131" t="s">
        <v>66</v>
      </c>
      <c r="F131" s="21">
        <v>4551</v>
      </c>
      <c r="G131" s="21">
        <v>714</v>
      </c>
      <c r="H131" s="21">
        <v>207</v>
      </c>
      <c r="I131" s="21">
        <v>68265</v>
      </c>
      <c r="J131" s="21">
        <v>67754</v>
      </c>
      <c r="K131" s="21">
        <v>57</v>
      </c>
      <c r="L131" t="s">
        <v>38</v>
      </c>
      <c r="M131" t="s">
        <v>15</v>
      </c>
    </row>
    <row r="132" spans="1:13">
      <c r="A132" t="s">
        <v>191</v>
      </c>
      <c r="B132" t="s">
        <v>49</v>
      </c>
      <c r="C132" s="1">
        <v>45695</v>
      </c>
      <c r="D132" t="s">
        <v>36</v>
      </c>
      <c r="E132" t="s">
        <v>80</v>
      </c>
      <c r="F132" s="21">
        <v>1970</v>
      </c>
      <c r="G132" s="21">
        <v>675</v>
      </c>
      <c r="H132" s="21">
        <v>478</v>
      </c>
      <c r="I132" s="21">
        <v>9850</v>
      </c>
      <c r="J132" s="21">
        <v>8924</v>
      </c>
      <c r="K132" s="21">
        <v>117</v>
      </c>
      <c r="L132" t="s">
        <v>38</v>
      </c>
    </row>
    <row r="133" spans="1:13">
      <c r="A133" t="s">
        <v>192</v>
      </c>
      <c r="B133" t="s">
        <v>55</v>
      </c>
      <c r="C133" s="1">
        <v>45586</v>
      </c>
      <c r="D133" t="s">
        <v>50</v>
      </c>
      <c r="E133" t="s">
        <v>73</v>
      </c>
      <c r="F133" s="21">
        <v>780</v>
      </c>
      <c r="G133" s="21">
        <v>928</v>
      </c>
      <c r="H133" s="21">
        <v>301</v>
      </c>
      <c r="I133" s="21">
        <v>8580</v>
      </c>
      <c r="J133" s="21">
        <v>8081</v>
      </c>
      <c r="K133" s="21">
        <v>91</v>
      </c>
      <c r="L133" t="s">
        <v>52</v>
      </c>
      <c r="M133" t="s">
        <v>15</v>
      </c>
    </row>
    <row r="134" spans="1:13">
      <c r="A134" t="s">
        <v>193</v>
      </c>
      <c r="B134" t="s">
        <v>49</v>
      </c>
      <c r="C134" s="1">
        <v>45502</v>
      </c>
      <c r="D134" t="s">
        <v>50</v>
      </c>
      <c r="E134" t="s">
        <v>51</v>
      </c>
      <c r="F134" s="21">
        <v>498</v>
      </c>
      <c r="G134" s="21">
        <v>701</v>
      </c>
      <c r="H134" s="21">
        <v>412</v>
      </c>
      <c r="I134" s="21">
        <v>4980</v>
      </c>
      <c r="J134" s="21">
        <v>4185</v>
      </c>
      <c r="K134" s="21">
        <v>185</v>
      </c>
      <c r="L134" t="s">
        <v>38</v>
      </c>
    </row>
    <row r="135" spans="1:13">
      <c r="A135" t="s">
        <v>194</v>
      </c>
      <c r="B135" t="s">
        <v>49</v>
      </c>
      <c r="C135" s="1">
        <v>45567</v>
      </c>
      <c r="D135" t="s">
        <v>41</v>
      </c>
      <c r="E135" t="s">
        <v>97</v>
      </c>
      <c r="F135" s="21">
        <v>3432</v>
      </c>
      <c r="G135" s="21">
        <v>869</v>
      </c>
      <c r="H135" s="21">
        <v>123</v>
      </c>
      <c r="I135" s="21">
        <v>54912</v>
      </c>
      <c r="J135" s="21">
        <v>53916</v>
      </c>
      <c r="K135" s="21">
        <v>264</v>
      </c>
      <c r="L135" t="s">
        <v>52</v>
      </c>
      <c r="M135" t="s">
        <v>11</v>
      </c>
    </row>
    <row r="136" spans="1:13">
      <c r="A136" t="s">
        <v>195</v>
      </c>
      <c r="B136" t="s">
        <v>49</v>
      </c>
      <c r="C136" s="1">
        <v>45457</v>
      </c>
      <c r="D136" t="s">
        <v>50</v>
      </c>
      <c r="E136" t="s">
        <v>51</v>
      </c>
      <c r="F136" s="21">
        <v>4363</v>
      </c>
      <c r="G136" s="21">
        <v>649</v>
      </c>
      <c r="H136" s="21">
        <v>140</v>
      </c>
      <c r="I136" s="21">
        <v>21815</v>
      </c>
      <c r="J136" s="21">
        <v>21481</v>
      </c>
      <c r="K136" s="21">
        <v>157</v>
      </c>
      <c r="L136" t="s">
        <v>52</v>
      </c>
      <c r="M136" t="s">
        <v>7</v>
      </c>
    </row>
    <row r="137" spans="1:13">
      <c r="A137" t="s">
        <v>196</v>
      </c>
      <c r="B137" t="s">
        <v>46</v>
      </c>
      <c r="C137" s="1">
        <v>45753</v>
      </c>
      <c r="D137" t="s">
        <v>56</v>
      </c>
      <c r="E137" t="s">
        <v>71</v>
      </c>
      <c r="F137" s="21">
        <v>736</v>
      </c>
      <c r="G137" s="21">
        <v>771</v>
      </c>
      <c r="H137" s="21">
        <v>225</v>
      </c>
      <c r="I137" s="21">
        <v>5152</v>
      </c>
      <c r="J137" s="21">
        <v>4706</v>
      </c>
      <c r="K137" s="21">
        <v>19</v>
      </c>
      <c r="L137" t="s">
        <v>52</v>
      </c>
      <c r="M137" t="s">
        <v>7</v>
      </c>
    </row>
    <row r="138" spans="1:13">
      <c r="A138" t="s">
        <v>197</v>
      </c>
      <c r="B138" t="s">
        <v>35</v>
      </c>
      <c r="C138" s="1">
        <v>45543</v>
      </c>
      <c r="D138" t="s">
        <v>56</v>
      </c>
      <c r="E138" t="s">
        <v>59</v>
      </c>
      <c r="F138" s="21">
        <v>3811</v>
      </c>
      <c r="G138" s="21">
        <v>866</v>
      </c>
      <c r="H138" s="21">
        <v>216</v>
      </c>
      <c r="I138" s="21">
        <v>34299</v>
      </c>
      <c r="J138" s="21">
        <v>34088</v>
      </c>
      <c r="K138" s="21">
        <v>233</v>
      </c>
      <c r="L138" t="s">
        <v>43</v>
      </c>
      <c r="M138" t="s">
        <v>19</v>
      </c>
    </row>
    <row r="139" spans="1:13">
      <c r="A139" t="s">
        <v>198</v>
      </c>
      <c r="B139" t="s">
        <v>49</v>
      </c>
      <c r="C139" s="1">
        <v>45744</v>
      </c>
      <c r="D139" t="s">
        <v>56</v>
      </c>
      <c r="E139" t="s">
        <v>84</v>
      </c>
      <c r="F139" s="21">
        <v>4158</v>
      </c>
      <c r="G139" s="21">
        <v>167</v>
      </c>
      <c r="H139" s="21">
        <v>241</v>
      </c>
      <c r="I139" s="21">
        <v>45738</v>
      </c>
      <c r="J139" s="21">
        <v>45183</v>
      </c>
      <c r="K139" s="21">
        <v>142</v>
      </c>
      <c r="L139" t="s">
        <v>38</v>
      </c>
    </row>
    <row r="140" spans="1:13">
      <c r="A140" t="s">
        <v>199</v>
      </c>
      <c r="B140" t="s">
        <v>55</v>
      </c>
      <c r="C140" s="1">
        <v>45684</v>
      </c>
      <c r="D140" t="s">
        <v>36</v>
      </c>
      <c r="E140" t="s">
        <v>69</v>
      </c>
      <c r="F140" s="21">
        <v>3452</v>
      </c>
      <c r="G140" s="21">
        <v>652</v>
      </c>
      <c r="H140" s="21">
        <v>442</v>
      </c>
      <c r="I140" s="21">
        <v>65588</v>
      </c>
      <c r="J140" s="21">
        <v>65049</v>
      </c>
      <c r="K140" s="21">
        <v>158</v>
      </c>
      <c r="L140" t="s">
        <v>38</v>
      </c>
      <c r="M140" t="s">
        <v>15</v>
      </c>
    </row>
    <row r="141" spans="1:13">
      <c r="A141" t="s">
        <v>200</v>
      </c>
      <c r="B141" t="s">
        <v>35</v>
      </c>
      <c r="C141" s="1">
        <v>45667</v>
      </c>
      <c r="D141" t="s">
        <v>61</v>
      </c>
      <c r="E141" t="s">
        <v>107</v>
      </c>
      <c r="F141" s="21">
        <v>3092</v>
      </c>
      <c r="G141" s="21">
        <v>106</v>
      </c>
      <c r="H141" s="21">
        <v>291</v>
      </c>
      <c r="I141" s="21">
        <v>27828</v>
      </c>
      <c r="J141" s="21">
        <v>27217</v>
      </c>
      <c r="K141" s="21">
        <v>102</v>
      </c>
      <c r="L141" t="s">
        <v>38</v>
      </c>
    </row>
    <row r="142" spans="1:13">
      <c r="A142" t="s">
        <v>201</v>
      </c>
      <c r="B142" t="s">
        <v>35</v>
      </c>
      <c r="C142" s="1">
        <v>45494</v>
      </c>
      <c r="D142" t="s">
        <v>41</v>
      </c>
      <c r="E142" t="s">
        <v>42</v>
      </c>
      <c r="F142" s="21">
        <v>2147</v>
      </c>
      <c r="G142" s="21">
        <v>430</v>
      </c>
      <c r="H142" s="21">
        <v>393</v>
      </c>
      <c r="I142" s="21">
        <v>17176</v>
      </c>
      <c r="J142" s="21">
        <v>16483</v>
      </c>
      <c r="K142" s="21">
        <v>170</v>
      </c>
      <c r="L142" t="s">
        <v>43</v>
      </c>
    </row>
    <row r="143" spans="1:13">
      <c r="A143" t="s">
        <v>202</v>
      </c>
      <c r="B143" t="s">
        <v>46</v>
      </c>
      <c r="C143" s="1">
        <v>45564</v>
      </c>
      <c r="D143" t="s">
        <v>36</v>
      </c>
      <c r="E143" t="s">
        <v>47</v>
      </c>
      <c r="F143" s="21">
        <v>2936</v>
      </c>
      <c r="G143" s="21">
        <v>439</v>
      </c>
      <c r="H143" s="21">
        <v>44</v>
      </c>
      <c r="I143" s="21">
        <v>38168</v>
      </c>
      <c r="J143" s="21">
        <v>37571</v>
      </c>
      <c r="K143" s="21">
        <v>22</v>
      </c>
      <c r="L143" t="s">
        <v>52</v>
      </c>
      <c r="M143" t="s">
        <v>19</v>
      </c>
    </row>
    <row r="144" spans="1:13">
      <c r="A144" t="s">
        <v>203</v>
      </c>
      <c r="B144" t="s">
        <v>49</v>
      </c>
      <c r="C144" s="1">
        <v>45586</v>
      </c>
      <c r="D144" t="s">
        <v>36</v>
      </c>
      <c r="E144" t="s">
        <v>80</v>
      </c>
      <c r="F144" s="21">
        <v>4840</v>
      </c>
      <c r="G144" s="21">
        <v>658</v>
      </c>
      <c r="H144" s="21">
        <v>211</v>
      </c>
      <c r="I144" s="21">
        <v>43560</v>
      </c>
      <c r="J144" s="21">
        <v>43225</v>
      </c>
      <c r="K144" s="21">
        <v>57</v>
      </c>
      <c r="L144" t="s">
        <v>38</v>
      </c>
      <c r="M144" t="s">
        <v>15</v>
      </c>
    </row>
    <row r="145" spans="1:13">
      <c r="A145" t="s">
        <v>204</v>
      </c>
      <c r="B145" t="s">
        <v>49</v>
      </c>
      <c r="C145" s="1">
        <v>45720</v>
      </c>
      <c r="D145" t="s">
        <v>50</v>
      </c>
      <c r="E145" t="s">
        <v>51</v>
      </c>
      <c r="F145" s="21">
        <v>1947</v>
      </c>
      <c r="G145" s="21">
        <v>842</v>
      </c>
      <c r="H145" s="21">
        <v>101</v>
      </c>
      <c r="I145" s="21">
        <v>21417</v>
      </c>
      <c r="J145" s="21">
        <v>20967</v>
      </c>
      <c r="K145" s="21">
        <v>186</v>
      </c>
      <c r="L145" t="s">
        <v>38</v>
      </c>
      <c r="M145" t="s">
        <v>11</v>
      </c>
    </row>
    <row r="146" spans="1:13">
      <c r="A146" t="s">
        <v>205</v>
      </c>
      <c r="B146" t="s">
        <v>55</v>
      </c>
      <c r="C146" s="1">
        <v>45694</v>
      </c>
      <c r="D146" t="s">
        <v>61</v>
      </c>
      <c r="E146" t="s">
        <v>66</v>
      </c>
      <c r="F146" s="21">
        <v>2072</v>
      </c>
      <c r="G146" s="21">
        <v>532</v>
      </c>
      <c r="H146" s="21">
        <v>71</v>
      </c>
      <c r="I146" s="21">
        <v>37296</v>
      </c>
      <c r="J146" s="21">
        <v>36467</v>
      </c>
      <c r="K146" s="21">
        <v>25</v>
      </c>
      <c r="L146" t="s">
        <v>43</v>
      </c>
      <c r="M146" t="s">
        <v>19</v>
      </c>
    </row>
    <row r="147" spans="1:13">
      <c r="A147" t="s">
        <v>206</v>
      </c>
      <c r="B147" t="s">
        <v>35</v>
      </c>
      <c r="C147" s="1">
        <v>45771</v>
      </c>
      <c r="D147" t="s">
        <v>36</v>
      </c>
      <c r="E147" t="s">
        <v>37</v>
      </c>
      <c r="F147" s="21">
        <v>3731</v>
      </c>
      <c r="G147" s="21">
        <v>115</v>
      </c>
      <c r="H147" s="21">
        <v>135</v>
      </c>
      <c r="I147" s="21">
        <v>55965</v>
      </c>
      <c r="J147" s="21">
        <v>55436</v>
      </c>
      <c r="K147" s="21">
        <v>103</v>
      </c>
      <c r="L147" t="s">
        <v>43</v>
      </c>
      <c r="M147" t="s">
        <v>7</v>
      </c>
    </row>
    <row r="148" spans="1:13">
      <c r="A148" t="s">
        <v>207</v>
      </c>
      <c r="B148" t="s">
        <v>55</v>
      </c>
      <c r="C148" s="1">
        <v>45624</v>
      </c>
      <c r="D148" t="s">
        <v>41</v>
      </c>
      <c r="E148" t="s">
        <v>64</v>
      </c>
      <c r="F148" s="21">
        <v>4213</v>
      </c>
      <c r="G148" s="21">
        <v>253</v>
      </c>
      <c r="H148" s="21">
        <v>434</v>
      </c>
      <c r="I148" s="21">
        <v>75834</v>
      </c>
      <c r="J148" s="21">
        <v>75437</v>
      </c>
      <c r="K148" s="21">
        <v>272</v>
      </c>
      <c r="L148" t="s">
        <v>38</v>
      </c>
      <c r="M148" t="s">
        <v>19</v>
      </c>
    </row>
    <row r="149" spans="1:13">
      <c r="A149" t="s">
        <v>208</v>
      </c>
      <c r="B149" t="s">
        <v>49</v>
      </c>
      <c r="C149" s="1">
        <v>45484</v>
      </c>
      <c r="D149" t="s">
        <v>41</v>
      </c>
      <c r="E149" t="s">
        <v>97</v>
      </c>
      <c r="F149" s="21">
        <v>3134</v>
      </c>
      <c r="G149" s="21">
        <v>888</v>
      </c>
      <c r="H149" s="21">
        <v>444</v>
      </c>
      <c r="I149" s="21">
        <v>21938</v>
      </c>
      <c r="J149" s="21">
        <v>21337</v>
      </c>
      <c r="K149" s="21">
        <v>130</v>
      </c>
      <c r="L149" t="s">
        <v>52</v>
      </c>
      <c r="M149" t="s">
        <v>19</v>
      </c>
    </row>
    <row r="150" spans="1:13">
      <c r="A150" t="s">
        <v>209</v>
      </c>
      <c r="B150" t="s">
        <v>55</v>
      </c>
      <c r="C150" s="1">
        <v>45504</v>
      </c>
      <c r="D150" t="s">
        <v>75</v>
      </c>
      <c r="E150" t="s">
        <v>76</v>
      </c>
      <c r="F150" s="21">
        <v>3008</v>
      </c>
      <c r="G150" s="21">
        <v>94</v>
      </c>
      <c r="H150" s="21">
        <v>37</v>
      </c>
      <c r="I150" s="21">
        <v>15040</v>
      </c>
      <c r="J150" s="21">
        <v>14639</v>
      </c>
      <c r="K150" s="21">
        <v>277</v>
      </c>
      <c r="L150" t="s">
        <v>38</v>
      </c>
    </row>
    <row r="151" spans="1:13">
      <c r="A151" t="s">
        <v>210</v>
      </c>
      <c r="B151" t="s">
        <v>35</v>
      </c>
      <c r="C151" s="1">
        <v>45745</v>
      </c>
      <c r="D151" t="s">
        <v>61</v>
      </c>
      <c r="E151" t="s">
        <v>107</v>
      </c>
      <c r="F151" s="21">
        <v>305</v>
      </c>
      <c r="G151" s="21">
        <v>187</v>
      </c>
      <c r="H151" s="21">
        <v>243</v>
      </c>
      <c r="I151" s="21">
        <v>4575</v>
      </c>
      <c r="J151" s="21">
        <v>3704</v>
      </c>
      <c r="K151" s="21">
        <v>234</v>
      </c>
      <c r="L151" t="s">
        <v>38</v>
      </c>
      <c r="M151" t="s">
        <v>15</v>
      </c>
    </row>
    <row r="152" spans="1:13">
      <c r="A152" t="s">
        <v>211</v>
      </c>
      <c r="B152" t="s">
        <v>46</v>
      </c>
      <c r="C152" s="1">
        <v>45594</v>
      </c>
      <c r="D152" t="s">
        <v>41</v>
      </c>
      <c r="E152" t="s">
        <v>92</v>
      </c>
      <c r="F152" s="21">
        <v>2746</v>
      </c>
      <c r="G152" s="21">
        <v>156</v>
      </c>
      <c r="H152" s="21">
        <v>203</v>
      </c>
      <c r="I152" s="21">
        <v>32952</v>
      </c>
      <c r="J152" s="21">
        <v>32147</v>
      </c>
      <c r="K152" s="21">
        <v>147</v>
      </c>
      <c r="L152" t="s">
        <v>52</v>
      </c>
      <c r="M152" t="s">
        <v>7</v>
      </c>
    </row>
    <row r="153" spans="1:13">
      <c r="A153" t="s">
        <v>212</v>
      </c>
      <c r="B153" t="s">
        <v>55</v>
      </c>
      <c r="C153" s="1">
        <v>45488</v>
      </c>
      <c r="D153" t="s">
        <v>61</v>
      </c>
      <c r="E153" t="s">
        <v>66</v>
      </c>
      <c r="F153" s="21">
        <v>2291</v>
      </c>
      <c r="G153" s="21">
        <v>78</v>
      </c>
      <c r="H153" s="21">
        <v>485</v>
      </c>
      <c r="I153" s="21">
        <v>18328</v>
      </c>
      <c r="J153" s="21">
        <v>18101</v>
      </c>
      <c r="K153" s="21">
        <v>10</v>
      </c>
      <c r="L153" t="s">
        <v>52</v>
      </c>
      <c r="M153" t="s">
        <v>11</v>
      </c>
    </row>
    <row r="154" spans="1:13">
      <c r="A154" t="s">
        <v>212</v>
      </c>
      <c r="B154" t="s">
        <v>55</v>
      </c>
      <c r="C154" s="1">
        <v>45488</v>
      </c>
      <c r="D154" t="s">
        <v>61</v>
      </c>
      <c r="E154" t="s">
        <v>66</v>
      </c>
      <c r="F154" s="21">
        <v>2291</v>
      </c>
      <c r="G154" s="21">
        <v>78</v>
      </c>
      <c r="H154" s="21">
        <v>485</v>
      </c>
      <c r="I154" s="21">
        <v>18328</v>
      </c>
      <c r="J154" s="21">
        <v>18101</v>
      </c>
      <c r="K154" s="21">
        <v>10</v>
      </c>
      <c r="L154" t="s">
        <v>18</v>
      </c>
      <c r="M154" t="s">
        <v>11</v>
      </c>
    </row>
    <row r="155" spans="1:13">
      <c r="A155" t="s">
        <v>213</v>
      </c>
      <c r="B155" t="s">
        <v>35</v>
      </c>
      <c r="C155" s="1">
        <v>45535</v>
      </c>
      <c r="D155" t="s">
        <v>61</v>
      </c>
      <c r="E155" t="s">
        <v>107</v>
      </c>
      <c r="F155" s="21">
        <v>3170</v>
      </c>
      <c r="G155" s="21">
        <v>857</v>
      </c>
      <c r="H155" s="21">
        <v>379</v>
      </c>
      <c r="I155" s="21">
        <v>19020</v>
      </c>
      <c r="J155" s="21">
        <v>18559</v>
      </c>
      <c r="K155" s="21">
        <v>240</v>
      </c>
      <c r="L155" t="s">
        <v>38</v>
      </c>
    </row>
    <row r="156" spans="1:13">
      <c r="A156" t="s">
        <v>214</v>
      </c>
      <c r="B156" t="s">
        <v>46</v>
      </c>
      <c r="C156" s="1">
        <v>45741</v>
      </c>
      <c r="D156" t="s">
        <v>50</v>
      </c>
      <c r="E156" t="s">
        <v>120</v>
      </c>
      <c r="F156" s="21">
        <v>2070</v>
      </c>
      <c r="G156" s="21">
        <v>275</v>
      </c>
      <c r="H156" s="21">
        <v>386</v>
      </c>
      <c r="I156" s="21">
        <v>39330</v>
      </c>
      <c r="J156" s="21">
        <v>38627</v>
      </c>
      <c r="K156" s="21">
        <v>114</v>
      </c>
      <c r="L156" t="s">
        <v>38</v>
      </c>
      <c r="M156" t="s">
        <v>19</v>
      </c>
    </row>
    <row r="157" spans="1:13">
      <c r="A157" t="s">
        <v>215</v>
      </c>
      <c r="B157" t="s">
        <v>46</v>
      </c>
      <c r="C157" s="1">
        <v>45567</v>
      </c>
      <c r="D157" t="s">
        <v>56</v>
      </c>
      <c r="E157" t="s">
        <v>71</v>
      </c>
      <c r="F157" s="21">
        <v>80</v>
      </c>
      <c r="G157" s="21">
        <v>362</v>
      </c>
      <c r="H157" s="21">
        <v>80</v>
      </c>
      <c r="I157" s="21">
        <v>1040</v>
      </c>
      <c r="J157" s="21">
        <v>349</v>
      </c>
      <c r="K157" s="21">
        <v>117</v>
      </c>
      <c r="L157" t="s">
        <v>43</v>
      </c>
      <c r="M157" t="s">
        <v>15</v>
      </c>
    </row>
    <row r="158" spans="1:13">
      <c r="A158" t="s">
        <v>216</v>
      </c>
      <c r="B158" t="s">
        <v>46</v>
      </c>
      <c r="C158" s="1">
        <v>45593</v>
      </c>
      <c r="D158" t="s">
        <v>50</v>
      </c>
      <c r="E158" t="s">
        <v>120</v>
      </c>
      <c r="F158" s="21">
        <v>4929</v>
      </c>
      <c r="G158" s="21">
        <v>749</v>
      </c>
      <c r="H158" s="21">
        <v>452</v>
      </c>
      <c r="I158" s="21">
        <v>93651</v>
      </c>
      <c r="J158" s="21">
        <v>92810</v>
      </c>
      <c r="K158" s="21">
        <v>66</v>
      </c>
      <c r="L158" t="s">
        <v>52</v>
      </c>
      <c r="M158" t="s">
        <v>19</v>
      </c>
    </row>
    <row r="159" spans="1:13">
      <c r="A159" t="s">
        <v>217</v>
      </c>
      <c r="B159" t="s">
        <v>49</v>
      </c>
      <c r="C159" s="1">
        <v>45516</v>
      </c>
      <c r="D159" t="s">
        <v>56</v>
      </c>
      <c r="E159" t="s">
        <v>84</v>
      </c>
      <c r="F159" s="21">
        <v>1878</v>
      </c>
      <c r="G159" s="21">
        <v>62</v>
      </c>
      <c r="H159" s="21">
        <v>179</v>
      </c>
      <c r="I159" s="21">
        <v>37560</v>
      </c>
      <c r="J159" s="21">
        <v>36874</v>
      </c>
      <c r="K159" s="21">
        <v>142</v>
      </c>
      <c r="L159" t="s">
        <v>43</v>
      </c>
      <c r="M159" t="s">
        <v>19</v>
      </c>
    </row>
    <row r="160" spans="1:13">
      <c r="A160" t="s">
        <v>218</v>
      </c>
      <c r="B160" t="s">
        <v>46</v>
      </c>
      <c r="C160" s="1">
        <v>45448</v>
      </c>
      <c r="D160" t="s">
        <v>36</v>
      </c>
      <c r="E160" t="s">
        <v>47</v>
      </c>
      <c r="F160" s="21">
        <v>3065</v>
      </c>
      <c r="G160" s="21">
        <v>772</v>
      </c>
      <c r="H160" s="21">
        <v>142</v>
      </c>
      <c r="I160" s="21">
        <v>18390</v>
      </c>
      <c r="J160" s="21">
        <v>17875</v>
      </c>
      <c r="K160" s="21">
        <v>200</v>
      </c>
      <c r="L160" t="s">
        <v>52</v>
      </c>
    </row>
    <row r="161" spans="1:13">
      <c r="A161" t="s">
        <v>218</v>
      </c>
      <c r="B161" t="s">
        <v>46</v>
      </c>
      <c r="C161" s="1">
        <v>45448</v>
      </c>
      <c r="D161" t="s">
        <v>36</v>
      </c>
      <c r="E161" t="s">
        <v>47</v>
      </c>
      <c r="F161" s="21">
        <v>3065</v>
      </c>
      <c r="G161" s="21">
        <v>772</v>
      </c>
      <c r="H161" s="21">
        <v>142</v>
      </c>
      <c r="I161" s="21">
        <v>18390</v>
      </c>
      <c r="J161" s="21">
        <v>17875</v>
      </c>
      <c r="K161" s="21">
        <v>200</v>
      </c>
      <c r="L161" t="s">
        <v>39</v>
      </c>
    </row>
    <row r="162" spans="1:13">
      <c r="A162" t="s">
        <v>219</v>
      </c>
      <c r="B162" t="s">
        <v>49</v>
      </c>
      <c r="C162" s="1">
        <v>45586</v>
      </c>
      <c r="D162" t="s">
        <v>36</v>
      </c>
      <c r="E162" t="s">
        <v>80</v>
      </c>
      <c r="F162" s="21">
        <v>3256</v>
      </c>
      <c r="G162" s="21">
        <v>459</v>
      </c>
      <c r="H162" s="21">
        <v>266</v>
      </c>
      <c r="I162" s="21">
        <v>26048</v>
      </c>
      <c r="J162" s="21">
        <v>25529</v>
      </c>
      <c r="K162" s="21">
        <v>143</v>
      </c>
      <c r="L162" t="s">
        <v>43</v>
      </c>
      <c r="M162" t="s">
        <v>11</v>
      </c>
    </row>
    <row r="163" spans="1:13">
      <c r="A163" t="s">
        <v>220</v>
      </c>
      <c r="B163" t="s">
        <v>49</v>
      </c>
      <c r="C163" s="1">
        <v>45762</v>
      </c>
      <c r="D163" t="s">
        <v>75</v>
      </c>
      <c r="E163" t="s">
        <v>82</v>
      </c>
      <c r="F163" s="21">
        <v>4133</v>
      </c>
      <c r="G163" s="21">
        <v>466</v>
      </c>
      <c r="H163" s="21">
        <v>327</v>
      </c>
      <c r="I163" s="21">
        <v>24798</v>
      </c>
      <c r="J163" s="21">
        <v>24620</v>
      </c>
      <c r="K163" s="21">
        <v>176</v>
      </c>
      <c r="L163" t="s">
        <v>52</v>
      </c>
      <c r="M163" t="s">
        <v>19</v>
      </c>
    </row>
    <row r="164" spans="1:13">
      <c r="A164" t="s">
        <v>221</v>
      </c>
      <c r="B164" t="s">
        <v>35</v>
      </c>
      <c r="C164" s="1">
        <v>45459</v>
      </c>
      <c r="D164" t="s">
        <v>75</v>
      </c>
      <c r="E164" t="s">
        <v>114</v>
      </c>
      <c r="F164" s="21">
        <v>1702</v>
      </c>
      <c r="G164" s="21">
        <v>750</v>
      </c>
      <c r="H164" s="21">
        <v>179</v>
      </c>
      <c r="I164" s="21">
        <v>34040</v>
      </c>
      <c r="J164" s="21">
        <v>33174</v>
      </c>
      <c r="K164" s="21">
        <v>76</v>
      </c>
      <c r="L164" t="s">
        <v>52</v>
      </c>
      <c r="M164" t="s">
        <v>7</v>
      </c>
    </row>
    <row r="165" spans="1:13">
      <c r="A165" t="s">
        <v>222</v>
      </c>
      <c r="B165" t="s">
        <v>46</v>
      </c>
      <c r="C165" s="1">
        <v>45526</v>
      </c>
      <c r="D165" t="s">
        <v>56</v>
      </c>
      <c r="E165" t="s">
        <v>71</v>
      </c>
      <c r="F165" s="21">
        <v>4295</v>
      </c>
      <c r="G165" s="21">
        <v>853</v>
      </c>
      <c r="H165" s="21">
        <v>325</v>
      </c>
      <c r="I165" s="21">
        <v>85900</v>
      </c>
      <c r="J165" s="21">
        <v>85788</v>
      </c>
      <c r="K165" s="21">
        <v>290</v>
      </c>
      <c r="L165" t="s">
        <v>43</v>
      </c>
      <c r="M165" t="s">
        <v>19</v>
      </c>
    </row>
    <row r="166" spans="1:13">
      <c r="A166" t="s">
        <v>223</v>
      </c>
      <c r="B166" t="s">
        <v>49</v>
      </c>
      <c r="C166" s="1">
        <v>45499</v>
      </c>
      <c r="D166" t="s">
        <v>61</v>
      </c>
      <c r="E166" t="s">
        <v>153</v>
      </c>
      <c r="F166" s="21">
        <v>3559</v>
      </c>
      <c r="G166" s="21">
        <v>59</v>
      </c>
      <c r="H166" s="21">
        <v>289</v>
      </c>
      <c r="I166" s="21">
        <v>35590</v>
      </c>
      <c r="J166" s="21">
        <v>35105</v>
      </c>
      <c r="K166" s="21">
        <v>122</v>
      </c>
      <c r="L166" t="s">
        <v>52</v>
      </c>
      <c r="M166" t="s">
        <v>7</v>
      </c>
    </row>
    <row r="167" spans="1:13">
      <c r="A167" t="s">
        <v>224</v>
      </c>
      <c r="B167" t="s">
        <v>55</v>
      </c>
      <c r="C167" s="1">
        <v>45769</v>
      </c>
      <c r="D167" t="s">
        <v>61</v>
      </c>
      <c r="E167" t="s">
        <v>66</v>
      </c>
      <c r="F167" s="21">
        <v>4804</v>
      </c>
      <c r="G167" s="21">
        <v>550</v>
      </c>
      <c r="H167" s="21">
        <v>270</v>
      </c>
      <c r="I167" s="21">
        <v>28824</v>
      </c>
      <c r="J167" s="21">
        <v>28370</v>
      </c>
      <c r="K167" s="21">
        <v>47</v>
      </c>
      <c r="L167" t="s">
        <v>52</v>
      </c>
      <c r="M167" t="s">
        <v>19</v>
      </c>
    </row>
    <row r="168" spans="1:13">
      <c r="A168" t="s">
        <v>225</v>
      </c>
      <c r="B168" t="s">
        <v>35</v>
      </c>
      <c r="C168" s="1">
        <v>45658</v>
      </c>
      <c r="D168" t="s">
        <v>75</v>
      </c>
      <c r="E168" t="s">
        <v>114</v>
      </c>
      <c r="F168" s="21">
        <v>754</v>
      </c>
      <c r="G168" s="21">
        <v>197</v>
      </c>
      <c r="H168" s="21">
        <v>257</v>
      </c>
      <c r="I168" s="21">
        <v>6786</v>
      </c>
      <c r="J168" s="21">
        <v>6221</v>
      </c>
      <c r="K168" s="21">
        <v>212</v>
      </c>
      <c r="L168" t="s">
        <v>43</v>
      </c>
      <c r="M168" t="s">
        <v>15</v>
      </c>
    </row>
    <row r="169" spans="1:13">
      <c r="A169" t="s">
        <v>226</v>
      </c>
      <c r="B169" t="s">
        <v>49</v>
      </c>
      <c r="C169" s="1">
        <v>45574</v>
      </c>
      <c r="D169" t="s">
        <v>56</v>
      </c>
      <c r="E169" t="s">
        <v>84</v>
      </c>
      <c r="F169" s="21">
        <v>985</v>
      </c>
      <c r="G169" s="21">
        <v>932</v>
      </c>
      <c r="H169" s="21">
        <v>287</v>
      </c>
      <c r="I169" s="21">
        <v>6895</v>
      </c>
      <c r="J169" s="21">
        <v>6757</v>
      </c>
      <c r="K169" s="21">
        <v>64</v>
      </c>
      <c r="L169" t="s">
        <v>38</v>
      </c>
      <c r="M169" t="s">
        <v>19</v>
      </c>
    </row>
    <row r="170" spans="1:13">
      <c r="A170" t="s">
        <v>227</v>
      </c>
      <c r="B170" t="s">
        <v>46</v>
      </c>
      <c r="C170" s="1">
        <v>45647</v>
      </c>
      <c r="D170" t="s">
        <v>61</v>
      </c>
      <c r="E170" t="s">
        <v>62</v>
      </c>
      <c r="F170" s="21">
        <v>2283</v>
      </c>
      <c r="G170" s="21">
        <v>210</v>
      </c>
      <c r="H170" s="21">
        <v>130</v>
      </c>
      <c r="I170" s="21">
        <v>22830</v>
      </c>
      <c r="J170" s="21">
        <v>22617</v>
      </c>
      <c r="K170" s="21">
        <v>143</v>
      </c>
      <c r="L170" t="s">
        <v>38</v>
      </c>
      <c r="M170" t="s">
        <v>11</v>
      </c>
    </row>
    <row r="171" spans="1:13">
      <c r="A171" t="s">
        <v>228</v>
      </c>
      <c r="B171" t="s">
        <v>55</v>
      </c>
      <c r="C171" s="1">
        <v>45587</v>
      </c>
      <c r="D171" t="s">
        <v>56</v>
      </c>
      <c r="E171" t="s">
        <v>57</v>
      </c>
      <c r="F171" s="21">
        <v>3352</v>
      </c>
      <c r="G171" s="21">
        <v>941</v>
      </c>
      <c r="H171" s="21">
        <v>482</v>
      </c>
      <c r="I171" s="21">
        <v>43576</v>
      </c>
      <c r="J171" s="21">
        <v>43338</v>
      </c>
      <c r="K171" s="21">
        <v>240</v>
      </c>
      <c r="L171" t="s">
        <v>38</v>
      </c>
      <c r="M171" t="s">
        <v>11</v>
      </c>
    </row>
    <row r="172" spans="1:13">
      <c r="A172" t="s">
        <v>229</v>
      </c>
      <c r="B172" t="s">
        <v>46</v>
      </c>
      <c r="C172" s="1">
        <v>45496</v>
      </c>
      <c r="D172" t="s">
        <v>50</v>
      </c>
      <c r="E172" t="s">
        <v>120</v>
      </c>
      <c r="F172" s="21">
        <v>4775</v>
      </c>
      <c r="G172" s="21">
        <v>173</v>
      </c>
      <c r="H172" s="21">
        <v>206</v>
      </c>
      <c r="I172" s="21">
        <v>47750</v>
      </c>
      <c r="J172" s="21">
        <v>47544</v>
      </c>
      <c r="K172" s="21">
        <v>187</v>
      </c>
      <c r="L172" t="s">
        <v>38</v>
      </c>
      <c r="M172" t="s">
        <v>11</v>
      </c>
    </row>
    <row r="173" spans="1:13">
      <c r="A173" t="s">
        <v>230</v>
      </c>
      <c r="B173" t="s">
        <v>49</v>
      </c>
      <c r="C173" s="1">
        <v>45515</v>
      </c>
      <c r="D173" t="s">
        <v>50</v>
      </c>
      <c r="E173" t="s">
        <v>51</v>
      </c>
      <c r="F173" s="21">
        <v>1762</v>
      </c>
      <c r="G173" s="21">
        <v>405</v>
      </c>
      <c r="H173" s="21">
        <v>423</v>
      </c>
      <c r="I173" s="21">
        <v>22906</v>
      </c>
      <c r="J173" s="21">
        <v>21925</v>
      </c>
      <c r="K173" s="21">
        <v>25</v>
      </c>
      <c r="L173" t="s">
        <v>43</v>
      </c>
      <c r="M173" t="s">
        <v>7</v>
      </c>
    </row>
    <row r="174" spans="1:13">
      <c r="A174" t="s">
        <v>231</v>
      </c>
      <c r="B174" t="s">
        <v>55</v>
      </c>
      <c r="C174" s="1">
        <v>45621</v>
      </c>
      <c r="D174" t="s">
        <v>50</v>
      </c>
      <c r="E174" t="s">
        <v>73</v>
      </c>
      <c r="F174" s="21">
        <v>2120</v>
      </c>
      <c r="G174" s="21">
        <v>158</v>
      </c>
      <c r="H174" s="21">
        <v>488</v>
      </c>
      <c r="I174" s="21">
        <v>12720</v>
      </c>
      <c r="J174" s="21">
        <v>12085</v>
      </c>
      <c r="K174" s="21">
        <v>17</v>
      </c>
      <c r="L174" t="s">
        <v>38</v>
      </c>
      <c r="M174" t="s">
        <v>11</v>
      </c>
    </row>
    <row r="175" spans="1:13">
      <c r="A175" t="s">
        <v>232</v>
      </c>
      <c r="B175" t="s">
        <v>35</v>
      </c>
      <c r="C175" s="1">
        <v>45528</v>
      </c>
      <c r="D175" t="s">
        <v>75</v>
      </c>
      <c r="E175" t="s">
        <v>114</v>
      </c>
      <c r="F175" s="21">
        <v>1082</v>
      </c>
      <c r="G175" s="21">
        <v>209</v>
      </c>
      <c r="H175" s="21">
        <v>484</v>
      </c>
      <c r="I175" s="21">
        <v>19476</v>
      </c>
      <c r="J175" s="21">
        <v>18654</v>
      </c>
      <c r="K175" s="21">
        <v>20</v>
      </c>
      <c r="L175" t="s">
        <v>43</v>
      </c>
    </row>
    <row r="176" spans="1:13">
      <c r="A176" t="s">
        <v>233</v>
      </c>
      <c r="B176" t="s">
        <v>35</v>
      </c>
      <c r="C176" s="1">
        <v>45707</v>
      </c>
      <c r="D176" t="s">
        <v>41</v>
      </c>
      <c r="E176" t="s">
        <v>42</v>
      </c>
      <c r="F176" s="21">
        <v>4671</v>
      </c>
      <c r="G176" s="21">
        <v>876</v>
      </c>
      <c r="H176" s="21">
        <v>366</v>
      </c>
      <c r="I176" s="21">
        <v>51381</v>
      </c>
      <c r="J176" s="21">
        <v>50565</v>
      </c>
      <c r="K176" s="21">
        <v>245</v>
      </c>
      <c r="L176" t="s">
        <v>43</v>
      </c>
      <c r="M176" t="s">
        <v>19</v>
      </c>
    </row>
    <row r="177" spans="1:13">
      <c r="A177" t="s">
        <v>234</v>
      </c>
      <c r="B177" t="s">
        <v>55</v>
      </c>
      <c r="C177" s="1">
        <v>45748</v>
      </c>
      <c r="D177" t="s">
        <v>50</v>
      </c>
      <c r="E177" t="s">
        <v>73</v>
      </c>
      <c r="F177" s="21">
        <v>3430</v>
      </c>
      <c r="G177" s="21">
        <v>566</v>
      </c>
      <c r="H177" s="21">
        <v>164</v>
      </c>
      <c r="I177" s="21">
        <v>48020</v>
      </c>
      <c r="J177" s="21">
        <v>47305</v>
      </c>
      <c r="K177" s="21">
        <v>120</v>
      </c>
      <c r="L177" t="s">
        <v>38</v>
      </c>
    </row>
    <row r="178" spans="1:13">
      <c r="A178" t="s">
        <v>235</v>
      </c>
      <c r="B178" t="s">
        <v>49</v>
      </c>
      <c r="C178" s="1">
        <v>45755</v>
      </c>
      <c r="D178" t="s">
        <v>61</v>
      </c>
      <c r="E178" t="s">
        <v>153</v>
      </c>
      <c r="F178" s="21">
        <v>4501</v>
      </c>
      <c r="G178" s="21">
        <v>375</v>
      </c>
      <c r="H178" s="21">
        <v>323</v>
      </c>
      <c r="I178" s="21">
        <v>22505</v>
      </c>
      <c r="J178" s="21">
        <v>21836</v>
      </c>
      <c r="K178" s="21">
        <v>132</v>
      </c>
      <c r="L178" t="s">
        <v>43</v>
      </c>
      <c r="M178" t="s">
        <v>11</v>
      </c>
    </row>
    <row r="179" spans="1:13">
      <c r="A179" t="s">
        <v>236</v>
      </c>
      <c r="B179" t="s">
        <v>46</v>
      </c>
      <c r="C179" s="1">
        <v>45715</v>
      </c>
      <c r="D179" t="s">
        <v>41</v>
      </c>
      <c r="E179" t="s">
        <v>92</v>
      </c>
      <c r="F179" s="21">
        <v>4934</v>
      </c>
      <c r="G179" s="21">
        <v>971</v>
      </c>
      <c r="H179" s="21">
        <v>156</v>
      </c>
      <c r="I179" s="21">
        <v>39472</v>
      </c>
      <c r="J179" s="21">
        <v>39025</v>
      </c>
      <c r="K179" s="21">
        <v>169</v>
      </c>
      <c r="L179" t="s">
        <v>43</v>
      </c>
      <c r="M179" t="s">
        <v>19</v>
      </c>
    </row>
    <row r="180" spans="1:13">
      <c r="A180" t="s">
        <v>236</v>
      </c>
      <c r="B180" t="s">
        <v>46</v>
      </c>
      <c r="C180" s="1">
        <v>45715</v>
      </c>
      <c r="D180" t="s">
        <v>41</v>
      </c>
      <c r="E180" t="s">
        <v>92</v>
      </c>
      <c r="F180" s="21">
        <v>4934</v>
      </c>
      <c r="G180" s="21">
        <v>971</v>
      </c>
      <c r="H180" s="21">
        <v>156</v>
      </c>
      <c r="I180" s="21">
        <v>39472</v>
      </c>
      <c r="J180" s="21">
        <v>39025</v>
      </c>
      <c r="K180" s="21">
        <v>169</v>
      </c>
      <c r="L180" t="s">
        <v>39</v>
      </c>
      <c r="M180" t="s">
        <v>19</v>
      </c>
    </row>
    <row r="181" spans="1:13">
      <c r="A181" t="s">
        <v>237</v>
      </c>
      <c r="B181" t="s">
        <v>35</v>
      </c>
      <c r="C181" s="1">
        <v>45637</v>
      </c>
      <c r="D181" t="s">
        <v>41</v>
      </c>
      <c r="E181" t="s">
        <v>42</v>
      </c>
      <c r="F181" s="21">
        <v>3239</v>
      </c>
      <c r="G181" s="21">
        <v>43</v>
      </c>
      <c r="H181" s="21">
        <v>211</v>
      </c>
      <c r="I181" s="21">
        <v>22673</v>
      </c>
      <c r="J181" s="21">
        <v>22171</v>
      </c>
      <c r="K181" s="21">
        <v>230</v>
      </c>
      <c r="L181" t="s">
        <v>43</v>
      </c>
      <c r="M181" t="s">
        <v>11</v>
      </c>
    </row>
    <row r="182" spans="1:13">
      <c r="A182" t="s">
        <v>238</v>
      </c>
      <c r="B182" t="s">
        <v>35</v>
      </c>
      <c r="C182" s="1">
        <v>45704</v>
      </c>
      <c r="D182" t="s">
        <v>36</v>
      </c>
      <c r="E182" t="s">
        <v>37</v>
      </c>
      <c r="F182" s="21">
        <v>1076</v>
      </c>
      <c r="G182" s="21">
        <v>313</v>
      </c>
      <c r="H182" s="21">
        <v>306</v>
      </c>
      <c r="I182" s="21">
        <v>11836</v>
      </c>
      <c r="J182" s="21">
        <v>11596</v>
      </c>
      <c r="K182" s="21">
        <v>104</v>
      </c>
      <c r="L182" t="s">
        <v>38</v>
      </c>
      <c r="M182" t="s">
        <v>7</v>
      </c>
    </row>
    <row r="183" spans="1:13">
      <c r="A183" t="s">
        <v>239</v>
      </c>
      <c r="B183" t="s">
        <v>49</v>
      </c>
      <c r="C183" s="1">
        <v>45624</v>
      </c>
      <c r="D183" t="s">
        <v>41</v>
      </c>
      <c r="E183" t="s">
        <v>97</v>
      </c>
      <c r="F183" s="21">
        <v>4771</v>
      </c>
      <c r="G183" s="21">
        <v>818</v>
      </c>
      <c r="H183" s="21">
        <v>56</v>
      </c>
      <c r="I183" s="21">
        <v>57252</v>
      </c>
      <c r="J183" s="21">
        <v>56378</v>
      </c>
      <c r="K183" s="21">
        <v>150</v>
      </c>
      <c r="L183" t="s">
        <v>38</v>
      </c>
    </row>
    <row r="184" spans="1:13">
      <c r="A184" t="s">
        <v>240</v>
      </c>
      <c r="B184" t="s">
        <v>55</v>
      </c>
      <c r="C184" s="1">
        <v>45608</v>
      </c>
      <c r="D184" t="s">
        <v>41</v>
      </c>
      <c r="E184" t="s">
        <v>64</v>
      </c>
      <c r="F184" s="21">
        <v>2418</v>
      </c>
      <c r="G184" s="21">
        <v>754</v>
      </c>
      <c r="H184" s="21">
        <v>54</v>
      </c>
      <c r="I184" s="21">
        <v>43524</v>
      </c>
      <c r="J184" s="21">
        <v>42743</v>
      </c>
      <c r="K184" s="21">
        <v>182</v>
      </c>
      <c r="L184" t="s">
        <v>52</v>
      </c>
      <c r="M184" t="s">
        <v>7</v>
      </c>
    </row>
    <row r="185" spans="1:13">
      <c r="A185" t="s">
        <v>241</v>
      </c>
      <c r="B185" t="s">
        <v>46</v>
      </c>
      <c r="C185" s="1">
        <v>45629</v>
      </c>
      <c r="D185" t="s">
        <v>75</v>
      </c>
      <c r="E185" t="s">
        <v>155</v>
      </c>
      <c r="F185" s="21">
        <v>3809</v>
      </c>
      <c r="G185" s="21">
        <v>273</v>
      </c>
      <c r="H185" s="21">
        <v>200</v>
      </c>
      <c r="I185" s="21">
        <v>34281</v>
      </c>
      <c r="J185" s="21">
        <v>33534</v>
      </c>
      <c r="K185" s="21">
        <v>83</v>
      </c>
      <c r="L185" t="s">
        <v>52</v>
      </c>
      <c r="M185" t="s">
        <v>7</v>
      </c>
    </row>
    <row r="186" spans="1:13">
      <c r="A186" t="s">
        <v>242</v>
      </c>
      <c r="B186" t="s">
        <v>35</v>
      </c>
      <c r="C186" s="1">
        <v>45775</v>
      </c>
      <c r="D186" t="s">
        <v>41</v>
      </c>
      <c r="E186" t="s">
        <v>42</v>
      </c>
      <c r="F186" s="21">
        <v>3577</v>
      </c>
      <c r="G186" s="21">
        <v>596</v>
      </c>
      <c r="H186" s="21">
        <v>493</v>
      </c>
      <c r="I186" s="21">
        <v>67963</v>
      </c>
      <c r="J186" s="21">
        <v>67839</v>
      </c>
      <c r="K186" s="21">
        <v>53</v>
      </c>
      <c r="L186" t="s">
        <v>43</v>
      </c>
      <c r="M186" t="s">
        <v>15</v>
      </c>
    </row>
    <row r="187" spans="1:13">
      <c r="A187" t="s">
        <v>243</v>
      </c>
      <c r="B187" t="s">
        <v>46</v>
      </c>
      <c r="C187" s="1">
        <v>45657</v>
      </c>
      <c r="D187" t="s">
        <v>75</v>
      </c>
      <c r="E187" t="s">
        <v>155</v>
      </c>
      <c r="F187" s="21">
        <v>1018</v>
      </c>
      <c r="G187" s="21">
        <v>447</v>
      </c>
      <c r="H187" s="21">
        <v>332</v>
      </c>
      <c r="I187" s="21">
        <v>18324</v>
      </c>
      <c r="J187" s="21">
        <v>18164</v>
      </c>
      <c r="K187" s="21">
        <v>38</v>
      </c>
      <c r="L187" t="s">
        <v>38</v>
      </c>
      <c r="M187" t="s">
        <v>11</v>
      </c>
    </row>
    <row r="188" spans="1:13">
      <c r="A188" t="s">
        <v>244</v>
      </c>
      <c r="B188" t="s">
        <v>55</v>
      </c>
      <c r="C188" s="1">
        <v>45518</v>
      </c>
      <c r="D188" t="s">
        <v>56</v>
      </c>
      <c r="E188" t="s">
        <v>57</v>
      </c>
      <c r="F188" s="21">
        <v>3073</v>
      </c>
      <c r="G188" s="21">
        <v>553</v>
      </c>
      <c r="H188" s="21">
        <v>174</v>
      </c>
      <c r="I188" s="21">
        <v>52241</v>
      </c>
      <c r="J188" s="21">
        <v>51605</v>
      </c>
      <c r="K188" s="21">
        <v>246</v>
      </c>
      <c r="L188" t="s">
        <v>52</v>
      </c>
      <c r="M188" t="s">
        <v>15</v>
      </c>
    </row>
    <row r="189" spans="1:13">
      <c r="A189" t="s">
        <v>245</v>
      </c>
      <c r="B189" t="s">
        <v>35</v>
      </c>
      <c r="C189" s="1">
        <v>45631</v>
      </c>
      <c r="D189" t="s">
        <v>75</v>
      </c>
      <c r="E189" t="s">
        <v>114</v>
      </c>
      <c r="F189" s="21">
        <v>1330</v>
      </c>
      <c r="G189" s="21">
        <v>925</v>
      </c>
      <c r="H189" s="21">
        <v>35</v>
      </c>
      <c r="I189" s="21">
        <v>15960</v>
      </c>
      <c r="J189" s="21">
        <v>15379</v>
      </c>
      <c r="K189" s="21">
        <v>229</v>
      </c>
      <c r="L189" t="s">
        <v>38</v>
      </c>
      <c r="M189" t="s">
        <v>15</v>
      </c>
    </row>
    <row r="190" spans="1:13">
      <c r="A190" t="s">
        <v>246</v>
      </c>
      <c r="B190" t="s">
        <v>55</v>
      </c>
      <c r="C190" s="1">
        <v>45465</v>
      </c>
      <c r="D190" t="s">
        <v>41</v>
      </c>
      <c r="E190" t="s">
        <v>64</v>
      </c>
      <c r="F190" s="21">
        <v>3828</v>
      </c>
      <c r="G190" s="21">
        <v>148</v>
      </c>
      <c r="H190" s="21">
        <v>253</v>
      </c>
      <c r="I190" s="21">
        <v>30624</v>
      </c>
      <c r="J190" s="21">
        <v>30229</v>
      </c>
      <c r="K190" s="21">
        <v>235</v>
      </c>
      <c r="L190" t="s">
        <v>52</v>
      </c>
    </row>
    <row r="191" spans="1:13">
      <c r="A191" t="s">
        <v>247</v>
      </c>
      <c r="B191" t="s">
        <v>49</v>
      </c>
      <c r="C191" s="1">
        <v>45674</v>
      </c>
      <c r="D191" t="s">
        <v>36</v>
      </c>
      <c r="E191" t="s">
        <v>80</v>
      </c>
      <c r="F191" s="21">
        <v>142</v>
      </c>
      <c r="G191" s="21">
        <v>784</v>
      </c>
      <c r="H191" s="21">
        <v>183</v>
      </c>
      <c r="I191" s="21">
        <v>1704</v>
      </c>
      <c r="J191" s="21">
        <v>995</v>
      </c>
      <c r="K191" s="21">
        <v>154</v>
      </c>
      <c r="L191" t="s">
        <v>38</v>
      </c>
      <c r="M191" t="s">
        <v>19</v>
      </c>
    </row>
    <row r="192" spans="1:13">
      <c r="A192" t="s">
        <v>248</v>
      </c>
      <c r="B192" t="s">
        <v>55</v>
      </c>
      <c r="C192" s="1">
        <v>45463</v>
      </c>
      <c r="D192" t="s">
        <v>75</v>
      </c>
      <c r="E192" t="s">
        <v>76</v>
      </c>
      <c r="F192" s="21">
        <v>3798</v>
      </c>
      <c r="G192" s="21">
        <v>31</v>
      </c>
      <c r="H192" s="21">
        <v>279</v>
      </c>
      <c r="I192" s="21">
        <v>75960</v>
      </c>
      <c r="J192" s="21">
        <v>75813</v>
      </c>
      <c r="K192" s="21">
        <v>266</v>
      </c>
      <c r="L192" t="s">
        <v>43</v>
      </c>
      <c r="M192" t="s">
        <v>7</v>
      </c>
    </row>
    <row r="193" spans="1:13">
      <c r="A193" t="s">
        <v>249</v>
      </c>
      <c r="B193" t="s">
        <v>49</v>
      </c>
      <c r="C193" s="1">
        <v>45483</v>
      </c>
      <c r="D193" t="s">
        <v>56</v>
      </c>
      <c r="E193" t="s">
        <v>84</v>
      </c>
      <c r="F193" s="21">
        <v>3099</v>
      </c>
      <c r="G193" s="21">
        <v>694</v>
      </c>
      <c r="H193" s="21">
        <v>171</v>
      </c>
      <c r="I193" s="21">
        <v>43386</v>
      </c>
      <c r="J193" s="21">
        <v>42921</v>
      </c>
      <c r="K193" s="21">
        <v>52</v>
      </c>
      <c r="L193" t="s">
        <v>43</v>
      </c>
      <c r="M193" t="s">
        <v>15</v>
      </c>
    </row>
    <row r="194" spans="1:13">
      <c r="A194" t="s">
        <v>250</v>
      </c>
      <c r="B194" t="s">
        <v>49</v>
      </c>
      <c r="C194" s="1">
        <v>45603</v>
      </c>
      <c r="D194" t="s">
        <v>75</v>
      </c>
      <c r="E194" t="s">
        <v>82</v>
      </c>
      <c r="F194" s="21">
        <v>129</v>
      </c>
      <c r="G194" s="21">
        <v>643</v>
      </c>
      <c r="H194" s="21">
        <v>136</v>
      </c>
      <c r="I194" s="21">
        <v>1290</v>
      </c>
      <c r="J194" s="21">
        <v>839</v>
      </c>
      <c r="K194" s="21">
        <v>238</v>
      </c>
      <c r="L194" t="s">
        <v>43</v>
      </c>
      <c r="M194" t="s">
        <v>19</v>
      </c>
    </row>
    <row r="195" spans="1:13">
      <c r="A195" t="s">
        <v>251</v>
      </c>
      <c r="B195" t="s">
        <v>55</v>
      </c>
      <c r="C195" s="1">
        <v>45488</v>
      </c>
      <c r="D195" t="s">
        <v>56</v>
      </c>
      <c r="E195" t="s">
        <v>57</v>
      </c>
      <c r="F195" s="21">
        <v>3796</v>
      </c>
      <c r="G195" s="21">
        <v>667</v>
      </c>
      <c r="H195" s="21">
        <v>395</v>
      </c>
      <c r="I195" s="21">
        <v>64532</v>
      </c>
      <c r="J195" s="21">
        <v>63550</v>
      </c>
      <c r="K195" s="21">
        <v>292</v>
      </c>
      <c r="L195" t="s">
        <v>43</v>
      </c>
    </row>
    <row r="196" spans="1:13">
      <c r="A196" t="s">
        <v>252</v>
      </c>
      <c r="B196" t="s">
        <v>46</v>
      </c>
      <c r="C196" s="1">
        <v>45629</v>
      </c>
      <c r="D196" t="s">
        <v>41</v>
      </c>
      <c r="E196" t="s">
        <v>92</v>
      </c>
      <c r="F196" s="21">
        <v>3711</v>
      </c>
      <c r="G196" s="21">
        <v>352</v>
      </c>
      <c r="H196" s="21">
        <v>290</v>
      </c>
      <c r="I196" s="21">
        <v>48243</v>
      </c>
      <c r="J196" s="21">
        <v>47579</v>
      </c>
      <c r="K196" s="21">
        <v>11</v>
      </c>
      <c r="L196" t="s">
        <v>43</v>
      </c>
      <c r="M196" t="s">
        <v>7</v>
      </c>
    </row>
    <row r="197" spans="1:13">
      <c r="A197" t="s">
        <v>253</v>
      </c>
      <c r="B197" t="s">
        <v>46</v>
      </c>
      <c r="C197" s="1">
        <v>45737</v>
      </c>
      <c r="D197" t="s">
        <v>61</v>
      </c>
      <c r="E197" t="s">
        <v>62</v>
      </c>
      <c r="F197" s="21">
        <v>606</v>
      </c>
      <c r="G197" s="21">
        <v>789</v>
      </c>
      <c r="H197" s="21">
        <v>470</v>
      </c>
      <c r="I197" s="21">
        <v>7878</v>
      </c>
      <c r="J197" s="21">
        <v>7389</v>
      </c>
      <c r="K197" s="21">
        <v>239</v>
      </c>
      <c r="L197" t="s">
        <v>52</v>
      </c>
      <c r="M197" t="s">
        <v>15</v>
      </c>
    </row>
    <row r="198" spans="1:13">
      <c r="A198" t="s">
        <v>254</v>
      </c>
      <c r="B198" t="s">
        <v>55</v>
      </c>
      <c r="C198" s="1">
        <v>45504</v>
      </c>
      <c r="D198" t="s">
        <v>61</v>
      </c>
      <c r="E198" t="s">
        <v>66</v>
      </c>
      <c r="F198" s="21">
        <v>4689</v>
      </c>
      <c r="G198" s="21">
        <v>134</v>
      </c>
      <c r="H198" s="21">
        <v>403</v>
      </c>
      <c r="I198" s="21">
        <v>51579</v>
      </c>
      <c r="J198" s="21">
        <v>50924</v>
      </c>
      <c r="K198" s="21">
        <v>173</v>
      </c>
      <c r="L198" t="s">
        <v>43</v>
      </c>
      <c r="M198" t="s">
        <v>19</v>
      </c>
    </row>
    <row r="199" spans="1:13">
      <c r="A199" t="s">
        <v>255</v>
      </c>
      <c r="B199" t="s">
        <v>49</v>
      </c>
      <c r="C199" s="1">
        <v>45643</v>
      </c>
      <c r="D199" t="s">
        <v>50</v>
      </c>
      <c r="E199" t="s">
        <v>51</v>
      </c>
      <c r="F199" s="21">
        <v>360</v>
      </c>
      <c r="G199" s="21">
        <v>590</v>
      </c>
      <c r="H199" s="21">
        <v>393</v>
      </c>
      <c r="I199" s="21">
        <v>4680</v>
      </c>
      <c r="J199" s="21">
        <v>4322</v>
      </c>
      <c r="K199" s="21">
        <v>208</v>
      </c>
      <c r="L199" t="s">
        <v>38</v>
      </c>
      <c r="M199" t="s">
        <v>11</v>
      </c>
    </row>
    <row r="200" spans="1:13">
      <c r="A200" t="s">
        <v>256</v>
      </c>
      <c r="B200" t="s">
        <v>35</v>
      </c>
      <c r="C200" s="1">
        <v>45501</v>
      </c>
      <c r="D200" t="s">
        <v>61</v>
      </c>
      <c r="E200" t="s">
        <v>107</v>
      </c>
      <c r="F200" s="21">
        <v>3215</v>
      </c>
      <c r="G200" s="21">
        <v>960</v>
      </c>
      <c r="H200" s="21">
        <v>202</v>
      </c>
      <c r="I200" s="21">
        <v>32150</v>
      </c>
      <c r="J200" s="21">
        <v>31404</v>
      </c>
      <c r="K200" s="21">
        <v>251</v>
      </c>
      <c r="L200" t="s">
        <v>52</v>
      </c>
      <c r="M200" t="s">
        <v>7</v>
      </c>
    </row>
    <row r="201" spans="1:13">
      <c r="A201" t="s">
        <v>257</v>
      </c>
      <c r="B201" t="s">
        <v>49</v>
      </c>
      <c r="C201" s="1">
        <v>45668</v>
      </c>
      <c r="D201" t="s">
        <v>56</v>
      </c>
      <c r="E201" t="s">
        <v>84</v>
      </c>
      <c r="F201" s="21">
        <v>4523</v>
      </c>
      <c r="G201" s="21">
        <v>61</v>
      </c>
      <c r="H201" s="21">
        <v>157</v>
      </c>
      <c r="I201" s="21">
        <v>49753</v>
      </c>
      <c r="J201" s="21">
        <v>49329</v>
      </c>
      <c r="K201" s="21">
        <v>71</v>
      </c>
      <c r="L201" t="s">
        <v>52</v>
      </c>
    </row>
    <row r="202" spans="1:13">
      <c r="A202" t="s">
        <v>258</v>
      </c>
      <c r="B202" t="s">
        <v>55</v>
      </c>
      <c r="C202" s="1">
        <v>45528</v>
      </c>
      <c r="D202" t="s">
        <v>56</v>
      </c>
      <c r="E202" t="s">
        <v>57</v>
      </c>
      <c r="F202" s="21">
        <v>4292</v>
      </c>
      <c r="G202" s="21">
        <v>51</v>
      </c>
      <c r="H202" s="21">
        <v>392</v>
      </c>
      <c r="I202" s="21">
        <v>55796</v>
      </c>
      <c r="J202" s="21">
        <v>54826</v>
      </c>
      <c r="K202" s="21">
        <v>264</v>
      </c>
      <c r="L202" t="s">
        <v>52</v>
      </c>
      <c r="M202" t="s">
        <v>15</v>
      </c>
    </row>
    <row r="203" spans="1:13">
      <c r="A203" t="s">
        <v>259</v>
      </c>
      <c r="B203" t="s">
        <v>35</v>
      </c>
      <c r="C203" s="1">
        <v>45648</v>
      </c>
      <c r="D203" t="s">
        <v>36</v>
      </c>
      <c r="E203" t="s">
        <v>37</v>
      </c>
      <c r="F203" s="21">
        <v>1644</v>
      </c>
      <c r="G203" s="21">
        <v>546</v>
      </c>
      <c r="H203" s="21">
        <v>150</v>
      </c>
      <c r="I203" s="21">
        <v>27948</v>
      </c>
      <c r="J203" s="21">
        <v>27184</v>
      </c>
      <c r="K203" s="21">
        <v>300</v>
      </c>
      <c r="L203" t="s">
        <v>52</v>
      </c>
      <c r="M203" t="s">
        <v>15</v>
      </c>
    </row>
    <row r="204" spans="1:13">
      <c r="A204" t="s">
        <v>260</v>
      </c>
      <c r="B204" t="s">
        <v>46</v>
      </c>
      <c r="C204" s="1">
        <v>45449</v>
      </c>
      <c r="D204" t="s">
        <v>36</v>
      </c>
      <c r="E204" t="s">
        <v>47</v>
      </c>
      <c r="F204" s="21">
        <v>2728</v>
      </c>
      <c r="G204" s="21">
        <v>533</v>
      </c>
      <c r="H204" s="21">
        <v>215</v>
      </c>
      <c r="I204" s="21">
        <v>40920</v>
      </c>
      <c r="J204" s="21">
        <v>40816</v>
      </c>
      <c r="K204" s="21">
        <v>137</v>
      </c>
      <c r="L204" t="s">
        <v>38</v>
      </c>
      <c r="M204" t="s">
        <v>11</v>
      </c>
    </row>
    <row r="205" spans="1:13">
      <c r="A205" t="s">
        <v>261</v>
      </c>
      <c r="B205" t="s">
        <v>55</v>
      </c>
      <c r="C205" s="1">
        <v>45740</v>
      </c>
      <c r="D205" t="s">
        <v>36</v>
      </c>
      <c r="E205" t="s">
        <v>69</v>
      </c>
      <c r="F205" s="21">
        <v>3360</v>
      </c>
      <c r="G205" s="21">
        <v>525</v>
      </c>
      <c r="H205" s="21">
        <v>500</v>
      </c>
      <c r="I205" s="21">
        <v>60480</v>
      </c>
      <c r="J205" s="21">
        <v>59610</v>
      </c>
      <c r="K205" s="21">
        <v>192</v>
      </c>
      <c r="L205" t="s">
        <v>43</v>
      </c>
      <c r="M205" t="s">
        <v>7</v>
      </c>
    </row>
    <row r="206" spans="1:13">
      <c r="A206" t="s">
        <v>262</v>
      </c>
      <c r="B206" t="s">
        <v>46</v>
      </c>
      <c r="C206" s="1">
        <v>45569</v>
      </c>
      <c r="D206" t="s">
        <v>41</v>
      </c>
      <c r="E206" t="s">
        <v>92</v>
      </c>
      <c r="F206" s="21">
        <v>1963</v>
      </c>
      <c r="G206" s="21">
        <v>213</v>
      </c>
      <c r="H206" s="21">
        <v>19</v>
      </c>
      <c r="I206" s="21">
        <v>39260</v>
      </c>
      <c r="J206" s="21">
        <v>38771</v>
      </c>
      <c r="K206" s="21">
        <v>145</v>
      </c>
      <c r="L206" t="s">
        <v>38</v>
      </c>
    </row>
    <row r="207" spans="1:13">
      <c r="A207" t="s">
        <v>263</v>
      </c>
      <c r="B207" t="s">
        <v>46</v>
      </c>
      <c r="C207" s="1">
        <v>45629</v>
      </c>
      <c r="D207" t="s">
        <v>50</v>
      </c>
      <c r="E207" t="s">
        <v>120</v>
      </c>
      <c r="F207" s="21">
        <v>4285</v>
      </c>
      <c r="G207" s="21">
        <v>886</v>
      </c>
      <c r="H207" s="21">
        <v>376</v>
      </c>
      <c r="I207" s="21">
        <v>55705</v>
      </c>
      <c r="J207" s="21">
        <v>55556</v>
      </c>
      <c r="K207" s="21">
        <v>51</v>
      </c>
      <c r="L207" t="s">
        <v>38</v>
      </c>
      <c r="M207" t="s">
        <v>15</v>
      </c>
    </row>
    <row r="208" spans="1:13">
      <c r="A208" t="s">
        <v>264</v>
      </c>
      <c r="B208" t="s">
        <v>49</v>
      </c>
      <c r="C208" s="1">
        <v>45625</v>
      </c>
      <c r="D208" t="s">
        <v>75</v>
      </c>
      <c r="E208" t="s">
        <v>82</v>
      </c>
      <c r="F208" s="21">
        <v>1176</v>
      </c>
      <c r="G208" s="21">
        <v>464</v>
      </c>
      <c r="H208" s="21">
        <v>394</v>
      </c>
      <c r="I208" s="21">
        <v>14112</v>
      </c>
      <c r="J208" s="21">
        <v>13588</v>
      </c>
      <c r="K208" s="21">
        <v>272</v>
      </c>
      <c r="L208" t="s">
        <v>52</v>
      </c>
    </row>
    <row r="209" spans="1:13">
      <c r="A209" t="s">
        <v>265</v>
      </c>
      <c r="B209" t="s">
        <v>35</v>
      </c>
      <c r="C209" s="1">
        <v>45546</v>
      </c>
      <c r="D209" t="s">
        <v>61</v>
      </c>
      <c r="E209" t="s">
        <v>107</v>
      </c>
      <c r="F209" s="21">
        <v>4858</v>
      </c>
      <c r="G209" s="21">
        <v>317</v>
      </c>
      <c r="H209" s="21">
        <v>129</v>
      </c>
      <c r="I209" s="21">
        <v>53438</v>
      </c>
      <c r="J209" s="21">
        <v>52687</v>
      </c>
      <c r="K209" s="21">
        <v>223</v>
      </c>
      <c r="L209" t="s">
        <v>52</v>
      </c>
      <c r="M209" t="s">
        <v>15</v>
      </c>
    </row>
    <row r="210" spans="1:13">
      <c r="A210" t="s">
        <v>266</v>
      </c>
      <c r="B210" t="s">
        <v>46</v>
      </c>
      <c r="C210" s="1">
        <v>45567</v>
      </c>
      <c r="D210" t="s">
        <v>50</v>
      </c>
      <c r="E210" t="s">
        <v>120</v>
      </c>
      <c r="F210" s="21">
        <v>4350</v>
      </c>
      <c r="G210" s="21">
        <v>771</v>
      </c>
      <c r="H210" s="21">
        <v>7</v>
      </c>
      <c r="I210" s="21">
        <v>60900</v>
      </c>
      <c r="J210" s="21">
        <v>60592</v>
      </c>
      <c r="K210" s="21">
        <v>195</v>
      </c>
      <c r="L210" t="s">
        <v>52</v>
      </c>
      <c r="M210" t="s">
        <v>7</v>
      </c>
    </row>
    <row r="211" spans="1:13">
      <c r="A211" t="s">
        <v>267</v>
      </c>
      <c r="B211" t="s">
        <v>49</v>
      </c>
      <c r="C211" s="1">
        <v>45519</v>
      </c>
      <c r="D211" t="s">
        <v>56</v>
      </c>
      <c r="E211" t="s">
        <v>84</v>
      </c>
      <c r="F211" s="21">
        <v>914</v>
      </c>
      <c r="G211" s="21">
        <v>464</v>
      </c>
      <c r="H211" s="21">
        <v>246</v>
      </c>
      <c r="I211" s="21">
        <v>11882</v>
      </c>
      <c r="J211" s="21">
        <v>11500</v>
      </c>
      <c r="K211" s="21">
        <v>282</v>
      </c>
      <c r="L211" t="s">
        <v>38</v>
      </c>
      <c r="M211" t="s">
        <v>19</v>
      </c>
    </row>
    <row r="212" spans="1:13">
      <c r="A212" t="s">
        <v>267</v>
      </c>
      <c r="B212" t="s">
        <v>49</v>
      </c>
      <c r="C212" s="1">
        <v>45519</v>
      </c>
      <c r="D212" t="s">
        <v>56</v>
      </c>
      <c r="E212" t="s">
        <v>84</v>
      </c>
      <c r="F212" s="21">
        <v>914</v>
      </c>
      <c r="G212" s="21">
        <v>464</v>
      </c>
      <c r="H212" s="21">
        <v>246</v>
      </c>
      <c r="I212" s="21">
        <v>11882</v>
      </c>
      <c r="J212" s="21">
        <v>11500</v>
      </c>
      <c r="K212" s="21">
        <v>282</v>
      </c>
      <c r="L212" t="s">
        <v>43</v>
      </c>
      <c r="M212" t="s">
        <v>19</v>
      </c>
    </row>
    <row r="213" spans="1:13">
      <c r="A213" t="s">
        <v>267</v>
      </c>
      <c r="B213" t="s">
        <v>49</v>
      </c>
      <c r="C213" s="1">
        <v>45519</v>
      </c>
      <c r="D213" t="s">
        <v>56</v>
      </c>
      <c r="E213" t="s">
        <v>84</v>
      </c>
      <c r="F213" s="21">
        <v>914</v>
      </c>
      <c r="G213" s="21">
        <v>464</v>
      </c>
      <c r="H213" s="21">
        <v>246</v>
      </c>
      <c r="I213" s="21">
        <v>11882</v>
      </c>
      <c r="J213" s="21">
        <v>11500</v>
      </c>
      <c r="K213" s="21">
        <v>282</v>
      </c>
      <c r="L213" t="s">
        <v>39</v>
      </c>
      <c r="M213" t="s">
        <v>19</v>
      </c>
    </row>
    <row r="214" spans="1:13">
      <c r="A214" t="s">
        <v>268</v>
      </c>
      <c r="B214" t="s">
        <v>49</v>
      </c>
      <c r="C214" s="1">
        <v>45645</v>
      </c>
      <c r="D214" t="s">
        <v>41</v>
      </c>
      <c r="E214" t="s">
        <v>97</v>
      </c>
      <c r="F214" s="21">
        <v>1813</v>
      </c>
      <c r="G214" s="21">
        <v>623</v>
      </c>
      <c r="H214" s="21">
        <v>72</v>
      </c>
      <c r="I214" s="21">
        <v>19943</v>
      </c>
      <c r="J214" s="21">
        <v>18959</v>
      </c>
      <c r="K214" s="21">
        <v>85</v>
      </c>
      <c r="L214" t="s">
        <v>52</v>
      </c>
      <c r="M214" t="s">
        <v>15</v>
      </c>
    </row>
    <row r="215" spans="1:13">
      <c r="A215" t="s">
        <v>269</v>
      </c>
      <c r="B215" t="s">
        <v>35</v>
      </c>
      <c r="C215" s="1">
        <v>45587</v>
      </c>
      <c r="D215" t="s">
        <v>36</v>
      </c>
      <c r="E215" t="s">
        <v>37</v>
      </c>
      <c r="F215" s="21">
        <v>4782</v>
      </c>
      <c r="G215" s="21">
        <v>721</v>
      </c>
      <c r="H215" s="21">
        <v>82</v>
      </c>
      <c r="I215" s="21">
        <v>86076</v>
      </c>
      <c r="J215" s="21">
        <v>85339</v>
      </c>
      <c r="K215" s="21">
        <v>19</v>
      </c>
      <c r="L215" t="s">
        <v>52</v>
      </c>
      <c r="M215" t="s">
        <v>7</v>
      </c>
    </row>
    <row r="216" spans="1:13">
      <c r="A216" t="s">
        <v>270</v>
      </c>
      <c r="B216" t="s">
        <v>35</v>
      </c>
      <c r="C216" s="1">
        <v>45549</v>
      </c>
      <c r="D216" t="s">
        <v>61</v>
      </c>
      <c r="E216" t="s">
        <v>107</v>
      </c>
      <c r="F216" s="21">
        <v>1048</v>
      </c>
      <c r="G216" s="21">
        <v>374</v>
      </c>
      <c r="H216" s="21">
        <v>450</v>
      </c>
      <c r="I216" s="21">
        <v>9432</v>
      </c>
      <c r="J216" s="21">
        <v>8882</v>
      </c>
      <c r="K216" s="21">
        <v>158</v>
      </c>
      <c r="L216" t="s">
        <v>43</v>
      </c>
      <c r="M216" t="s">
        <v>15</v>
      </c>
    </row>
    <row r="217" spans="1:13">
      <c r="A217" t="s">
        <v>271</v>
      </c>
      <c r="B217" t="s">
        <v>46</v>
      </c>
      <c r="C217" s="1">
        <v>45626</v>
      </c>
      <c r="D217" t="s">
        <v>56</v>
      </c>
      <c r="E217" t="s">
        <v>71</v>
      </c>
      <c r="F217" s="21">
        <v>2509</v>
      </c>
      <c r="G217" s="21">
        <v>324</v>
      </c>
      <c r="H217" s="21">
        <v>171</v>
      </c>
      <c r="I217" s="21">
        <v>35126</v>
      </c>
      <c r="J217" s="21">
        <v>34685</v>
      </c>
      <c r="K217" s="21">
        <v>277</v>
      </c>
      <c r="L217" t="s">
        <v>43</v>
      </c>
      <c r="M217" t="s">
        <v>11</v>
      </c>
    </row>
    <row r="218" spans="1:13">
      <c r="A218" t="s">
        <v>272</v>
      </c>
      <c r="B218" t="s">
        <v>55</v>
      </c>
      <c r="C218" s="1">
        <v>45754</v>
      </c>
      <c r="D218" t="s">
        <v>36</v>
      </c>
      <c r="E218" t="s">
        <v>69</v>
      </c>
      <c r="F218" s="21">
        <v>3718</v>
      </c>
      <c r="G218" s="21">
        <v>385</v>
      </c>
      <c r="H218" s="21">
        <v>310</v>
      </c>
      <c r="I218" s="21">
        <v>70642</v>
      </c>
      <c r="J218" s="21">
        <v>69749</v>
      </c>
      <c r="K218" s="21">
        <v>233</v>
      </c>
      <c r="L218" t="s">
        <v>43</v>
      </c>
      <c r="M218" t="s">
        <v>11</v>
      </c>
    </row>
    <row r="219" spans="1:13">
      <c r="A219" t="s">
        <v>273</v>
      </c>
      <c r="B219" t="s">
        <v>35</v>
      </c>
      <c r="C219" s="1">
        <v>45672</v>
      </c>
      <c r="D219" t="s">
        <v>36</v>
      </c>
      <c r="E219" t="s">
        <v>37</v>
      </c>
      <c r="F219" s="21">
        <v>802</v>
      </c>
      <c r="G219" s="21">
        <v>262</v>
      </c>
      <c r="H219" s="21">
        <v>244</v>
      </c>
      <c r="I219" s="21">
        <v>14436</v>
      </c>
      <c r="J219" s="21">
        <v>14280</v>
      </c>
      <c r="K219" s="21">
        <v>49</v>
      </c>
      <c r="L219" t="s">
        <v>52</v>
      </c>
      <c r="M219" t="s">
        <v>7</v>
      </c>
    </row>
    <row r="220" spans="1:13">
      <c r="A220" t="s">
        <v>274</v>
      </c>
      <c r="B220" t="s">
        <v>55</v>
      </c>
      <c r="C220" s="1">
        <v>45445</v>
      </c>
      <c r="D220" t="s">
        <v>61</v>
      </c>
      <c r="E220" t="s">
        <v>66</v>
      </c>
      <c r="F220" s="21">
        <v>1871</v>
      </c>
      <c r="G220" s="21">
        <v>252</v>
      </c>
      <c r="H220" s="21">
        <v>335</v>
      </c>
      <c r="I220" s="21">
        <v>29936</v>
      </c>
      <c r="J220" s="21">
        <v>29576</v>
      </c>
      <c r="K220" s="21">
        <v>288</v>
      </c>
      <c r="L220" t="s">
        <v>52</v>
      </c>
      <c r="M220" t="s">
        <v>15</v>
      </c>
    </row>
    <row r="221" spans="1:13">
      <c r="A221" t="s">
        <v>275</v>
      </c>
      <c r="B221" t="s">
        <v>49</v>
      </c>
      <c r="C221" s="1">
        <v>45617</v>
      </c>
      <c r="D221" t="s">
        <v>56</v>
      </c>
      <c r="E221" t="s">
        <v>84</v>
      </c>
      <c r="F221" s="21">
        <v>3773</v>
      </c>
      <c r="G221" s="21">
        <v>299</v>
      </c>
      <c r="H221" s="21">
        <v>38</v>
      </c>
      <c r="I221" s="21">
        <v>71687</v>
      </c>
      <c r="J221" s="21">
        <v>71447</v>
      </c>
      <c r="K221" s="21">
        <v>286</v>
      </c>
      <c r="L221" t="s">
        <v>38</v>
      </c>
      <c r="M221" t="s">
        <v>7</v>
      </c>
    </row>
    <row r="222" spans="1:13">
      <c r="A222" t="s">
        <v>276</v>
      </c>
      <c r="B222" t="s">
        <v>49</v>
      </c>
      <c r="C222" s="1">
        <v>45658</v>
      </c>
      <c r="D222" t="s">
        <v>56</v>
      </c>
      <c r="E222" t="s">
        <v>84</v>
      </c>
      <c r="F222" s="21">
        <v>2234</v>
      </c>
      <c r="G222" s="21">
        <v>653</v>
      </c>
      <c r="H222" s="21">
        <v>432</v>
      </c>
      <c r="I222" s="21">
        <v>11170</v>
      </c>
      <c r="J222" s="21">
        <v>10569</v>
      </c>
      <c r="K222" s="21">
        <v>198</v>
      </c>
      <c r="L222" t="s">
        <v>38</v>
      </c>
      <c r="M222" t="s">
        <v>15</v>
      </c>
    </row>
    <row r="223" spans="1:13">
      <c r="A223" t="s">
        <v>277</v>
      </c>
      <c r="B223" t="s">
        <v>35</v>
      </c>
      <c r="C223" s="1">
        <v>45771</v>
      </c>
      <c r="D223" t="s">
        <v>75</v>
      </c>
      <c r="E223" t="s">
        <v>114</v>
      </c>
      <c r="F223" s="21">
        <v>3820</v>
      </c>
      <c r="G223" s="21">
        <v>697</v>
      </c>
      <c r="H223" s="21">
        <v>268</v>
      </c>
      <c r="I223" s="21">
        <v>45840</v>
      </c>
      <c r="J223" s="21">
        <v>45631</v>
      </c>
      <c r="K223" s="21">
        <v>171</v>
      </c>
      <c r="L223" t="s">
        <v>43</v>
      </c>
      <c r="M223" t="s">
        <v>19</v>
      </c>
    </row>
    <row r="224" spans="1:13">
      <c r="A224" t="s">
        <v>277</v>
      </c>
      <c r="B224" t="s">
        <v>35</v>
      </c>
      <c r="C224" s="1">
        <v>45771</v>
      </c>
      <c r="D224" t="s">
        <v>75</v>
      </c>
      <c r="E224" t="s">
        <v>114</v>
      </c>
      <c r="F224" s="21">
        <v>3820</v>
      </c>
      <c r="G224" s="21">
        <v>697</v>
      </c>
      <c r="H224" s="21">
        <v>268</v>
      </c>
      <c r="I224" s="21">
        <v>45840</v>
      </c>
      <c r="J224" s="21">
        <v>45631</v>
      </c>
      <c r="K224" s="21">
        <v>171</v>
      </c>
      <c r="L224" t="s">
        <v>18</v>
      </c>
      <c r="M224" t="s">
        <v>19</v>
      </c>
    </row>
    <row r="225" spans="1:13">
      <c r="A225" t="s">
        <v>278</v>
      </c>
      <c r="B225" t="s">
        <v>35</v>
      </c>
      <c r="C225" s="1">
        <v>45467</v>
      </c>
      <c r="D225" t="s">
        <v>41</v>
      </c>
      <c r="E225" t="s">
        <v>42</v>
      </c>
      <c r="F225" s="21">
        <v>941</v>
      </c>
      <c r="G225" s="21">
        <v>121</v>
      </c>
      <c r="H225" s="21">
        <v>458</v>
      </c>
      <c r="I225" s="21">
        <v>14115</v>
      </c>
      <c r="J225" s="21">
        <v>13838</v>
      </c>
      <c r="K225" s="21">
        <v>87</v>
      </c>
      <c r="L225" t="s">
        <v>52</v>
      </c>
      <c r="M225" t="s">
        <v>7</v>
      </c>
    </row>
    <row r="226" spans="1:13">
      <c r="A226" t="s">
        <v>279</v>
      </c>
      <c r="B226" t="s">
        <v>35</v>
      </c>
      <c r="C226" s="1">
        <v>45655</v>
      </c>
      <c r="D226" t="s">
        <v>56</v>
      </c>
      <c r="E226" t="s">
        <v>59</v>
      </c>
      <c r="F226" s="21">
        <v>4274</v>
      </c>
      <c r="G226" s="21">
        <v>340</v>
      </c>
      <c r="H226" s="21">
        <v>281</v>
      </c>
      <c r="I226" s="21">
        <v>34192</v>
      </c>
      <c r="J226" s="21">
        <v>33446</v>
      </c>
      <c r="K226" s="21">
        <v>129</v>
      </c>
      <c r="L226" t="s">
        <v>43</v>
      </c>
      <c r="M226" t="s">
        <v>15</v>
      </c>
    </row>
    <row r="227" spans="1:13">
      <c r="A227" t="s">
        <v>279</v>
      </c>
      <c r="B227" t="s">
        <v>35</v>
      </c>
      <c r="C227" s="1">
        <v>45655</v>
      </c>
      <c r="D227" t="s">
        <v>56</v>
      </c>
      <c r="E227" t="s">
        <v>59</v>
      </c>
      <c r="F227" s="21">
        <v>4274</v>
      </c>
      <c r="G227" s="21">
        <v>340</v>
      </c>
      <c r="H227" s="21">
        <v>281</v>
      </c>
      <c r="I227" s="21">
        <v>34192</v>
      </c>
      <c r="J227" s="21">
        <v>33446</v>
      </c>
      <c r="K227" s="21">
        <v>129</v>
      </c>
      <c r="L227" t="s">
        <v>18</v>
      </c>
      <c r="M227" t="s">
        <v>15</v>
      </c>
    </row>
    <row r="228" spans="1:13">
      <c r="A228" t="s">
        <v>280</v>
      </c>
      <c r="B228" t="s">
        <v>46</v>
      </c>
      <c r="C228" s="1">
        <v>45467</v>
      </c>
      <c r="D228" t="s">
        <v>75</v>
      </c>
      <c r="E228" t="s">
        <v>155</v>
      </c>
      <c r="F228" s="21">
        <v>2949</v>
      </c>
      <c r="G228" s="21">
        <v>476</v>
      </c>
      <c r="H228" s="21">
        <v>403</v>
      </c>
      <c r="I228" s="21">
        <v>44235</v>
      </c>
      <c r="J228" s="21">
        <v>43705</v>
      </c>
      <c r="K228" s="21">
        <v>135</v>
      </c>
      <c r="L228" t="s">
        <v>43</v>
      </c>
      <c r="M228" t="s">
        <v>11</v>
      </c>
    </row>
    <row r="229" spans="1:13">
      <c r="A229" t="s">
        <v>281</v>
      </c>
      <c r="B229" t="s">
        <v>35</v>
      </c>
      <c r="C229" s="1">
        <v>45735</v>
      </c>
      <c r="D229" t="s">
        <v>75</v>
      </c>
      <c r="E229" t="s">
        <v>114</v>
      </c>
      <c r="F229" s="21">
        <v>3160</v>
      </c>
      <c r="G229" s="21">
        <v>204</v>
      </c>
      <c r="H229" s="21">
        <v>297</v>
      </c>
      <c r="I229" s="21">
        <v>44240</v>
      </c>
      <c r="J229" s="21">
        <v>43666</v>
      </c>
      <c r="K229" s="21">
        <v>49</v>
      </c>
      <c r="L229" t="s">
        <v>38</v>
      </c>
      <c r="M229" t="s">
        <v>19</v>
      </c>
    </row>
    <row r="230" spans="1:13">
      <c r="A230" t="s">
        <v>281</v>
      </c>
      <c r="B230" t="s">
        <v>35</v>
      </c>
      <c r="C230" s="1">
        <v>45735</v>
      </c>
      <c r="D230" t="s">
        <v>75</v>
      </c>
      <c r="E230" t="s">
        <v>114</v>
      </c>
      <c r="F230" s="21">
        <v>3160</v>
      </c>
      <c r="G230" s="21">
        <v>204</v>
      </c>
      <c r="H230" s="21">
        <v>297</v>
      </c>
      <c r="I230" s="21">
        <v>44240</v>
      </c>
      <c r="J230" s="21">
        <v>43666</v>
      </c>
      <c r="K230" s="21">
        <v>49</v>
      </c>
      <c r="L230" t="s">
        <v>39</v>
      </c>
      <c r="M230" t="s">
        <v>19</v>
      </c>
    </row>
    <row r="231" spans="1:13">
      <c r="A231" t="s">
        <v>282</v>
      </c>
      <c r="B231" t="s">
        <v>46</v>
      </c>
      <c r="C231" s="1">
        <v>45707</v>
      </c>
      <c r="D231" t="s">
        <v>61</v>
      </c>
      <c r="E231" t="s">
        <v>62</v>
      </c>
      <c r="F231" s="21">
        <v>257</v>
      </c>
      <c r="G231" s="21">
        <v>966</v>
      </c>
      <c r="H231" s="21">
        <v>398</v>
      </c>
      <c r="I231" s="21">
        <v>3341</v>
      </c>
      <c r="J231" s="21">
        <v>2753</v>
      </c>
      <c r="K231" s="21">
        <v>287</v>
      </c>
      <c r="L231" t="s">
        <v>38</v>
      </c>
      <c r="M231" t="s">
        <v>7</v>
      </c>
    </row>
    <row r="232" spans="1:13">
      <c r="A232" t="s">
        <v>283</v>
      </c>
      <c r="B232" t="s">
        <v>35</v>
      </c>
      <c r="C232" s="1">
        <v>45491</v>
      </c>
      <c r="D232" t="s">
        <v>56</v>
      </c>
      <c r="E232" t="s">
        <v>59</v>
      </c>
      <c r="F232" s="21">
        <v>2120</v>
      </c>
      <c r="G232" s="21">
        <v>38</v>
      </c>
      <c r="H232" s="21">
        <v>212</v>
      </c>
      <c r="I232" s="21">
        <v>12720</v>
      </c>
      <c r="J232" s="21">
        <v>12564</v>
      </c>
      <c r="K232" s="21">
        <v>21</v>
      </c>
      <c r="L232" t="s">
        <v>38</v>
      </c>
      <c r="M232" t="s">
        <v>19</v>
      </c>
    </row>
    <row r="233" spans="1:13">
      <c r="A233" t="s">
        <v>284</v>
      </c>
      <c r="B233" t="s">
        <v>46</v>
      </c>
      <c r="C233" s="1">
        <v>45719</v>
      </c>
      <c r="D233" t="s">
        <v>75</v>
      </c>
      <c r="E233" t="s">
        <v>155</v>
      </c>
      <c r="F233" s="21">
        <v>3874</v>
      </c>
      <c r="G233" s="21">
        <v>884</v>
      </c>
      <c r="H233" s="21">
        <v>19</v>
      </c>
      <c r="I233" s="21">
        <v>38740</v>
      </c>
      <c r="J233" s="21">
        <v>38552</v>
      </c>
      <c r="K233" s="21">
        <v>219</v>
      </c>
      <c r="L233" t="s">
        <v>43</v>
      </c>
      <c r="M233" t="s">
        <v>11</v>
      </c>
    </row>
    <row r="234" spans="1:13">
      <c r="A234" t="s">
        <v>285</v>
      </c>
      <c r="B234" t="s">
        <v>55</v>
      </c>
      <c r="C234" s="1">
        <v>45778</v>
      </c>
      <c r="D234" t="s">
        <v>56</v>
      </c>
      <c r="E234" t="s">
        <v>57</v>
      </c>
      <c r="F234" s="21">
        <v>2696</v>
      </c>
      <c r="G234" s="21">
        <v>628</v>
      </c>
      <c r="H234" s="21">
        <v>443</v>
      </c>
      <c r="I234" s="21">
        <v>45832</v>
      </c>
      <c r="J234" s="21">
        <v>45632</v>
      </c>
      <c r="K234" s="21">
        <v>248</v>
      </c>
      <c r="L234" t="s">
        <v>52</v>
      </c>
      <c r="M234" t="s">
        <v>19</v>
      </c>
    </row>
    <row r="235" spans="1:13">
      <c r="A235" t="s">
        <v>286</v>
      </c>
      <c r="B235" t="s">
        <v>49</v>
      </c>
      <c r="C235" s="1">
        <v>45649</v>
      </c>
      <c r="D235" t="s">
        <v>61</v>
      </c>
      <c r="E235" t="s">
        <v>153</v>
      </c>
      <c r="F235" s="21">
        <v>521</v>
      </c>
      <c r="G235" s="21">
        <v>746</v>
      </c>
      <c r="H235" s="21">
        <v>315</v>
      </c>
      <c r="I235" s="21">
        <v>4168</v>
      </c>
      <c r="J235" s="21">
        <v>3399</v>
      </c>
      <c r="K235" s="21">
        <v>282</v>
      </c>
      <c r="L235" t="s">
        <v>38</v>
      </c>
      <c r="M235" t="s">
        <v>11</v>
      </c>
    </row>
    <row r="236" spans="1:13">
      <c r="A236" t="s">
        <v>287</v>
      </c>
      <c r="B236" t="s">
        <v>55</v>
      </c>
      <c r="C236" s="1">
        <v>45783</v>
      </c>
      <c r="D236" t="s">
        <v>61</v>
      </c>
      <c r="E236" t="s">
        <v>66</v>
      </c>
      <c r="F236" s="21">
        <v>4872</v>
      </c>
      <c r="G236" s="21">
        <v>925</v>
      </c>
      <c r="H236" s="21">
        <v>176</v>
      </c>
      <c r="I236" s="21">
        <v>82824</v>
      </c>
      <c r="J236" s="21">
        <v>82543</v>
      </c>
      <c r="K236" s="21">
        <v>89</v>
      </c>
      <c r="L236" t="s">
        <v>52</v>
      </c>
      <c r="M236" t="s">
        <v>11</v>
      </c>
    </row>
    <row r="237" spans="1:13">
      <c r="A237" t="s">
        <v>288</v>
      </c>
      <c r="B237" t="s">
        <v>46</v>
      </c>
      <c r="C237" s="1">
        <v>45502</v>
      </c>
      <c r="D237" t="s">
        <v>50</v>
      </c>
      <c r="E237" t="s">
        <v>120</v>
      </c>
      <c r="F237" s="21">
        <v>1509</v>
      </c>
      <c r="G237" s="21">
        <v>88</v>
      </c>
      <c r="H237" s="21">
        <v>163</v>
      </c>
      <c r="I237" s="21">
        <v>30180</v>
      </c>
      <c r="J237" s="21">
        <v>29689</v>
      </c>
      <c r="K237" s="21">
        <v>119</v>
      </c>
      <c r="L237" t="s">
        <v>52</v>
      </c>
      <c r="M237" t="s">
        <v>11</v>
      </c>
    </row>
    <row r="238" spans="1:13">
      <c r="A238" t="s">
        <v>289</v>
      </c>
      <c r="B238" t="s">
        <v>55</v>
      </c>
      <c r="C238" s="1">
        <v>45629</v>
      </c>
      <c r="D238" t="s">
        <v>61</v>
      </c>
      <c r="E238" t="s">
        <v>66</v>
      </c>
      <c r="F238" s="21">
        <v>4606</v>
      </c>
      <c r="G238" s="21">
        <v>931</v>
      </c>
      <c r="H238" s="21">
        <v>230</v>
      </c>
      <c r="I238" s="21">
        <v>92120</v>
      </c>
      <c r="J238" s="21">
        <v>91440</v>
      </c>
      <c r="K238" s="21">
        <v>56</v>
      </c>
      <c r="L238" t="s">
        <v>43</v>
      </c>
    </row>
    <row r="239" spans="1:13">
      <c r="A239" t="s">
        <v>290</v>
      </c>
      <c r="B239" t="s">
        <v>55</v>
      </c>
      <c r="C239" s="1">
        <v>45454</v>
      </c>
      <c r="D239" t="s">
        <v>56</v>
      </c>
      <c r="E239" t="s">
        <v>57</v>
      </c>
      <c r="F239" s="21">
        <v>1869</v>
      </c>
      <c r="G239" s="21">
        <v>453</v>
      </c>
      <c r="H239" s="21">
        <v>490</v>
      </c>
      <c r="I239" s="21">
        <v>14952</v>
      </c>
      <c r="J239" s="21">
        <v>14309</v>
      </c>
      <c r="K239" s="21">
        <v>275</v>
      </c>
      <c r="L239" t="s">
        <v>43</v>
      </c>
      <c r="M239" t="s">
        <v>19</v>
      </c>
    </row>
    <row r="240" spans="1:13">
      <c r="A240" t="s">
        <v>291</v>
      </c>
      <c r="B240" t="s">
        <v>35</v>
      </c>
      <c r="C240" s="1">
        <v>45685</v>
      </c>
      <c r="D240" t="s">
        <v>36</v>
      </c>
      <c r="E240" t="s">
        <v>37</v>
      </c>
      <c r="F240" s="21">
        <v>1188</v>
      </c>
      <c r="G240" s="21">
        <v>470</v>
      </c>
      <c r="H240" s="21">
        <v>174</v>
      </c>
      <c r="I240" s="21">
        <v>7128</v>
      </c>
      <c r="J240" s="21">
        <v>6145</v>
      </c>
      <c r="K240" s="21">
        <v>270</v>
      </c>
      <c r="L240" t="s">
        <v>43</v>
      </c>
      <c r="M240" t="s">
        <v>19</v>
      </c>
    </row>
    <row r="241" spans="1:13">
      <c r="A241" t="s">
        <v>292</v>
      </c>
      <c r="B241" t="s">
        <v>49</v>
      </c>
      <c r="C241" s="1">
        <v>45445</v>
      </c>
      <c r="D241" t="s">
        <v>50</v>
      </c>
      <c r="E241" t="s">
        <v>51</v>
      </c>
      <c r="F241" s="21">
        <v>84</v>
      </c>
      <c r="G241" s="21">
        <v>897</v>
      </c>
      <c r="H241" s="21">
        <v>85</v>
      </c>
      <c r="I241" s="21">
        <v>588</v>
      </c>
      <c r="J241" s="21">
        <v>8</v>
      </c>
      <c r="K241" s="21">
        <v>12</v>
      </c>
      <c r="L241" t="s">
        <v>52</v>
      </c>
    </row>
    <row r="242" spans="1:13">
      <c r="A242" t="s">
        <v>293</v>
      </c>
      <c r="B242" t="s">
        <v>55</v>
      </c>
      <c r="C242" s="1">
        <v>45739</v>
      </c>
      <c r="D242" t="s">
        <v>75</v>
      </c>
      <c r="E242" t="s">
        <v>76</v>
      </c>
      <c r="F242" s="21">
        <v>4453</v>
      </c>
      <c r="G242" s="21">
        <v>111</v>
      </c>
      <c r="H242" s="21">
        <v>420</v>
      </c>
      <c r="I242" s="21">
        <v>31171</v>
      </c>
      <c r="J242" s="21">
        <v>30565</v>
      </c>
      <c r="K242" s="21">
        <v>23</v>
      </c>
      <c r="L242" t="s">
        <v>43</v>
      </c>
    </row>
    <row r="243" spans="1:13">
      <c r="A243" t="s">
        <v>294</v>
      </c>
      <c r="B243" t="s">
        <v>55</v>
      </c>
      <c r="C243" s="1">
        <v>45573</v>
      </c>
      <c r="D243" t="s">
        <v>36</v>
      </c>
      <c r="E243" t="s">
        <v>69</v>
      </c>
      <c r="F243" s="21">
        <v>1814</v>
      </c>
      <c r="G243" s="21">
        <v>653</v>
      </c>
      <c r="H243" s="21">
        <v>363</v>
      </c>
      <c r="I243" s="21">
        <v>25396</v>
      </c>
      <c r="J243" s="21">
        <v>25286</v>
      </c>
      <c r="K243" s="21">
        <v>39</v>
      </c>
      <c r="L243" t="s">
        <v>38</v>
      </c>
      <c r="M243" t="s">
        <v>7</v>
      </c>
    </row>
    <row r="244" spans="1:13">
      <c r="A244" t="s">
        <v>294</v>
      </c>
      <c r="B244" t="s">
        <v>55</v>
      </c>
      <c r="C244" s="1">
        <v>45573</v>
      </c>
      <c r="D244" t="s">
        <v>36</v>
      </c>
      <c r="E244" t="s">
        <v>69</v>
      </c>
      <c r="F244" s="21">
        <v>1814</v>
      </c>
      <c r="G244" s="21">
        <v>653</v>
      </c>
      <c r="H244" s="21">
        <v>363</v>
      </c>
      <c r="I244" s="21">
        <v>25396</v>
      </c>
      <c r="J244" s="21">
        <v>25286</v>
      </c>
      <c r="K244" s="21">
        <v>39</v>
      </c>
      <c r="L244" t="s">
        <v>18</v>
      </c>
      <c r="M244" t="s">
        <v>7</v>
      </c>
    </row>
    <row r="245" spans="1:13">
      <c r="A245" t="s">
        <v>295</v>
      </c>
      <c r="B245" t="s">
        <v>35</v>
      </c>
      <c r="C245" s="1">
        <v>45608</v>
      </c>
      <c r="D245" t="s">
        <v>61</v>
      </c>
      <c r="E245" t="s">
        <v>107</v>
      </c>
      <c r="F245" s="21">
        <v>3338</v>
      </c>
      <c r="G245" s="21">
        <v>277</v>
      </c>
      <c r="H245" s="21">
        <v>118</v>
      </c>
      <c r="I245" s="21">
        <v>60084</v>
      </c>
      <c r="J245" s="21">
        <v>59842</v>
      </c>
      <c r="K245" s="21">
        <v>252</v>
      </c>
      <c r="L245" t="s">
        <v>43</v>
      </c>
    </row>
    <row r="246" spans="1:13">
      <c r="A246" t="s">
        <v>296</v>
      </c>
      <c r="B246" t="s">
        <v>55</v>
      </c>
      <c r="C246" s="1">
        <v>45790</v>
      </c>
      <c r="D246" t="s">
        <v>61</v>
      </c>
      <c r="E246" t="s">
        <v>66</v>
      </c>
      <c r="F246" s="21">
        <v>602</v>
      </c>
      <c r="G246" s="21">
        <v>594</v>
      </c>
      <c r="H246" s="21">
        <v>156</v>
      </c>
      <c r="I246" s="21">
        <v>4214</v>
      </c>
      <c r="J246" s="21">
        <v>3363</v>
      </c>
      <c r="K246" s="21">
        <v>164</v>
      </c>
      <c r="L246" t="s">
        <v>43</v>
      </c>
      <c r="M246" t="s">
        <v>15</v>
      </c>
    </row>
    <row r="247" spans="1:13">
      <c r="A247" t="s">
        <v>297</v>
      </c>
      <c r="B247" t="s">
        <v>35</v>
      </c>
      <c r="C247" s="1">
        <v>45463</v>
      </c>
      <c r="D247" t="s">
        <v>56</v>
      </c>
      <c r="E247" t="s">
        <v>59</v>
      </c>
      <c r="F247" s="21">
        <v>4672</v>
      </c>
      <c r="G247" s="21">
        <v>325</v>
      </c>
      <c r="H247" s="21">
        <v>32</v>
      </c>
      <c r="I247" s="21">
        <v>88768</v>
      </c>
      <c r="J247" s="21">
        <v>87833</v>
      </c>
      <c r="K247" s="21">
        <v>118</v>
      </c>
      <c r="L247" t="s">
        <v>52</v>
      </c>
    </row>
    <row r="248" spans="1:13">
      <c r="A248" t="s">
        <v>298</v>
      </c>
      <c r="B248" t="s">
        <v>49</v>
      </c>
      <c r="C248" s="1">
        <v>45511</v>
      </c>
      <c r="D248" t="s">
        <v>56</v>
      </c>
      <c r="E248" t="s">
        <v>84</v>
      </c>
      <c r="F248" s="21">
        <v>1741</v>
      </c>
      <c r="G248" s="21">
        <v>164</v>
      </c>
      <c r="H248" s="21">
        <v>318</v>
      </c>
      <c r="I248" s="21">
        <v>8705</v>
      </c>
      <c r="J248" s="21">
        <v>8272</v>
      </c>
      <c r="K248" s="21">
        <v>121</v>
      </c>
      <c r="L248" t="s">
        <v>43</v>
      </c>
    </row>
    <row r="249" spans="1:13">
      <c r="A249" t="s">
        <v>299</v>
      </c>
      <c r="B249" t="s">
        <v>49</v>
      </c>
      <c r="C249" s="1">
        <v>45455</v>
      </c>
      <c r="D249" t="s">
        <v>41</v>
      </c>
      <c r="E249" t="s">
        <v>97</v>
      </c>
      <c r="F249" s="21">
        <v>246</v>
      </c>
      <c r="G249" s="21">
        <v>149</v>
      </c>
      <c r="H249" s="21">
        <v>130</v>
      </c>
      <c r="I249" s="21">
        <v>4674</v>
      </c>
      <c r="J249" s="21">
        <v>4390</v>
      </c>
      <c r="K249" s="21">
        <v>217</v>
      </c>
      <c r="L249" t="s">
        <v>38</v>
      </c>
      <c r="M249" t="s">
        <v>15</v>
      </c>
    </row>
    <row r="250" spans="1:13">
      <c r="A250" t="s">
        <v>300</v>
      </c>
      <c r="B250" t="s">
        <v>49</v>
      </c>
      <c r="C250" s="1">
        <v>45474</v>
      </c>
      <c r="D250" t="s">
        <v>50</v>
      </c>
      <c r="E250" t="s">
        <v>51</v>
      </c>
      <c r="F250" s="21">
        <v>4808</v>
      </c>
      <c r="G250" s="21">
        <v>772</v>
      </c>
      <c r="H250" s="21">
        <v>320</v>
      </c>
      <c r="I250" s="21">
        <v>72120</v>
      </c>
      <c r="J250" s="21">
        <v>71696</v>
      </c>
      <c r="K250" s="21">
        <v>195</v>
      </c>
      <c r="L250" t="s">
        <v>52</v>
      </c>
      <c r="M250" t="s">
        <v>7</v>
      </c>
    </row>
    <row r="251" spans="1:13">
      <c r="A251" t="s">
        <v>301</v>
      </c>
      <c r="B251" t="s">
        <v>49</v>
      </c>
      <c r="C251" s="1">
        <v>45476</v>
      </c>
      <c r="D251" t="s">
        <v>56</v>
      </c>
      <c r="E251" t="s">
        <v>84</v>
      </c>
      <c r="F251" s="21">
        <v>4799</v>
      </c>
      <c r="G251" s="21">
        <v>694</v>
      </c>
      <c r="H251" s="21">
        <v>289</v>
      </c>
      <c r="I251" s="21">
        <v>43191</v>
      </c>
      <c r="J251" s="21">
        <v>42228</v>
      </c>
      <c r="K251" s="21">
        <v>118</v>
      </c>
      <c r="L251" t="s">
        <v>43</v>
      </c>
    </row>
    <row r="252" spans="1:13">
      <c r="A252" t="s">
        <v>302</v>
      </c>
      <c r="B252" t="s">
        <v>55</v>
      </c>
      <c r="C252" s="1">
        <v>45488</v>
      </c>
      <c r="D252" t="s">
        <v>36</v>
      </c>
      <c r="E252" t="s">
        <v>69</v>
      </c>
      <c r="F252" s="21">
        <v>3663</v>
      </c>
      <c r="G252" s="21">
        <v>17</v>
      </c>
      <c r="H252" s="21">
        <v>295</v>
      </c>
      <c r="I252" s="21">
        <v>51282</v>
      </c>
      <c r="J252" s="21">
        <v>50567</v>
      </c>
      <c r="K252" s="21">
        <v>84</v>
      </c>
      <c r="L252" t="s">
        <v>52</v>
      </c>
      <c r="M252" t="s">
        <v>15</v>
      </c>
    </row>
    <row r="253" spans="1:13">
      <c r="A253" t="s">
        <v>303</v>
      </c>
      <c r="B253" t="s">
        <v>49</v>
      </c>
      <c r="C253" s="1">
        <v>45778</v>
      </c>
      <c r="D253" t="s">
        <v>41</v>
      </c>
      <c r="E253" t="s">
        <v>97</v>
      </c>
      <c r="F253" s="21">
        <v>1430</v>
      </c>
      <c r="G253" s="21">
        <v>376</v>
      </c>
      <c r="H253" s="21">
        <v>33</v>
      </c>
      <c r="I253" s="21">
        <v>21450</v>
      </c>
      <c r="J253" s="21">
        <v>20509</v>
      </c>
      <c r="K253" s="21">
        <v>251</v>
      </c>
      <c r="L253" t="s">
        <v>38</v>
      </c>
      <c r="M253" t="s">
        <v>7</v>
      </c>
    </row>
    <row r="254" spans="1:13">
      <c r="A254" t="s">
        <v>304</v>
      </c>
      <c r="B254" t="s">
        <v>35</v>
      </c>
      <c r="C254" s="1">
        <v>45776</v>
      </c>
      <c r="D254" t="s">
        <v>50</v>
      </c>
      <c r="E254" t="s">
        <v>117</v>
      </c>
      <c r="F254" s="21">
        <v>249</v>
      </c>
      <c r="G254" s="21">
        <v>592</v>
      </c>
      <c r="H254" s="21">
        <v>230</v>
      </c>
      <c r="I254" s="21">
        <v>1494</v>
      </c>
      <c r="J254" s="21">
        <v>1044</v>
      </c>
      <c r="K254" s="21">
        <v>201</v>
      </c>
      <c r="L254" t="s">
        <v>52</v>
      </c>
      <c r="M254" t="s">
        <v>19</v>
      </c>
    </row>
    <row r="255" spans="1:13">
      <c r="A255" t="s">
        <v>305</v>
      </c>
      <c r="B255" t="s">
        <v>55</v>
      </c>
      <c r="C255" s="1">
        <v>45724</v>
      </c>
      <c r="D255" t="s">
        <v>61</v>
      </c>
      <c r="E255" t="s">
        <v>66</v>
      </c>
      <c r="F255" s="21">
        <v>2382</v>
      </c>
      <c r="G255" s="21">
        <v>265</v>
      </c>
      <c r="H255" s="21">
        <v>134</v>
      </c>
      <c r="I255" s="21">
        <v>38112</v>
      </c>
      <c r="J255" s="21">
        <v>37437</v>
      </c>
      <c r="K255" s="21">
        <v>249</v>
      </c>
      <c r="L255" t="s">
        <v>38</v>
      </c>
      <c r="M255" t="s">
        <v>19</v>
      </c>
    </row>
    <row r="256" spans="1:13">
      <c r="A256" t="s">
        <v>306</v>
      </c>
      <c r="B256" t="s">
        <v>55</v>
      </c>
      <c r="C256" s="1">
        <v>45444</v>
      </c>
      <c r="D256" t="s">
        <v>41</v>
      </c>
      <c r="E256" t="s">
        <v>64</v>
      </c>
      <c r="F256" s="21">
        <v>1272</v>
      </c>
      <c r="G256" s="21">
        <v>465</v>
      </c>
      <c r="H256" s="21">
        <v>99</v>
      </c>
      <c r="I256" s="21">
        <v>24168</v>
      </c>
      <c r="J256" s="21">
        <v>23719</v>
      </c>
      <c r="K256" s="21">
        <v>42</v>
      </c>
      <c r="L256" t="s">
        <v>43</v>
      </c>
    </row>
    <row r="257" spans="1:13">
      <c r="A257" t="s">
        <v>307</v>
      </c>
      <c r="B257" t="s">
        <v>55</v>
      </c>
      <c r="C257" s="1">
        <v>45648</v>
      </c>
      <c r="D257" t="s">
        <v>61</v>
      </c>
      <c r="E257" t="s">
        <v>66</v>
      </c>
      <c r="F257" s="21">
        <v>3196</v>
      </c>
      <c r="G257" s="21">
        <v>941</v>
      </c>
      <c r="H257" s="21">
        <v>376</v>
      </c>
      <c r="I257" s="21">
        <v>35156</v>
      </c>
      <c r="J257" s="21">
        <v>34444</v>
      </c>
      <c r="K257" s="21">
        <v>241</v>
      </c>
      <c r="L257" t="s">
        <v>43</v>
      </c>
      <c r="M257" t="s">
        <v>15</v>
      </c>
    </row>
    <row r="258" spans="1:13">
      <c r="A258" t="s">
        <v>308</v>
      </c>
      <c r="B258" t="s">
        <v>55</v>
      </c>
      <c r="C258" s="1">
        <v>45523</v>
      </c>
      <c r="D258" t="s">
        <v>41</v>
      </c>
      <c r="E258" t="s">
        <v>64</v>
      </c>
      <c r="F258" s="21">
        <v>1257</v>
      </c>
      <c r="G258" s="21">
        <v>19</v>
      </c>
      <c r="H258" s="21">
        <v>351</v>
      </c>
      <c r="I258" s="21">
        <v>12570</v>
      </c>
      <c r="J258" s="21">
        <v>11660</v>
      </c>
      <c r="K258" s="21">
        <v>194</v>
      </c>
      <c r="L258" t="s">
        <v>38</v>
      </c>
      <c r="M258" t="s">
        <v>11</v>
      </c>
    </row>
    <row r="259" spans="1:13">
      <c r="A259" t="s">
        <v>308</v>
      </c>
      <c r="B259" t="s">
        <v>55</v>
      </c>
      <c r="C259" s="1">
        <v>45523</v>
      </c>
      <c r="D259" t="s">
        <v>41</v>
      </c>
      <c r="E259" t="s">
        <v>64</v>
      </c>
      <c r="F259" s="21">
        <v>1257</v>
      </c>
      <c r="G259" s="21">
        <v>19</v>
      </c>
      <c r="H259" s="21">
        <v>351</v>
      </c>
      <c r="I259" s="21">
        <v>12570</v>
      </c>
      <c r="J259" s="21">
        <v>11660</v>
      </c>
      <c r="K259" s="21">
        <v>194</v>
      </c>
      <c r="L259" t="s">
        <v>39</v>
      </c>
      <c r="M259" t="s">
        <v>11</v>
      </c>
    </row>
    <row r="260" spans="1:13">
      <c r="A260" t="s">
        <v>308</v>
      </c>
      <c r="B260" t="s">
        <v>55</v>
      </c>
      <c r="C260" s="1">
        <v>45523</v>
      </c>
      <c r="D260" t="s">
        <v>41</v>
      </c>
      <c r="E260" t="s">
        <v>64</v>
      </c>
      <c r="F260" s="21">
        <v>1257</v>
      </c>
      <c r="G260" s="21">
        <v>19</v>
      </c>
      <c r="H260" s="21">
        <v>351</v>
      </c>
      <c r="I260" s="21">
        <v>12570</v>
      </c>
      <c r="J260" s="21">
        <v>11660</v>
      </c>
      <c r="K260" s="21">
        <v>194</v>
      </c>
      <c r="L260" t="s">
        <v>52</v>
      </c>
      <c r="M260" t="s">
        <v>11</v>
      </c>
    </row>
    <row r="261" spans="1:13">
      <c r="A261" t="s">
        <v>309</v>
      </c>
      <c r="B261" t="s">
        <v>49</v>
      </c>
      <c r="C261" s="1">
        <v>45587</v>
      </c>
      <c r="D261" t="s">
        <v>50</v>
      </c>
      <c r="E261" t="s">
        <v>51</v>
      </c>
      <c r="F261" s="21">
        <v>3770</v>
      </c>
      <c r="G261" s="21">
        <v>917</v>
      </c>
      <c r="H261" s="21">
        <v>129</v>
      </c>
      <c r="I261" s="21">
        <v>71630</v>
      </c>
      <c r="J261" s="21">
        <v>71322</v>
      </c>
      <c r="K261" s="21">
        <v>76</v>
      </c>
      <c r="L261" t="s">
        <v>38</v>
      </c>
      <c r="M261" t="s">
        <v>7</v>
      </c>
    </row>
    <row r="262" spans="1:13">
      <c r="A262" t="s">
        <v>310</v>
      </c>
      <c r="B262" t="s">
        <v>35</v>
      </c>
      <c r="C262" s="1">
        <v>45489</v>
      </c>
      <c r="D262" t="s">
        <v>41</v>
      </c>
      <c r="E262" t="s">
        <v>42</v>
      </c>
      <c r="F262" s="21">
        <v>4725</v>
      </c>
      <c r="G262" s="21">
        <v>400</v>
      </c>
      <c r="H262" s="21">
        <v>362</v>
      </c>
      <c r="I262" s="21">
        <v>75600</v>
      </c>
      <c r="J262" s="21">
        <v>74927</v>
      </c>
      <c r="K262" s="21">
        <v>43</v>
      </c>
      <c r="L262" t="s">
        <v>38</v>
      </c>
      <c r="M262" t="s">
        <v>19</v>
      </c>
    </row>
    <row r="263" spans="1:13">
      <c r="A263" t="s">
        <v>311</v>
      </c>
      <c r="B263" t="s">
        <v>46</v>
      </c>
      <c r="C263" s="1">
        <v>45712</v>
      </c>
      <c r="D263" t="s">
        <v>41</v>
      </c>
      <c r="E263" t="s">
        <v>92</v>
      </c>
      <c r="F263" s="21">
        <v>4188</v>
      </c>
      <c r="G263" s="21">
        <v>942</v>
      </c>
      <c r="H263" s="21">
        <v>118</v>
      </c>
      <c r="I263" s="21">
        <v>20940</v>
      </c>
      <c r="J263" s="21">
        <v>20471</v>
      </c>
      <c r="K263" s="21">
        <v>102</v>
      </c>
      <c r="L263" t="s">
        <v>38</v>
      </c>
    </row>
    <row r="264" spans="1:13">
      <c r="A264" t="s">
        <v>312</v>
      </c>
      <c r="B264" t="s">
        <v>35</v>
      </c>
      <c r="C264" s="1">
        <v>45530</v>
      </c>
      <c r="D264" t="s">
        <v>56</v>
      </c>
      <c r="E264" t="s">
        <v>59</v>
      </c>
      <c r="F264" s="21">
        <v>929</v>
      </c>
      <c r="G264" s="21">
        <v>192</v>
      </c>
      <c r="H264" s="21">
        <v>322</v>
      </c>
      <c r="I264" s="21">
        <v>16722</v>
      </c>
      <c r="J264" s="21">
        <v>15996</v>
      </c>
      <c r="K264" s="21">
        <v>145</v>
      </c>
      <c r="L264" t="s">
        <v>52</v>
      </c>
      <c r="M264" t="s">
        <v>15</v>
      </c>
    </row>
    <row r="265" spans="1:13">
      <c r="A265" t="s">
        <v>312</v>
      </c>
      <c r="B265" t="s">
        <v>35</v>
      </c>
      <c r="C265" s="1">
        <v>45530</v>
      </c>
      <c r="D265" t="s">
        <v>56</v>
      </c>
      <c r="E265" t="s">
        <v>59</v>
      </c>
      <c r="F265" s="21">
        <v>929</v>
      </c>
      <c r="G265" s="21">
        <v>192</v>
      </c>
      <c r="H265" s="21">
        <v>322</v>
      </c>
      <c r="I265" s="21">
        <v>16722</v>
      </c>
      <c r="J265" s="21">
        <v>15996</v>
      </c>
      <c r="K265" s="21">
        <v>145</v>
      </c>
      <c r="L265" t="s">
        <v>43</v>
      </c>
      <c r="M265" t="s">
        <v>15</v>
      </c>
    </row>
    <row r="266" spans="1:13">
      <c r="A266" t="s">
        <v>312</v>
      </c>
      <c r="B266" t="s">
        <v>35</v>
      </c>
      <c r="C266" s="1">
        <v>45530</v>
      </c>
      <c r="D266" t="s">
        <v>56</v>
      </c>
      <c r="E266" t="s">
        <v>59</v>
      </c>
      <c r="F266" s="21">
        <v>929</v>
      </c>
      <c r="G266" s="21">
        <v>192</v>
      </c>
      <c r="H266" s="21">
        <v>322</v>
      </c>
      <c r="I266" s="21">
        <v>16722</v>
      </c>
      <c r="J266" s="21">
        <v>15996</v>
      </c>
      <c r="K266" s="21">
        <v>145</v>
      </c>
      <c r="L266" t="s">
        <v>39</v>
      </c>
      <c r="M266" t="s">
        <v>15</v>
      </c>
    </row>
    <row r="267" spans="1:13">
      <c r="A267" t="s">
        <v>313</v>
      </c>
      <c r="B267" t="s">
        <v>55</v>
      </c>
      <c r="C267" s="1">
        <v>45675</v>
      </c>
      <c r="D267" t="s">
        <v>50</v>
      </c>
      <c r="E267" t="s">
        <v>73</v>
      </c>
      <c r="F267" s="21">
        <v>4321</v>
      </c>
      <c r="G267" s="21">
        <v>874</v>
      </c>
      <c r="H267" s="21">
        <v>172</v>
      </c>
      <c r="I267" s="21">
        <v>30247</v>
      </c>
      <c r="J267" s="21">
        <v>29254</v>
      </c>
      <c r="K267" s="21">
        <v>122</v>
      </c>
      <c r="L267" t="s">
        <v>43</v>
      </c>
      <c r="M267" t="s">
        <v>19</v>
      </c>
    </row>
    <row r="268" spans="1:13">
      <c r="A268" t="s">
        <v>314</v>
      </c>
      <c r="B268" t="s">
        <v>55</v>
      </c>
      <c r="C268" s="1">
        <v>45480</v>
      </c>
      <c r="D268" t="s">
        <v>36</v>
      </c>
      <c r="E268" t="s">
        <v>69</v>
      </c>
      <c r="F268" s="21">
        <v>4767</v>
      </c>
      <c r="G268" s="21">
        <v>190</v>
      </c>
      <c r="H268" s="21">
        <v>340</v>
      </c>
      <c r="I268" s="21">
        <v>28602</v>
      </c>
      <c r="J268" s="21">
        <v>28044</v>
      </c>
      <c r="K268" s="21">
        <v>210</v>
      </c>
      <c r="L268" t="s">
        <v>52</v>
      </c>
      <c r="M268" t="s">
        <v>15</v>
      </c>
    </row>
    <row r="269" spans="1:13">
      <c r="A269" t="s">
        <v>315</v>
      </c>
      <c r="B269" t="s">
        <v>35</v>
      </c>
      <c r="C269" s="1">
        <v>45722</v>
      </c>
      <c r="D269" t="s">
        <v>61</v>
      </c>
      <c r="E269" t="s">
        <v>107</v>
      </c>
      <c r="F269" s="21">
        <v>3592</v>
      </c>
      <c r="G269" s="21">
        <v>911</v>
      </c>
      <c r="H269" s="21">
        <v>375</v>
      </c>
      <c r="I269" s="21">
        <v>50288</v>
      </c>
      <c r="J269" s="21">
        <v>49490</v>
      </c>
      <c r="K269" s="21">
        <v>32</v>
      </c>
      <c r="L269" t="s">
        <v>38</v>
      </c>
      <c r="M269" t="s">
        <v>19</v>
      </c>
    </row>
    <row r="270" spans="1:13">
      <c r="A270" t="s">
        <v>316</v>
      </c>
      <c r="B270" t="s">
        <v>46</v>
      </c>
      <c r="C270" s="1">
        <v>45590</v>
      </c>
      <c r="D270" t="s">
        <v>75</v>
      </c>
      <c r="E270" t="s">
        <v>155</v>
      </c>
      <c r="F270" s="21">
        <v>4661</v>
      </c>
      <c r="G270" s="21">
        <v>935</v>
      </c>
      <c r="H270" s="21">
        <v>433</v>
      </c>
      <c r="I270" s="21">
        <v>23305</v>
      </c>
      <c r="J270" s="21">
        <v>22583</v>
      </c>
      <c r="K270" s="21">
        <v>63</v>
      </c>
      <c r="L270" t="s">
        <v>38</v>
      </c>
      <c r="M270" t="s">
        <v>15</v>
      </c>
    </row>
    <row r="271" spans="1:13">
      <c r="A271" t="s">
        <v>317</v>
      </c>
      <c r="B271" t="s">
        <v>55</v>
      </c>
      <c r="C271" s="1">
        <v>45669</v>
      </c>
      <c r="D271" t="s">
        <v>36</v>
      </c>
      <c r="E271" t="s">
        <v>69</v>
      </c>
      <c r="F271" s="21">
        <v>4134</v>
      </c>
      <c r="G271" s="21">
        <v>824</v>
      </c>
      <c r="H271" s="21">
        <v>99</v>
      </c>
      <c r="I271" s="21">
        <v>41340</v>
      </c>
      <c r="J271" s="21">
        <v>41050</v>
      </c>
      <c r="K271" s="21">
        <v>177</v>
      </c>
      <c r="L271" t="s">
        <v>52</v>
      </c>
      <c r="M271" t="s">
        <v>7</v>
      </c>
    </row>
    <row r="272" spans="1:13">
      <c r="A272" t="s">
        <v>318</v>
      </c>
      <c r="B272" t="s">
        <v>55</v>
      </c>
      <c r="C272" s="1">
        <v>45576</v>
      </c>
      <c r="D272" t="s">
        <v>61</v>
      </c>
      <c r="E272" t="s">
        <v>66</v>
      </c>
      <c r="F272" s="21">
        <v>400</v>
      </c>
      <c r="G272" s="21">
        <v>680</v>
      </c>
      <c r="H272" s="21">
        <v>434</v>
      </c>
      <c r="I272" s="21">
        <v>6400</v>
      </c>
      <c r="J272" s="21">
        <v>5472</v>
      </c>
      <c r="K272" s="21">
        <v>160</v>
      </c>
      <c r="L272" t="s">
        <v>38</v>
      </c>
      <c r="M272" t="s">
        <v>11</v>
      </c>
    </row>
    <row r="273" spans="1:13">
      <c r="A273" t="s">
        <v>319</v>
      </c>
      <c r="B273" t="s">
        <v>55</v>
      </c>
      <c r="C273" s="1">
        <v>45531</v>
      </c>
      <c r="D273" t="s">
        <v>36</v>
      </c>
      <c r="E273" t="s">
        <v>69</v>
      </c>
      <c r="F273" s="21">
        <v>3960</v>
      </c>
      <c r="G273" s="21">
        <v>266</v>
      </c>
      <c r="H273" s="21">
        <v>8</v>
      </c>
      <c r="I273" s="21">
        <v>35640</v>
      </c>
      <c r="J273" s="21">
        <v>34850</v>
      </c>
      <c r="K273" s="21">
        <v>208</v>
      </c>
      <c r="L273" t="s">
        <v>38</v>
      </c>
    </row>
    <row r="274" spans="1:13">
      <c r="A274" t="s">
        <v>319</v>
      </c>
      <c r="B274" t="s">
        <v>55</v>
      </c>
      <c r="C274" s="1">
        <v>45531</v>
      </c>
      <c r="D274" t="s">
        <v>36</v>
      </c>
      <c r="E274" t="s">
        <v>69</v>
      </c>
      <c r="F274" s="21">
        <v>3960</v>
      </c>
      <c r="G274" s="21">
        <v>266</v>
      </c>
      <c r="H274" s="21">
        <v>8</v>
      </c>
      <c r="I274" s="21">
        <v>35640</v>
      </c>
      <c r="J274" s="21">
        <v>34850</v>
      </c>
      <c r="K274" s="21">
        <v>208</v>
      </c>
      <c r="L274" t="s">
        <v>52</v>
      </c>
    </row>
    <row r="275" spans="1:13">
      <c r="A275" t="s">
        <v>319</v>
      </c>
      <c r="B275" t="s">
        <v>55</v>
      </c>
      <c r="C275" s="1">
        <v>45531</v>
      </c>
      <c r="D275" t="s">
        <v>36</v>
      </c>
      <c r="E275" t="s">
        <v>69</v>
      </c>
      <c r="F275" s="21">
        <v>3960</v>
      </c>
      <c r="G275" s="21">
        <v>266</v>
      </c>
      <c r="H275" s="21">
        <v>8</v>
      </c>
      <c r="I275" s="21">
        <v>35640</v>
      </c>
      <c r="J275" s="21">
        <v>34850</v>
      </c>
      <c r="K275" s="21">
        <v>208</v>
      </c>
      <c r="L275" t="s">
        <v>44</v>
      </c>
    </row>
    <row r="276" spans="1:13">
      <c r="A276" t="s">
        <v>320</v>
      </c>
      <c r="B276" t="s">
        <v>55</v>
      </c>
      <c r="C276" s="1">
        <v>45690</v>
      </c>
      <c r="D276" t="s">
        <v>50</v>
      </c>
      <c r="E276" t="s">
        <v>73</v>
      </c>
      <c r="F276" s="21">
        <v>886</v>
      </c>
      <c r="G276" s="21">
        <v>126</v>
      </c>
      <c r="H276" s="21">
        <v>153</v>
      </c>
      <c r="I276" s="21">
        <v>4430</v>
      </c>
      <c r="J276" s="21">
        <v>4037</v>
      </c>
      <c r="K276" s="21">
        <v>212</v>
      </c>
      <c r="L276" t="s">
        <v>52</v>
      </c>
    </row>
    <row r="277" spans="1:13">
      <c r="A277" t="s">
        <v>321</v>
      </c>
      <c r="B277" t="s">
        <v>35</v>
      </c>
      <c r="C277" s="1">
        <v>45491</v>
      </c>
      <c r="D277" t="s">
        <v>61</v>
      </c>
      <c r="E277" t="s">
        <v>107</v>
      </c>
      <c r="F277" s="21">
        <v>827</v>
      </c>
      <c r="G277" s="21">
        <v>77</v>
      </c>
      <c r="H277" s="21">
        <v>402</v>
      </c>
      <c r="I277" s="21">
        <v>14886</v>
      </c>
      <c r="J277" s="21">
        <v>14129</v>
      </c>
      <c r="K277" s="21">
        <v>254</v>
      </c>
      <c r="L277" t="s">
        <v>52</v>
      </c>
      <c r="M277" t="s">
        <v>11</v>
      </c>
    </row>
    <row r="278" spans="1:13">
      <c r="A278" t="s">
        <v>322</v>
      </c>
      <c r="B278" t="s">
        <v>55</v>
      </c>
      <c r="C278" s="1">
        <v>45465</v>
      </c>
      <c r="D278" t="s">
        <v>36</v>
      </c>
      <c r="E278" t="s">
        <v>69</v>
      </c>
      <c r="F278" s="21">
        <v>3813</v>
      </c>
      <c r="G278" s="21">
        <v>935</v>
      </c>
      <c r="H278" s="21">
        <v>274</v>
      </c>
      <c r="I278" s="21">
        <v>68634</v>
      </c>
      <c r="J278" s="21">
        <v>68488</v>
      </c>
      <c r="K278" s="21">
        <v>251</v>
      </c>
      <c r="L278" t="s">
        <v>38</v>
      </c>
    </row>
    <row r="279" spans="1:13">
      <c r="A279" t="s">
        <v>323</v>
      </c>
      <c r="B279" t="s">
        <v>49</v>
      </c>
      <c r="C279" s="1">
        <v>45743</v>
      </c>
      <c r="D279" t="s">
        <v>56</v>
      </c>
      <c r="E279" t="s">
        <v>84</v>
      </c>
      <c r="F279" s="21">
        <v>1377</v>
      </c>
      <c r="G279" s="21">
        <v>796</v>
      </c>
      <c r="H279" s="21">
        <v>387</v>
      </c>
      <c r="I279" s="21">
        <v>22032</v>
      </c>
      <c r="J279" s="21">
        <v>21869</v>
      </c>
      <c r="K279" s="21">
        <v>189</v>
      </c>
      <c r="L279" t="s">
        <v>38</v>
      </c>
    </row>
    <row r="280" spans="1:13">
      <c r="A280" t="s">
        <v>324</v>
      </c>
      <c r="B280" t="s">
        <v>55</v>
      </c>
      <c r="C280" s="1">
        <v>45775</v>
      </c>
      <c r="D280" t="s">
        <v>56</v>
      </c>
      <c r="E280" t="s">
        <v>57</v>
      </c>
      <c r="F280" s="21">
        <v>2089</v>
      </c>
      <c r="G280" s="21">
        <v>476</v>
      </c>
      <c r="H280" s="21">
        <v>69</v>
      </c>
      <c r="I280" s="21">
        <v>16712</v>
      </c>
      <c r="J280" s="21">
        <v>16309</v>
      </c>
      <c r="K280" s="21">
        <v>64</v>
      </c>
      <c r="L280" t="s">
        <v>38</v>
      </c>
      <c r="M280" t="s">
        <v>15</v>
      </c>
    </row>
    <row r="281" spans="1:13">
      <c r="A281" t="s">
        <v>325</v>
      </c>
      <c r="B281" t="s">
        <v>35</v>
      </c>
      <c r="C281" s="1">
        <v>45507</v>
      </c>
      <c r="D281" t="s">
        <v>36</v>
      </c>
      <c r="E281" t="s">
        <v>37</v>
      </c>
      <c r="F281" s="21">
        <v>3791</v>
      </c>
      <c r="G281" s="21">
        <v>593</v>
      </c>
      <c r="H281" s="21">
        <v>228</v>
      </c>
      <c r="I281" s="21">
        <v>53074</v>
      </c>
      <c r="J281" s="21">
        <v>52613</v>
      </c>
      <c r="K281" s="21">
        <v>205</v>
      </c>
      <c r="L281" t="s">
        <v>52</v>
      </c>
    </row>
    <row r="282" spans="1:13">
      <c r="A282" t="s">
        <v>326</v>
      </c>
      <c r="B282" t="s">
        <v>35</v>
      </c>
      <c r="C282" s="1">
        <v>45671</v>
      </c>
      <c r="D282" t="s">
        <v>61</v>
      </c>
      <c r="E282" t="s">
        <v>107</v>
      </c>
      <c r="F282" s="21">
        <v>2692</v>
      </c>
      <c r="G282" s="21">
        <v>115</v>
      </c>
      <c r="H282" s="21">
        <v>64</v>
      </c>
      <c r="I282" s="21">
        <v>21536</v>
      </c>
      <c r="J282" s="21">
        <v>21120</v>
      </c>
      <c r="K282" s="21">
        <v>224</v>
      </c>
      <c r="L282" t="s">
        <v>38</v>
      </c>
      <c r="M282" t="s">
        <v>11</v>
      </c>
    </row>
    <row r="283" spans="1:13">
      <c r="A283" t="s">
        <v>327</v>
      </c>
      <c r="B283" t="s">
        <v>55</v>
      </c>
      <c r="C283" s="1">
        <v>45750</v>
      </c>
      <c r="D283" t="s">
        <v>50</v>
      </c>
      <c r="E283" t="s">
        <v>73</v>
      </c>
      <c r="F283" s="21">
        <v>3767</v>
      </c>
      <c r="G283" s="21">
        <v>514</v>
      </c>
      <c r="H283" s="21">
        <v>238</v>
      </c>
      <c r="I283" s="21">
        <v>37670</v>
      </c>
      <c r="J283" s="21">
        <v>36807</v>
      </c>
      <c r="K283" s="21">
        <v>226</v>
      </c>
      <c r="L283" t="s">
        <v>38</v>
      </c>
      <c r="M283" t="s">
        <v>19</v>
      </c>
    </row>
    <row r="284" spans="1:13">
      <c r="A284" t="s">
        <v>328</v>
      </c>
      <c r="B284" t="s">
        <v>46</v>
      </c>
      <c r="C284" s="1">
        <v>45553</v>
      </c>
      <c r="D284" t="s">
        <v>56</v>
      </c>
      <c r="E284" t="s">
        <v>71</v>
      </c>
      <c r="F284" s="21">
        <v>2143</v>
      </c>
      <c r="G284" s="21">
        <v>12</v>
      </c>
      <c r="H284" s="21">
        <v>204</v>
      </c>
      <c r="I284" s="21">
        <v>40717</v>
      </c>
      <c r="J284" s="21">
        <v>40125</v>
      </c>
      <c r="K284" s="21">
        <v>248</v>
      </c>
      <c r="L284" t="s">
        <v>52</v>
      </c>
      <c r="M284" t="s">
        <v>11</v>
      </c>
    </row>
    <row r="285" spans="1:13">
      <c r="A285" t="s">
        <v>329</v>
      </c>
      <c r="B285" t="s">
        <v>55</v>
      </c>
      <c r="C285" s="1">
        <v>45753</v>
      </c>
      <c r="D285" t="s">
        <v>61</v>
      </c>
      <c r="E285" t="s">
        <v>66</v>
      </c>
      <c r="F285" s="21">
        <v>3090</v>
      </c>
      <c r="G285" s="21">
        <v>697</v>
      </c>
      <c r="H285" s="21">
        <v>164</v>
      </c>
      <c r="I285" s="21">
        <v>49440</v>
      </c>
      <c r="J285" s="21">
        <v>48524</v>
      </c>
      <c r="K285" s="21">
        <v>25</v>
      </c>
      <c r="L285" t="s">
        <v>52</v>
      </c>
      <c r="M285" t="s">
        <v>11</v>
      </c>
    </row>
    <row r="286" spans="1:13">
      <c r="A286" t="s">
        <v>329</v>
      </c>
      <c r="B286" t="s">
        <v>55</v>
      </c>
      <c r="C286" s="1">
        <v>45753</v>
      </c>
      <c r="D286" t="s">
        <v>61</v>
      </c>
      <c r="E286" t="s">
        <v>66</v>
      </c>
      <c r="F286" s="21">
        <v>3090</v>
      </c>
      <c r="G286" s="21">
        <v>697</v>
      </c>
      <c r="H286" s="21">
        <v>164</v>
      </c>
      <c r="I286" s="21">
        <v>49440</v>
      </c>
      <c r="J286" s="21">
        <v>48524</v>
      </c>
      <c r="K286" s="21">
        <v>25</v>
      </c>
      <c r="L286" t="s">
        <v>52</v>
      </c>
      <c r="M286" t="s">
        <v>11</v>
      </c>
    </row>
    <row r="287" spans="1:13">
      <c r="A287" t="s">
        <v>329</v>
      </c>
      <c r="B287" t="s">
        <v>55</v>
      </c>
      <c r="C287" s="1">
        <v>45753</v>
      </c>
      <c r="D287" t="s">
        <v>61</v>
      </c>
      <c r="E287" t="s">
        <v>66</v>
      </c>
      <c r="F287" s="21">
        <v>3090</v>
      </c>
      <c r="G287" s="21">
        <v>697</v>
      </c>
      <c r="H287" s="21">
        <v>164</v>
      </c>
      <c r="I287" s="21">
        <v>49440</v>
      </c>
      <c r="J287" s="21">
        <v>48524</v>
      </c>
      <c r="K287" s="21">
        <v>25</v>
      </c>
      <c r="L287" t="s">
        <v>44</v>
      </c>
      <c r="M287" t="s">
        <v>11</v>
      </c>
    </row>
    <row r="288" spans="1:13">
      <c r="A288" t="s">
        <v>330</v>
      </c>
      <c r="B288" t="s">
        <v>49</v>
      </c>
      <c r="C288" s="1">
        <v>45509</v>
      </c>
      <c r="D288" t="s">
        <v>50</v>
      </c>
      <c r="E288" t="s">
        <v>51</v>
      </c>
      <c r="F288" s="21">
        <v>3601</v>
      </c>
      <c r="G288" s="21">
        <v>695</v>
      </c>
      <c r="H288" s="21">
        <v>75</v>
      </c>
      <c r="I288" s="21">
        <v>21606</v>
      </c>
      <c r="J288" s="21">
        <v>21454</v>
      </c>
      <c r="K288" s="21">
        <v>172</v>
      </c>
      <c r="L288" t="s">
        <v>52</v>
      </c>
      <c r="M288" t="s">
        <v>11</v>
      </c>
    </row>
    <row r="289" spans="1:13">
      <c r="A289" t="s">
        <v>331</v>
      </c>
      <c r="B289" t="s">
        <v>55</v>
      </c>
      <c r="C289" s="1">
        <v>45698</v>
      </c>
      <c r="D289" t="s">
        <v>41</v>
      </c>
      <c r="E289" t="s">
        <v>64</v>
      </c>
      <c r="F289" s="21">
        <v>562</v>
      </c>
      <c r="G289" s="21">
        <v>158</v>
      </c>
      <c r="H289" s="21">
        <v>149</v>
      </c>
      <c r="I289" s="21">
        <v>3372</v>
      </c>
      <c r="J289" s="21">
        <v>2940</v>
      </c>
      <c r="K289" s="21">
        <v>93</v>
      </c>
      <c r="L289" t="s">
        <v>43</v>
      </c>
      <c r="M289" t="s">
        <v>7</v>
      </c>
    </row>
    <row r="290" spans="1:13">
      <c r="A290" t="s">
        <v>332</v>
      </c>
      <c r="B290" t="s">
        <v>49</v>
      </c>
      <c r="C290" s="1">
        <v>45700</v>
      </c>
      <c r="D290" t="s">
        <v>50</v>
      </c>
      <c r="E290" t="s">
        <v>51</v>
      </c>
      <c r="F290" s="21">
        <v>4332</v>
      </c>
      <c r="G290" s="21">
        <v>771</v>
      </c>
      <c r="H290" s="21">
        <v>219</v>
      </c>
      <c r="I290" s="21">
        <v>60648</v>
      </c>
      <c r="J290" s="21">
        <v>60397</v>
      </c>
      <c r="K290" s="21">
        <v>10</v>
      </c>
      <c r="L290" t="s">
        <v>43</v>
      </c>
      <c r="M290" t="s">
        <v>15</v>
      </c>
    </row>
    <row r="291" spans="1:13">
      <c r="A291" t="s">
        <v>332</v>
      </c>
      <c r="B291" t="s">
        <v>49</v>
      </c>
      <c r="C291" s="1">
        <v>45700</v>
      </c>
      <c r="D291" t="s">
        <v>50</v>
      </c>
      <c r="E291" t="s">
        <v>51</v>
      </c>
      <c r="F291" s="21">
        <v>4332</v>
      </c>
      <c r="G291" s="21">
        <v>771</v>
      </c>
      <c r="H291" s="21">
        <v>219</v>
      </c>
      <c r="I291" s="21">
        <v>60648</v>
      </c>
      <c r="J291" s="21">
        <v>60397</v>
      </c>
      <c r="K291" s="21">
        <v>10</v>
      </c>
      <c r="L291" t="s">
        <v>52</v>
      </c>
      <c r="M291" t="s">
        <v>15</v>
      </c>
    </row>
    <row r="292" spans="1:13">
      <c r="A292" t="s">
        <v>332</v>
      </c>
      <c r="B292" t="s">
        <v>49</v>
      </c>
      <c r="C292" s="1">
        <v>45700</v>
      </c>
      <c r="D292" t="s">
        <v>50</v>
      </c>
      <c r="E292" t="s">
        <v>51</v>
      </c>
      <c r="F292" s="21">
        <v>4332</v>
      </c>
      <c r="G292" s="21">
        <v>771</v>
      </c>
      <c r="H292" s="21">
        <v>219</v>
      </c>
      <c r="I292" s="21">
        <v>60648</v>
      </c>
      <c r="J292" s="21">
        <v>60397</v>
      </c>
      <c r="K292" s="21">
        <v>10</v>
      </c>
      <c r="L292" t="s">
        <v>44</v>
      </c>
      <c r="M292" t="s">
        <v>15</v>
      </c>
    </row>
    <row r="293" spans="1:13">
      <c r="A293" t="s">
        <v>333</v>
      </c>
      <c r="B293" t="s">
        <v>49</v>
      </c>
      <c r="C293" s="1">
        <v>45592</v>
      </c>
      <c r="D293" t="s">
        <v>61</v>
      </c>
      <c r="E293" t="s">
        <v>153</v>
      </c>
      <c r="F293" s="21">
        <v>4853</v>
      </c>
      <c r="G293" s="21">
        <v>837</v>
      </c>
      <c r="H293" s="21">
        <v>340</v>
      </c>
      <c r="I293" s="21">
        <v>72795</v>
      </c>
      <c r="J293" s="21">
        <v>72237</v>
      </c>
      <c r="K293" s="21">
        <v>170</v>
      </c>
      <c r="L293" t="s">
        <v>52</v>
      </c>
      <c r="M293" t="s">
        <v>7</v>
      </c>
    </row>
    <row r="294" spans="1:13">
      <c r="A294" t="s">
        <v>334</v>
      </c>
      <c r="B294" t="s">
        <v>46</v>
      </c>
      <c r="C294" s="1">
        <v>45675</v>
      </c>
      <c r="D294" t="s">
        <v>61</v>
      </c>
      <c r="E294" t="s">
        <v>62</v>
      </c>
      <c r="F294" s="21">
        <v>1206</v>
      </c>
      <c r="G294" s="21">
        <v>238</v>
      </c>
      <c r="H294" s="21">
        <v>36</v>
      </c>
      <c r="I294" s="21">
        <v>9648</v>
      </c>
      <c r="J294" s="21">
        <v>9417</v>
      </c>
      <c r="K294" s="21">
        <v>237</v>
      </c>
      <c r="L294" t="s">
        <v>43</v>
      </c>
    </row>
    <row r="295" spans="1:13">
      <c r="A295" t="s">
        <v>335</v>
      </c>
      <c r="B295" t="s">
        <v>49</v>
      </c>
      <c r="C295" s="1">
        <v>45524</v>
      </c>
      <c r="D295" t="s">
        <v>36</v>
      </c>
      <c r="E295" t="s">
        <v>80</v>
      </c>
      <c r="F295" s="21">
        <v>2603</v>
      </c>
      <c r="G295" s="21">
        <v>690</v>
      </c>
      <c r="H295" s="21">
        <v>205</v>
      </c>
      <c r="I295" s="21">
        <v>13015</v>
      </c>
      <c r="J295" s="21">
        <v>12130</v>
      </c>
      <c r="K295" s="21">
        <v>20</v>
      </c>
      <c r="L295" t="s">
        <v>38</v>
      </c>
      <c r="M295" t="s">
        <v>11</v>
      </c>
    </row>
    <row r="296" spans="1:13">
      <c r="A296" t="s">
        <v>336</v>
      </c>
      <c r="B296" t="s">
        <v>35</v>
      </c>
      <c r="C296" s="1">
        <v>45687</v>
      </c>
      <c r="D296" t="s">
        <v>61</v>
      </c>
      <c r="E296" t="s">
        <v>107</v>
      </c>
      <c r="F296" s="21">
        <v>59</v>
      </c>
      <c r="G296" s="21">
        <v>163</v>
      </c>
      <c r="H296" s="21">
        <v>93</v>
      </c>
      <c r="I296" s="21">
        <v>590</v>
      </c>
      <c r="J296" s="21">
        <v>475</v>
      </c>
      <c r="K296" s="21">
        <v>293</v>
      </c>
      <c r="L296" t="s">
        <v>43</v>
      </c>
      <c r="M296" t="s">
        <v>11</v>
      </c>
    </row>
    <row r="297" spans="1:13">
      <c r="A297" t="s">
        <v>337</v>
      </c>
      <c r="B297" t="s">
        <v>35</v>
      </c>
      <c r="C297" s="1">
        <v>45708</v>
      </c>
      <c r="D297" t="s">
        <v>56</v>
      </c>
      <c r="E297" t="s">
        <v>59</v>
      </c>
      <c r="F297" s="21">
        <v>1877</v>
      </c>
      <c r="G297" s="21">
        <v>745</v>
      </c>
      <c r="H297" s="21">
        <v>225</v>
      </c>
      <c r="I297" s="21">
        <v>11262</v>
      </c>
      <c r="J297" s="21">
        <v>10967</v>
      </c>
      <c r="K297" s="21">
        <v>41</v>
      </c>
      <c r="L297" t="s">
        <v>52</v>
      </c>
      <c r="M297" t="s">
        <v>19</v>
      </c>
    </row>
    <row r="298" spans="1:13">
      <c r="A298" t="s">
        <v>338</v>
      </c>
      <c r="B298" t="s">
        <v>55</v>
      </c>
      <c r="C298" s="1">
        <v>45621</v>
      </c>
      <c r="D298" t="s">
        <v>50</v>
      </c>
      <c r="E298" t="s">
        <v>73</v>
      </c>
      <c r="F298" s="21">
        <v>4182</v>
      </c>
      <c r="G298" s="21">
        <v>640</v>
      </c>
      <c r="H298" s="21">
        <v>240</v>
      </c>
      <c r="I298" s="21">
        <v>50184</v>
      </c>
      <c r="J298" s="21">
        <v>49351</v>
      </c>
      <c r="K298" s="21">
        <v>10</v>
      </c>
      <c r="L298" t="s">
        <v>43</v>
      </c>
      <c r="M298" t="s">
        <v>15</v>
      </c>
    </row>
    <row r="299" spans="1:13">
      <c r="A299" t="s">
        <v>339</v>
      </c>
      <c r="B299" t="s">
        <v>35</v>
      </c>
      <c r="C299" s="1">
        <v>45569</v>
      </c>
      <c r="D299" t="s">
        <v>36</v>
      </c>
      <c r="E299" t="s">
        <v>37</v>
      </c>
      <c r="F299" s="21">
        <v>4187</v>
      </c>
      <c r="G299" s="21">
        <v>66</v>
      </c>
      <c r="H299" s="21">
        <v>31</v>
      </c>
      <c r="I299" s="21">
        <v>66992</v>
      </c>
      <c r="J299" s="21">
        <v>66614</v>
      </c>
      <c r="K299" s="21">
        <v>62</v>
      </c>
      <c r="L299" t="s">
        <v>38</v>
      </c>
    </row>
    <row r="300" spans="1:13">
      <c r="A300" t="s">
        <v>340</v>
      </c>
      <c r="B300" t="s">
        <v>49</v>
      </c>
      <c r="C300" s="1">
        <v>45760</v>
      </c>
      <c r="D300" t="s">
        <v>36</v>
      </c>
      <c r="E300" t="s">
        <v>80</v>
      </c>
      <c r="F300" s="21">
        <v>4579</v>
      </c>
      <c r="G300" s="21">
        <v>125</v>
      </c>
      <c r="H300" s="21">
        <v>300</v>
      </c>
      <c r="I300" s="21">
        <v>59527</v>
      </c>
      <c r="J300" s="21">
        <v>59400</v>
      </c>
      <c r="K300" s="21">
        <v>269</v>
      </c>
      <c r="L300" t="s">
        <v>52</v>
      </c>
      <c r="M300" t="s">
        <v>7</v>
      </c>
    </row>
    <row r="301" spans="1:13">
      <c r="A301" t="s">
        <v>341</v>
      </c>
      <c r="B301" t="s">
        <v>49</v>
      </c>
      <c r="C301" s="1">
        <v>45601</v>
      </c>
      <c r="D301" t="s">
        <v>75</v>
      </c>
      <c r="E301" t="s">
        <v>82</v>
      </c>
      <c r="F301" s="21">
        <v>4561</v>
      </c>
      <c r="G301" s="21">
        <v>51</v>
      </c>
      <c r="H301" s="21">
        <v>441</v>
      </c>
      <c r="I301" s="21">
        <v>22805</v>
      </c>
      <c r="J301" s="21">
        <v>21890</v>
      </c>
      <c r="K301" s="21">
        <v>45</v>
      </c>
      <c r="L301" t="s">
        <v>43</v>
      </c>
      <c r="M301" t="s">
        <v>11</v>
      </c>
    </row>
    <row r="302" spans="1:13">
      <c r="A302" t="s">
        <v>342</v>
      </c>
      <c r="B302" t="s">
        <v>46</v>
      </c>
      <c r="C302" s="1">
        <v>45672</v>
      </c>
      <c r="D302" t="s">
        <v>36</v>
      </c>
      <c r="E302" t="s">
        <v>47</v>
      </c>
      <c r="F302" s="21">
        <v>3774</v>
      </c>
      <c r="G302" s="21">
        <v>239</v>
      </c>
      <c r="H302" s="21">
        <v>39</v>
      </c>
      <c r="I302" s="21">
        <v>60384</v>
      </c>
      <c r="J302" s="21">
        <v>59490</v>
      </c>
      <c r="K302" s="21">
        <v>241</v>
      </c>
      <c r="L302" t="s">
        <v>43</v>
      </c>
      <c r="M302" t="s">
        <v>15</v>
      </c>
    </row>
    <row r="303" spans="1:13">
      <c r="A303" t="s">
        <v>343</v>
      </c>
      <c r="B303" t="s">
        <v>49</v>
      </c>
      <c r="C303" s="1">
        <v>45582</v>
      </c>
      <c r="D303" t="s">
        <v>75</v>
      </c>
      <c r="E303" t="s">
        <v>82</v>
      </c>
      <c r="F303" s="21">
        <v>3575</v>
      </c>
      <c r="G303" s="21">
        <v>749</v>
      </c>
      <c r="H303" s="21">
        <v>111</v>
      </c>
      <c r="I303" s="21">
        <v>21450</v>
      </c>
      <c r="J303" s="21">
        <v>20785</v>
      </c>
      <c r="K303" s="21">
        <v>195</v>
      </c>
      <c r="L303" t="s">
        <v>52</v>
      </c>
      <c r="M303" t="s">
        <v>11</v>
      </c>
    </row>
    <row r="304" spans="1:13">
      <c r="A304" t="s">
        <v>344</v>
      </c>
      <c r="B304" t="s">
        <v>49</v>
      </c>
      <c r="C304" s="1">
        <v>45743</v>
      </c>
      <c r="D304" t="s">
        <v>41</v>
      </c>
      <c r="E304" t="s">
        <v>97</v>
      </c>
      <c r="F304" s="21">
        <v>4941</v>
      </c>
      <c r="G304" s="21">
        <v>414</v>
      </c>
      <c r="H304" s="21">
        <v>266</v>
      </c>
      <c r="I304" s="21">
        <v>39528</v>
      </c>
      <c r="J304" s="21">
        <v>39154</v>
      </c>
      <c r="K304" s="21">
        <v>217</v>
      </c>
      <c r="L304" t="s">
        <v>43</v>
      </c>
      <c r="M304" t="s">
        <v>15</v>
      </c>
    </row>
    <row r="305" spans="1:13">
      <c r="A305" t="s">
        <v>345</v>
      </c>
      <c r="B305" t="s">
        <v>46</v>
      </c>
      <c r="C305" s="1">
        <v>45577</v>
      </c>
      <c r="D305" t="s">
        <v>50</v>
      </c>
      <c r="E305" t="s">
        <v>120</v>
      </c>
      <c r="F305" s="21">
        <v>3641</v>
      </c>
      <c r="G305" s="21">
        <v>226</v>
      </c>
      <c r="H305" s="21">
        <v>46</v>
      </c>
      <c r="I305" s="21">
        <v>40051</v>
      </c>
      <c r="J305" s="21">
        <v>39319</v>
      </c>
      <c r="K305" s="21">
        <v>296</v>
      </c>
      <c r="L305" t="s">
        <v>52</v>
      </c>
      <c r="M305" t="s">
        <v>19</v>
      </c>
    </row>
    <row r="306" spans="1:13">
      <c r="A306" t="s">
        <v>346</v>
      </c>
      <c r="B306" t="s">
        <v>35</v>
      </c>
      <c r="C306" s="1">
        <v>45658</v>
      </c>
      <c r="D306" t="s">
        <v>56</v>
      </c>
      <c r="E306" t="s">
        <v>59</v>
      </c>
      <c r="F306" s="21">
        <v>3535</v>
      </c>
      <c r="G306" s="21">
        <v>494</v>
      </c>
      <c r="H306" s="21">
        <v>152</v>
      </c>
      <c r="I306" s="21">
        <v>53025</v>
      </c>
      <c r="J306" s="21">
        <v>52791</v>
      </c>
      <c r="K306" s="21">
        <v>44</v>
      </c>
      <c r="L306" t="s">
        <v>43</v>
      </c>
      <c r="M306" t="s">
        <v>19</v>
      </c>
    </row>
    <row r="307" spans="1:13">
      <c r="A307" t="s">
        <v>347</v>
      </c>
      <c r="B307" t="s">
        <v>55</v>
      </c>
      <c r="C307" s="1">
        <v>45509</v>
      </c>
      <c r="D307" t="s">
        <v>36</v>
      </c>
      <c r="E307" t="s">
        <v>69</v>
      </c>
      <c r="F307" s="21">
        <v>1741</v>
      </c>
      <c r="G307" s="21">
        <v>831</v>
      </c>
      <c r="H307" s="21">
        <v>345</v>
      </c>
      <c r="I307" s="21">
        <v>17410</v>
      </c>
      <c r="J307" s="21">
        <v>16844</v>
      </c>
      <c r="K307" s="21">
        <v>58</v>
      </c>
      <c r="L307" t="s">
        <v>52</v>
      </c>
      <c r="M307" t="s">
        <v>15</v>
      </c>
    </row>
    <row r="308" spans="1:13">
      <c r="A308" t="s">
        <v>348</v>
      </c>
      <c r="B308" t="s">
        <v>35</v>
      </c>
      <c r="C308" s="1">
        <v>45450</v>
      </c>
      <c r="D308" t="s">
        <v>56</v>
      </c>
      <c r="E308" t="s">
        <v>59</v>
      </c>
      <c r="F308" s="21">
        <v>1556</v>
      </c>
      <c r="G308" s="21">
        <v>195</v>
      </c>
      <c r="H308" s="21">
        <v>131</v>
      </c>
      <c r="I308" s="21">
        <v>9336</v>
      </c>
      <c r="J308" s="21">
        <v>8875</v>
      </c>
      <c r="K308" s="21">
        <v>137</v>
      </c>
      <c r="L308" t="s">
        <v>43</v>
      </c>
      <c r="M308" t="s">
        <v>11</v>
      </c>
    </row>
    <row r="309" spans="1:13">
      <c r="A309" t="s">
        <v>349</v>
      </c>
      <c r="B309" t="s">
        <v>55</v>
      </c>
      <c r="C309" s="1">
        <v>45753</v>
      </c>
      <c r="D309" t="s">
        <v>61</v>
      </c>
      <c r="E309" t="s">
        <v>66</v>
      </c>
      <c r="F309" s="21">
        <v>4236</v>
      </c>
      <c r="G309" s="21">
        <v>711</v>
      </c>
      <c r="H309" s="21">
        <v>298</v>
      </c>
      <c r="I309" s="21">
        <v>21180</v>
      </c>
      <c r="J309" s="21">
        <v>20516</v>
      </c>
      <c r="K309" s="21">
        <v>238</v>
      </c>
      <c r="L309" t="s">
        <v>38</v>
      </c>
      <c r="M309" t="s">
        <v>7</v>
      </c>
    </row>
    <row r="310" spans="1:13">
      <c r="A310" t="s">
        <v>350</v>
      </c>
      <c r="B310" t="s">
        <v>35</v>
      </c>
      <c r="C310" s="1">
        <v>45622</v>
      </c>
      <c r="D310" t="s">
        <v>41</v>
      </c>
      <c r="E310" t="s">
        <v>42</v>
      </c>
      <c r="F310" s="21">
        <v>4516</v>
      </c>
      <c r="G310" s="21">
        <v>836</v>
      </c>
      <c r="H310" s="21">
        <v>169</v>
      </c>
      <c r="I310" s="21">
        <v>49676</v>
      </c>
      <c r="J310" s="21">
        <v>49257</v>
      </c>
      <c r="K310" s="21">
        <v>282</v>
      </c>
      <c r="L310" t="s">
        <v>52</v>
      </c>
      <c r="M310" t="s">
        <v>19</v>
      </c>
    </row>
    <row r="311" spans="1:13">
      <c r="A311" t="s">
        <v>351</v>
      </c>
      <c r="B311" t="s">
        <v>46</v>
      </c>
      <c r="C311" s="1">
        <v>45537</v>
      </c>
      <c r="D311" t="s">
        <v>61</v>
      </c>
      <c r="E311" t="s">
        <v>62</v>
      </c>
      <c r="F311" s="21">
        <v>4905</v>
      </c>
      <c r="G311" s="21">
        <v>845</v>
      </c>
      <c r="H311" s="21">
        <v>129</v>
      </c>
      <c r="I311" s="21">
        <v>98100</v>
      </c>
      <c r="J311" s="21">
        <v>97772</v>
      </c>
      <c r="K311" s="21">
        <v>279</v>
      </c>
      <c r="L311" t="s">
        <v>43</v>
      </c>
      <c r="M311" t="s">
        <v>11</v>
      </c>
    </row>
    <row r="312" spans="1:13">
      <c r="A312" t="s">
        <v>352</v>
      </c>
      <c r="B312" t="s">
        <v>46</v>
      </c>
      <c r="C312" s="1">
        <v>45586</v>
      </c>
      <c r="D312" t="s">
        <v>75</v>
      </c>
      <c r="E312" t="s">
        <v>155</v>
      </c>
      <c r="F312" s="21">
        <v>4275</v>
      </c>
      <c r="G312" s="21">
        <v>680</v>
      </c>
      <c r="H312" s="21">
        <v>385</v>
      </c>
      <c r="I312" s="21">
        <v>64125</v>
      </c>
      <c r="J312" s="21">
        <v>63650</v>
      </c>
      <c r="K312" s="21">
        <v>104</v>
      </c>
      <c r="L312" t="s">
        <v>52</v>
      </c>
      <c r="M312" t="s">
        <v>19</v>
      </c>
    </row>
    <row r="313" spans="1:13">
      <c r="A313" t="s">
        <v>352</v>
      </c>
      <c r="B313" t="s">
        <v>46</v>
      </c>
      <c r="C313" s="1">
        <v>45586</v>
      </c>
      <c r="D313" t="s">
        <v>75</v>
      </c>
      <c r="E313" t="s">
        <v>155</v>
      </c>
      <c r="F313" s="21">
        <v>4275</v>
      </c>
      <c r="G313" s="21">
        <v>680</v>
      </c>
      <c r="H313" s="21">
        <v>385</v>
      </c>
      <c r="I313" s="21">
        <v>64125</v>
      </c>
      <c r="J313" s="21">
        <v>63650</v>
      </c>
      <c r="K313" s="21">
        <v>104</v>
      </c>
      <c r="L313" t="s">
        <v>43</v>
      </c>
      <c r="M313" t="s">
        <v>19</v>
      </c>
    </row>
    <row r="314" spans="1:13">
      <c r="A314" t="s">
        <v>352</v>
      </c>
      <c r="B314" t="s">
        <v>46</v>
      </c>
      <c r="C314" s="1">
        <v>45586</v>
      </c>
      <c r="D314" t="s">
        <v>75</v>
      </c>
      <c r="E314" t="s">
        <v>155</v>
      </c>
      <c r="F314" s="21">
        <v>4275</v>
      </c>
      <c r="G314" s="21">
        <v>680</v>
      </c>
      <c r="H314" s="21">
        <v>385</v>
      </c>
      <c r="I314" s="21">
        <v>64125</v>
      </c>
      <c r="J314" s="21">
        <v>63650</v>
      </c>
      <c r="K314" s="21">
        <v>104</v>
      </c>
      <c r="L314" t="s">
        <v>39</v>
      </c>
      <c r="M314" t="s">
        <v>19</v>
      </c>
    </row>
    <row r="315" spans="1:13">
      <c r="A315" t="s">
        <v>353</v>
      </c>
      <c r="B315" t="s">
        <v>46</v>
      </c>
      <c r="C315" s="1">
        <v>45738</v>
      </c>
      <c r="D315" t="s">
        <v>61</v>
      </c>
      <c r="E315" t="s">
        <v>62</v>
      </c>
      <c r="F315" s="21">
        <v>3166</v>
      </c>
      <c r="G315" s="21">
        <v>90</v>
      </c>
      <c r="H315" s="21">
        <v>341</v>
      </c>
      <c r="I315" s="21">
        <v>56988</v>
      </c>
      <c r="J315" s="21">
        <v>56125</v>
      </c>
      <c r="K315" s="21">
        <v>135</v>
      </c>
      <c r="L315" t="s">
        <v>52</v>
      </c>
      <c r="M315" t="s">
        <v>11</v>
      </c>
    </row>
    <row r="316" spans="1:13">
      <c r="A316" t="s">
        <v>354</v>
      </c>
      <c r="B316" t="s">
        <v>49</v>
      </c>
      <c r="C316" s="1">
        <v>45568</v>
      </c>
      <c r="D316" t="s">
        <v>75</v>
      </c>
      <c r="E316" t="s">
        <v>82</v>
      </c>
      <c r="F316" s="21">
        <v>1488</v>
      </c>
      <c r="G316" s="21">
        <v>417</v>
      </c>
      <c r="H316" s="21">
        <v>168</v>
      </c>
      <c r="I316" s="21">
        <v>19344</v>
      </c>
      <c r="J316" s="21">
        <v>18395</v>
      </c>
      <c r="K316" s="21">
        <v>30</v>
      </c>
      <c r="L316" t="s">
        <v>38</v>
      </c>
      <c r="M316" t="s">
        <v>15</v>
      </c>
    </row>
    <row r="317" spans="1:13">
      <c r="A317" t="s">
        <v>355</v>
      </c>
      <c r="B317" t="s">
        <v>35</v>
      </c>
      <c r="C317" s="1">
        <v>45786</v>
      </c>
      <c r="D317" t="s">
        <v>36</v>
      </c>
      <c r="E317" t="s">
        <v>37</v>
      </c>
      <c r="F317" s="21">
        <v>3367</v>
      </c>
      <c r="G317" s="21">
        <v>302</v>
      </c>
      <c r="H317" s="21">
        <v>57</v>
      </c>
      <c r="I317" s="21">
        <v>63973</v>
      </c>
      <c r="J317" s="21">
        <v>63789</v>
      </c>
      <c r="K317" s="21">
        <v>157</v>
      </c>
      <c r="L317" t="s">
        <v>38</v>
      </c>
      <c r="M317" t="s">
        <v>11</v>
      </c>
    </row>
    <row r="318" spans="1:13">
      <c r="A318" t="s">
        <v>356</v>
      </c>
      <c r="B318" t="s">
        <v>35</v>
      </c>
      <c r="C318" s="1">
        <v>45552</v>
      </c>
      <c r="D318" t="s">
        <v>41</v>
      </c>
      <c r="E318" t="s">
        <v>42</v>
      </c>
      <c r="F318" s="21">
        <v>571</v>
      </c>
      <c r="G318" s="21">
        <v>190</v>
      </c>
      <c r="H318" s="21">
        <v>352</v>
      </c>
      <c r="I318" s="21">
        <v>9707</v>
      </c>
      <c r="J318" s="21">
        <v>9418</v>
      </c>
      <c r="K318" s="21">
        <v>231</v>
      </c>
      <c r="L318" t="s">
        <v>43</v>
      </c>
      <c r="M318" t="s">
        <v>19</v>
      </c>
    </row>
    <row r="319" spans="1:13">
      <c r="A319" t="s">
        <v>357</v>
      </c>
      <c r="B319" t="s">
        <v>46</v>
      </c>
      <c r="C319" s="1">
        <v>45491</v>
      </c>
      <c r="D319" t="s">
        <v>41</v>
      </c>
      <c r="E319" t="s">
        <v>92</v>
      </c>
      <c r="F319" s="21">
        <v>4021</v>
      </c>
      <c r="G319" s="21">
        <v>794</v>
      </c>
      <c r="H319" s="21">
        <v>77</v>
      </c>
      <c r="I319" s="21">
        <v>36189</v>
      </c>
      <c r="J319" s="21">
        <v>35505</v>
      </c>
      <c r="K319" s="21">
        <v>174</v>
      </c>
      <c r="L319" t="s">
        <v>52</v>
      </c>
    </row>
    <row r="320" spans="1:13">
      <c r="A320" t="s">
        <v>358</v>
      </c>
      <c r="B320" t="s">
        <v>46</v>
      </c>
      <c r="C320" s="1">
        <v>45560</v>
      </c>
      <c r="D320" t="s">
        <v>75</v>
      </c>
      <c r="E320" t="s">
        <v>155</v>
      </c>
      <c r="F320" s="21">
        <v>3389</v>
      </c>
      <c r="G320" s="21">
        <v>344</v>
      </c>
      <c r="H320" s="21">
        <v>229</v>
      </c>
      <c r="I320" s="21">
        <v>20334</v>
      </c>
      <c r="J320" s="21">
        <v>19443</v>
      </c>
      <c r="K320" s="21">
        <v>228</v>
      </c>
      <c r="L320" t="s">
        <v>38</v>
      </c>
      <c r="M320" t="s">
        <v>15</v>
      </c>
    </row>
    <row r="321" spans="1:13">
      <c r="A321" t="s">
        <v>359</v>
      </c>
      <c r="B321" t="s">
        <v>49</v>
      </c>
      <c r="C321" s="1">
        <v>45519</v>
      </c>
      <c r="D321" t="s">
        <v>36</v>
      </c>
      <c r="E321" t="s">
        <v>80</v>
      </c>
      <c r="F321" s="21">
        <v>1164</v>
      </c>
      <c r="G321" s="21">
        <v>616</v>
      </c>
      <c r="H321" s="21">
        <v>324</v>
      </c>
      <c r="I321" s="21">
        <v>6984</v>
      </c>
      <c r="J321" s="21">
        <v>6636</v>
      </c>
      <c r="K321" s="21">
        <v>82</v>
      </c>
      <c r="L321" t="s">
        <v>52</v>
      </c>
      <c r="M321" t="s">
        <v>7</v>
      </c>
    </row>
    <row r="322" spans="1:13">
      <c r="A322" t="s">
        <v>360</v>
      </c>
      <c r="B322" t="s">
        <v>46</v>
      </c>
      <c r="C322" s="1">
        <v>45764</v>
      </c>
      <c r="D322" t="s">
        <v>56</v>
      </c>
      <c r="E322" t="s">
        <v>71</v>
      </c>
      <c r="F322" s="21">
        <v>4780</v>
      </c>
      <c r="G322" s="21">
        <v>691</v>
      </c>
      <c r="H322" s="21">
        <v>380</v>
      </c>
      <c r="I322" s="21">
        <v>86040</v>
      </c>
      <c r="J322" s="21">
        <v>85743</v>
      </c>
      <c r="K322" s="21">
        <v>262</v>
      </c>
      <c r="L322" t="s">
        <v>38</v>
      </c>
      <c r="M322" t="s">
        <v>15</v>
      </c>
    </row>
    <row r="323" spans="1:13">
      <c r="A323" t="s">
        <v>361</v>
      </c>
      <c r="B323" t="s">
        <v>55</v>
      </c>
      <c r="C323" s="1">
        <v>45624</v>
      </c>
      <c r="D323" t="s">
        <v>56</v>
      </c>
      <c r="E323" t="s">
        <v>57</v>
      </c>
      <c r="F323" s="21">
        <v>2751</v>
      </c>
      <c r="G323" s="21">
        <v>33</v>
      </c>
      <c r="H323" s="21">
        <v>430</v>
      </c>
      <c r="I323" s="21">
        <v>44016</v>
      </c>
      <c r="J323" s="21">
        <v>43415</v>
      </c>
      <c r="K323" s="21">
        <v>129</v>
      </c>
      <c r="L323" t="s">
        <v>38</v>
      </c>
    </row>
    <row r="324" spans="1:13">
      <c r="A324" t="s">
        <v>362</v>
      </c>
      <c r="B324" t="s">
        <v>49</v>
      </c>
      <c r="C324" s="1">
        <v>45646</v>
      </c>
      <c r="D324" t="s">
        <v>56</v>
      </c>
      <c r="E324" t="s">
        <v>84</v>
      </c>
      <c r="F324" s="21">
        <v>2107</v>
      </c>
      <c r="G324" s="21">
        <v>550</v>
      </c>
      <c r="H324" s="21">
        <v>349</v>
      </c>
      <c r="I324" s="21">
        <v>35819</v>
      </c>
      <c r="J324" s="21">
        <v>35340</v>
      </c>
      <c r="K324" s="21">
        <v>191</v>
      </c>
      <c r="L324" t="s">
        <v>52</v>
      </c>
      <c r="M324" t="s">
        <v>19</v>
      </c>
    </row>
    <row r="325" spans="1:13">
      <c r="A325" t="s">
        <v>363</v>
      </c>
      <c r="B325" t="s">
        <v>55</v>
      </c>
      <c r="C325" s="1">
        <v>45602</v>
      </c>
      <c r="D325" t="s">
        <v>75</v>
      </c>
      <c r="E325" t="s">
        <v>76</v>
      </c>
      <c r="F325" s="21">
        <v>4663</v>
      </c>
      <c r="G325" s="21">
        <v>145</v>
      </c>
      <c r="H325" s="21">
        <v>225</v>
      </c>
      <c r="I325" s="21">
        <v>69945</v>
      </c>
      <c r="J325" s="21">
        <v>69596</v>
      </c>
      <c r="K325" s="21">
        <v>35</v>
      </c>
      <c r="L325" t="s">
        <v>52</v>
      </c>
      <c r="M325" t="s">
        <v>19</v>
      </c>
    </row>
    <row r="326" spans="1:13">
      <c r="A326" t="s">
        <v>364</v>
      </c>
      <c r="B326" t="s">
        <v>55</v>
      </c>
      <c r="C326" s="1">
        <v>45613</v>
      </c>
      <c r="D326" t="s">
        <v>41</v>
      </c>
      <c r="E326" t="s">
        <v>64</v>
      </c>
      <c r="F326" s="21">
        <v>880</v>
      </c>
      <c r="G326" s="21">
        <v>297</v>
      </c>
      <c r="H326" s="21">
        <v>345</v>
      </c>
      <c r="I326" s="21">
        <v>12320</v>
      </c>
      <c r="J326" s="21">
        <v>11978</v>
      </c>
      <c r="K326" s="21">
        <v>238</v>
      </c>
      <c r="L326" t="s">
        <v>43</v>
      </c>
    </row>
    <row r="327" spans="1:13">
      <c r="A327" t="s">
        <v>364</v>
      </c>
      <c r="B327" t="s">
        <v>55</v>
      </c>
      <c r="C327" s="1">
        <v>45613</v>
      </c>
      <c r="D327" t="s">
        <v>41</v>
      </c>
      <c r="E327" t="s">
        <v>64</v>
      </c>
      <c r="F327" s="21">
        <v>880</v>
      </c>
      <c r="G327" s="21">
        <v>297</v>
      </c>
      <c r="H327" s="21">
        <v>345</v>
      </c>
      <c r="I327" s="21">
        <v>12320</v>
      </c>
      <c r="J327" s="21">
        <v>11978</v>
      </c>
      <c r="K327" s="21">
        <v>238</v>
      </c>
      <c r="L327" t="s">
        <v>39</v>
      </c>
    </row>
    <row r="328" spans="1:13">
      <c r="A328" t="s">
        <v>365</v>
      </c>
      <c r="B328" t="s">
        <v>55</v>
      </c>
      <c r="C328" s="1">
        <v>45791</v>
      </c>
      <c r="D328" t="s">
        <v>41</v>
      </c>
      <c r="E328" t="s">
        <v>64</v>
      </c>
      <c r="F328" s="21">
        <v>2634</v>
      </c>
      <c r="G328" s="21">
        <v>726</v>
      </c>
      <c r="H328" s="21">
        <v>241</v>
      </c>
      <c r="I328" s="21">
        <v>28974</v>
      </c>
      <c r="J328" s="21">
        <v>28102</v>
      </c>
      <c r="K328" s="21">
        <v>277</v>
      </c>
      <c r="L328" t="s">
        <v>52</v>
      </c>
      <c r="M328" t="s">
        <v>7</v>
      </c>
    </row>
    <row r="329" spans="1:13">
      <c r="A329" t="s">
        <v>366</v>
      </c>
      <c r="B329" t="s">
        <v>55</v>
      </c>
      <c r="C329" s="1">
        <v>45462</v>
      </c>
      <c r="D329" t="s">
        <v>56</v>
      </c>
      <c r="E329" t="s">
        <v>57</v>
      </c>
      <c r="F329" s="21">
        <v>4731</v>
      </c>
      <c r="G329" s="21">
        <v>173</v>
      </c>
      <c r="H329" s="21">
        <v>276</v>
      </c>
      <c r="I329" s="21">
        <v>28386</v>
      </c>
      <c r="J329" s="21">
        <v>28185</v>
      </c>
      <c r="K329" s="21">
        <v>89</v>
      </c>
      <c r="L329" t="s">
        <v>52</v>
      </c>
      <c r="M329" t="s">
        <v>15</v>
      </c>
    </row>
    <row r="330" spans="1:13">
      <c r="A330" t="s">
        <v>367</v>
      </c>
      <c r="B330" t="s">
        <v>35</v>
      </c>
      <c r="C330" s="1">
        <v>45783</v>
      </c>
      <c r="D330" t="s">
        <v>61</v>
      </c>
      <c r="E330" t="s">
        <v>107</v>
      </c>
      <c r="F330" s="21">
        <v>1952</v>
      </c>
      <c r="G330" s="21">
        <v>344</v>
      </c>
      <c r="H330" s="21">
        <v>287</v>
      </c>
      <c r="I330" s="21">
        <v>15616</v>
      </c>
      <c r="J330" s="21">
        <v>15403</v>
      </c>
      <c r="K330" s="21">
        <v>235</v>
      </c>
      <c r="L330" t="s">
        <v>38</v>
      </c>
      <c r="M330" t="s">
        <v>11</v>
      </c>
    </row>
    <row r="331" spans="1:13">
      <c r="A331" t="s">
        <v>367</v>
      </c>
      <c r="B331" t="s">
        <v>35</v>
      </c>
      <c r="C331" s="1">
        <v>45783</v>
      </c>
      <c r="D331" t="s">
        <v>61</v>
      </c>
      <c r="E331" t="s">
        <v>107</v>
      </c>
      <c r="F331" s="21">
        <v>1952</v>
      </c>
      <c r="G331" s="21">
        <v>344</v>
      </c>
      <c r="H331" s="21">
        <v>287</v>
      </c>
      <c r="I331" s="21">
        <v>15616</v>
      </c>
      <c r="J331" s="21">
        <v>15403</v>
      </c>
      <c r="K331" s="21">
        <v>235</v>
      </c>
      <c r="L331" t="s">
        <v>43</v>
      </c>
      <c r="M331" t="s">
        <v>11</v>
      </c>
    </row>
    <row r="332" spans="1:13">
      <c r="A332" t="s">
        <v>367</v>
      </c>
      <c r="B332" t="s">
        <v>35</v>
      </c>
      <c r="C332" s="1">
        <v>45783</v>
      </c>
      <c r="D332" t="s">
        <v>61</v>
      </c>
      <c r="E332" t="s">
        <v>107</v>
      </c>
      <c r="F332" s="21">
        <v>1952</v>
      </c>
      <c r="G332" s="21">
        <v>344</v>
      </c>
      <c r="H332" s="21">
        <v>287</v>
      </c>
      <c r="I332" s="21">
        <v>15616</v>
      </c>
      <c r="J332" s="21">
        <v>15403</v>
      </c>
      <c r="K332" s="21">
        <v>235</v>
      </c>
      <c r="L332" t="s">
        <v>39</v>
      </c>
      <c r="M332" t="s">
        <v>11</v>
      </c>
    </row>
    <row r="333" spans="1:13">
      <c r="A333" t="s">
        <v>368</v>
      </c>
      <c r="B333" t="s">
        <v>35</v>
      </c>
      <c r="C333" s="1">
        <v>45699</v>
      </c>
      <c r="D333" t="s">
        <v>75</v>
      </c>
      <c r="E333" t="s">
        <v>114</v>
      </c>
      <c r="F333" s="21">
        <v>3440</v>
      </c>
      <c r="G333" s="21">
        <v>13</v>
      </c>
      <c r="H333" s="21">
        <v>20</v>
      </c>
      <c r="I333" s="21">
        <v>58480</v>
      </c>
      <c r="J333" s="21">
        <v>58146</v>
      </c>
      <c r="K333" s="21">
        <v>210</v>
      </c>
      <c r="L333" t="s">
        <v>43</v>
      </c>
      <c r="M333" t="s">
        <v>19</v>
      </c>
    </row>
    <row r="334" spans="1:13">
      <c r="A334" t="s">
        <v>368</v>
      </c>
      <c r="B334" t="s">
        <v>35</v>
      </c>
      <c r="C334" s="1">
        <v>45699</v>
      </c>
      <c r="D334" t="s">
        <v>75</v>
      </c>
      <c r="E334" t="s">
        <v>114</v>
      </c>
      <c r="F334" s="21">
        <v>3440</v>
      </c>
      <c r="G334" s="21">
        <v>13</v>
      </c>
      <c r="H334" s="21">
        <v>20</v>
      </c>
      <c r="I334" s="21">
        <v>58480</v>
      </c>
      <c r="J334" s="21">
        <v>58146</v>
      </c>
      <c r="K334" s="21">
        <v>210</v>
      </c>
      <c r="L334" t="s">
        <v>18</v>
      </c>
      <c r="M334" t="s">
        <v>19</v>
      </c>
    </row>
    <row r="335" spans="1:13">
      <c r="A335" t="s">
        <v>369</v>
      </c>
      <c r="B335" t="s">
        <v>35</v>
      </c>
      <c r="C335" s="1">
        <v>45650</v>
      </c>
      <c r="D335" t="s">
        <v>41</v>
      </c>
      <c r="E335" t="s">
        <v>42</v>
      </c>
      <c r="F335" s="21">
        <v>2166</v>
      </c>
      <c r="G335" s="21">
        <v>354</v>
      </c>
      <c r="H335" s="21">
        <v>117</v>
      </c>
      <c r="I335" s="21">
        <v>10830</v>
      </c>
      <c r="J335" s="21">
        <v>10245</v>
      </c>
      <c r="K335" s="21">
        <v>24</v>
      </c>
      <c r="L335" t="s">
        <v>52</v>
      </c>
      <c r="M335" t="s">
        <v>19</v>
      </c>
    </row>
    <row r="336" spans="1:13">
      <c r="A336" t="s">
        <v>370</v>
      </c>
      <c r="B336" t="s">
        <v>55</v>
      </c>
      <c r="C336" s="1">
        <v>45589</v>
      </c>
      <c r="D336" t="s">
        <v>61</v>
      </c>
      <c r="E336" t="s">
        <v>66</v>
      </c>
      <c r="F336" s="21">
        <v>4303</v>
      </c>
      <c r="G336" s="21">
        <v>451</v>
      </c>
      <c r="H336" s="21">
        <v>286</v>
      </c>
      <c r="I336" s="21">
        <v>86060</v>
      </c>
      <c r="J336" s="21">
        <v>85823</v>
      </c>
      <c r="K336" s="21">
        <v>14</v>
      </c>
      <c r="L336" t="s">
        <v>43</v>
      </c>
      <c r="M336" t="s">
        <v>15</v>
      </c>
    </row>
    <row r="337" spans="1:13">
      <c r="A337" t="s">
        <v>371</v>
      </c>
      <c r="B337" t="s">
        <v>55</v>
      </c>
      <c r="C337" s="1">
        <v>45530</v>
      </c>
      <c r="D337" t="s">
        <v>61</v>
      </c>
      <c r="E337" t="s">
        <v>66</v>
      </c>
      <c r="F337" s="21">
        <v>2581</v>
      </c>
      <c r="G337" s="21">
        <v>517</v>
      </c>
      <c r="H337" s="21">
        <v>117</v>
      </c>
      <c r="I337" s="21">
        <v>23229</v>
      </c>
      <c r="J337" s="21">
        <v>22331</v>
      </c>
      <c r="K337" s="21">
        <v>70</v>
      </c>
      <c r="L337" t="s">
        <v>38</v>
      </c>
      <c r="M337" t="s">
        <v>15</v>
      </c>
    </row>
    <row r="338" spans="1:13">
      <c r="A338" t="s">
        <v>372</v>
      </c>
      <c r="B338" t="s">
        <v>35</v>
      </c>
      <c r="C338" s="1">
        <v>45535</v>
      </c>
      <c r="D338" t="s">
        <v>56</v>
      </c>
      <c r="E338" t="s">
        <v>59</v>
      </c>
      <c r="F338" s="21">
        <v>4494</v>
      </c>
      <c r="G338" s="21">
        <v>717</v>
      </c>
      <c r="H338" s="21">
        <v>45</v>
      </c>
      <c r="I338" s="21">
        <v>62916</v>
      </c>
      <c r="J338" s="21">
        <v>62688</v>
      </c>
      <c r="K338" s="21">
        <v>191</v>
      </c>
      <c r="L338" t="s">
        <v>43</v>
      </c>
      <c r="M338" t="s">
        <v>7</v>
      </c>
    </row>
    <row r="339" spans="1:13">
      <c r="A339" t="s">
        <v>372</v>
      </c>
      <c r="B339" t="s">
        <v>35</v>
      </c>
      <c r="C339" s="1">
        <v>45535</v>
      </c>
      <c r="D339" t="s">
        <v>56</v>
      </c>
      <c r="E339" t="s">
        <v>59</v>
      </c>
      <c r="F339" s="21">
        <v>4494</v>
      </c>
      <c r="G339" s="21">
        <v>717</v>
      </c>
      <c r="H339" s="21">
        <v>45</v>
      </c>
      <c r="I339" s="21">
        <v>62916</v>
      </c>
      <c r="J339" s="21">
        <v>62688</v>
      </c>
      <c r="K339" s="21">
        <v>191</v>
      </c>
      <c r="L339" t="s">
        <v>52</v>
      </c>
      <c r="M339" t="s">
        <v>7</v>
      </c>
    </row>
    <row r="340" spans="1:13">
      <c r="A340" t="s">
        <v>372</v>
      </c>
      <c r="B340" t="s">
        <v>35</v>
      </c>
      <c r="C340" s="1">
        <v>45535</v>
      </c>
      <c r="D340" t="s">
        <v>56</v>
      </c>
      <c r="E340" t="s">
        <v>59</v>
      </c>
      <c r="F340" s="21">
        <v>4494</v>
      </c>
      <c r="G340" s="21">
        <v>717</v>
      </c>
      <c r="H340" s="21">
        <v>45</v>
      </c>
      <c r="I340" s="21">
        <v>62916</v>
      </c>
      <c r="J340" s="21">
        <v>62688</v>
      </c>
      <c r="K340" s="21">
        <v>191</v>
      </c>
      <c r="L340" t="s">
        <v>44</v>
      </c>
      <c r="M340" t="s">
        <v>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DB132-6C2A-4B84-8C18-97CF51F77635}">
  <dimension ref="A1:R340"/>
  <sheetViews>
    <sheetView topLeftCell="J3" workbookViewId="0">
      <selection activeCell="W14" sqref="W14"/>
    </sheetView>
  </sheetViews>
  <sheetFormatPr defaultRowHeight="14.4"/>
  <cols>
    <col min="1" max="1" width="9" bestFit="1" customWidth="1"/>
    <col min="2" max="2" width="10.44140625" bestFit="1" customWidth="1"/>
    <col min="3" max="3" width="10.33203125" bestFit="1" customWidth="1"/>
    <col min="4" max="4" width="14" bestFit="1" customWidth="1"/>
    <col min="5" max="5" width="36.109375" bestFit="1" customWidth="1"/>
    <col min="6" max="6" width="7.5546875" bestFit="1" customWidth="1"/>
    <col min="8" max="8" width="12.33203125" bestFit="1" customWidth="1"/>
    <col min="9" max="9" width="13.44140625" bestFit="1" customWidth="1"/>
    <col min="10" max="10" width="8.33203125" bestFit="1" customWidth="1"/>
    <col min="11" max="11" width="8.44140625" bestFit="1" customWidth="1"/>
    <col min="12" max="12" width="19.77734375" bestFit="1" customWidth="1"/>
    <col min="13" max="14" width="17.5546875" bestFit="1" customWidth="1"/>
    <col min="18" max="18" width="18.21875" bestFit="1" customWidth="1"/>
  </cols>
  <sheetData>
    <row r="1" spans="1:18">
      <c r="A1" s="2" t="s">
        <v>23</v>
      </c>
      <c r="B1" s="3" t="s">
        <v>24</v>
      </c>
      <c r="C1" s="3" t="s">
        <v>25</v>
      </c>
      <c r="D1" s="3" t="s">
        <v>26</v>
      </c>
      <c r="E1" s="3" t="s">
        <v>27</v>
      </c>
      <c r="F1" s="3" t="s">
        <v>28</v>
      </c>
      <c r="G1" s="3" t="s">
        <v>29</v>
      </c>
      <c r="H1" s="3" t="s">
        <v>30</v>
      </c>
      <c r="I1" s="3" t="s">
        <v>31</v>
      </c>
      <c r="J1" s="3" t="s">
        <v>32</v>
      </c>
      <c r="K1" s="3" t="s">
        <v>33</v>
      </c>
      <c r="L1" s="3" t="s">
        <v>382</v>
      </c>
      <c r="M1" s="3" t="s">
        <v>0</v>
      </c>
      <c r="N1" s="4" t="s">
        <v>379</v>
      </c>
    </row>
    <row r="2" spans="1:18">
      <c r="A2" s="9" t="s">
        <v>34</v>
      </c>
      <c r="B2" s="5" t="s">
        <v>35</v>
      </c>
      <c r="C2" s="10">
        <v>45649</v>
      </c>
      <c r="D2" s="5" t="s">
        <v>36</v>
      </c>
      <c r="E2" s="5" t="s">
        <v>37</v>
      </c>
      <c r="F2" s="5">
        <v>1461</v>
      </c>
      <c r="G2" s="5">
        <v>184</v>
      </c>
      <c r="H2" s="5">
        <v>344</v>
      </c>
      <c r="I2" s="5">
        <v>21915</v>
      </c>
      <c r="J2" s="5">
        <v>21675</v>
      </c>
      <c r="K2" s="5">
        <v>15</v>
      </c>
      <c r="L2" s="5" t="s">
        <v>38</v>
      </c>
      <c r="M2" s="5" t="s">
        <v>7</v>
      </c>
      <c r="N2" s="13">
        <f>(Posts11[[#This Row],[Likes]]+Posts11[[#This Row],[Shares]]+Posts11[[#This Row],[Comments]])/Posts11[[#This Row],[Impressions]]</f>
        <v>9.0759753593429152E-2</v>
      </c>
    </row>
    <row r="3" spans="1:18">
      <c r="A3" s="11" t="s">
        <v>34</v>
      </c>
      <c r="B3" s="6" t="s">
        <v>35</v>
      </c>
      <c r="C3" s="12">
        <v>45649</v>
      </c>
      <c r="D3" s="6" t="s">
        <v>36</v>
      </c>
      <c r="E3" s="6" t="s">
        <v>37</v>
      </c>
      <c r="F3" s="6">
        <v>1461</v>
      </c>
      <c r="G3" s="6">
        <v>184</v>
      </c>
      <c r="H3" s="6">
        <v>344</v>
      </c>
      <c r="I3" s="6">
        <v>21915</v>
      </c>
      <c r="J3" s="6">
        <v>21675</v>
      </c>
      <c r="K3" s="6">
        <v>15</v>
      </c>
      <c r="L3" s="6" t="s">
        <v>39</v>
      </c>
      <c r="M3" s="6" t="s">
        <v>7</v>
      </c>
      <c r="N3" s="14">
        <f>(Posts11[[#This Row],[Likes]]+Posts11[[#This Row],[Shares]]+Posts11[[#This Row],[Comments]])/Posts11[[#This Row],[Impressions]]</f>
        <v>9.0759753593429152E-2</v>
      </c>
    </row>
    <row r="4" spans="1:18">
      <c r="A4" s="9" t="s">
        <v>40</v>
      </c>
      <c r="B4" s="5" t="s">
        <v>35</v>
      </c>
      <c r="C4" s="10">
        <v>45750</v>
      </c>
      <c r="D4" s="5" t="s">
        <v>41</v>
      </c>
      <c r="E4" s="5" t="s">
        <v>42</v>
      </c>
      <c r="F4" s="5">
        <v>4054</v>
      </c>
      <c r="G4" s="5">
        <v>389</v>
      </c>
      <c r="H4" s="5">
        <v>493</v>
      </c>
      <c r="I4" s="5">
        <v>64864</v>
      </c>
      <c r="J4" s="5">
        <v>64383</v>
      </c>
      <c r="K4" s="5">
        <v>117</v>
      </c>
      <c r="L4" s="5" t="s">
        <v>43</v>
      </c>
      <c r="M4" s="5" t="s">
        <v>11</v>
      </c>
      <c r="N4" s="13">
        <f>(Posts11[[#This Row],[Likes]]+Posts11[[#This Row],[Shares]]+Posts11[[#This Row],[Comments]])/Posts11[[#This Row],[Impressions]]</f>
        <v>7.6097681302417369E-2</v>
      </c>
    </row>
    <row r="5" spans="1:18">
      <c r="A5" s="11" t="s">
        <v>40</v>
      </c>
      <c r="B5" s="6" t="s">
        <v>35</v>
      </c>
      <c r="C5" s="12">
        <v>45750</v>
      </c>
      <c r="D5" s="6" t="s">
        <v>41</v>
      </c>
      <c r="E5" s="6" t="s">
        <v>42</v>
      </c>
      <c r="F5" s="6">
        <v>4054</v>
      </c>
      <c r="G5" s="6">
        <v>389</v>
      </c>
      <c r="H5" s="6">
        <v>493</v>
      </c>
      <c r="I5" s="6">
        <v>64864</v>
      </c>
      <c r="J5" s="6">
        <v>64383</v>
      </c>
      <c r="K5" s="6">
        <v>117</v>
      </c>
      <c r="L5" s="6" t="s">
        <v>44</v>
      </c>
      <c r="M5" s="6" t="s">
        <v>11</v>
      </c>
      <c r="N5" s="14">
        <f>(Posts11[[#This Row],[Likes]]+Posts11[[#This Row],[Shares]]+Posts11[[#This Row],[Comments]])/Posts11[[#This Row],[Impressions]]</f>
        <v>7.6097681302417369E-2</v>
      </c>
    </row>
    <row r="6" spans="1:18">
      <c r="A6" s="9" t="s">
        <v>45</v>
      </c>
      <c r="B6" s="5" t="s">
        <v>46</v>
      </c>
      <c r="C6" s="10">
        <v>45789</v>
      </c>
      <c r="D6" s="5" t="s">
        <v>36</v>
      </c>
      <c r="E6" s="5" t="s">
        <v>47</v>
      </c>
      <c r="F6" s="5">
        <v>2795</v>
      </c>
      <c r="G6" s="5">
        <v>105</v>
      </c>
      <c r="H6" s="5">
        <v>49</v>
      </c>
      <c r="I6" s="5">
        <v>53105</v>
      </c>
      <c r="J6" s="5">
        <v>52307</v>
      </c>
      <c r="K6" s="5">
        <v>204</v>
      </c>
      <c r="L6" s="5" t="s">
        <v>43</v>
      </c>
      <c r="M6" s="5" t="s">
        <v>15</v>
      </c>
      <c r="N6" s="13">
        <f>(Posts11[[#This Row],[Likes]]+Posts11[[#This Row],[Shares]]+Posts11[[#This Row],[Comments]])/Posts11[[#This Row],[Impressions]]</f>
        <v>5.5531494209584788E-2</v>
      </c>
    </row>
    <row r="7" spans="1:18">
      <c r="A7" s="11" t="s">
        <v>48</v>
      </c>
      <c r="B7" s="6" t="s">
        <v>49</v>
      </c>
      <c r="C7" s="12">
        <v>45516</v>
      </c>
      <c r="D7" s="6" t="s">
        <v>50</v>
      </c>
      <c r="E7" s="6" t="s">
        <v>51</v>
      </c>
      <c r="F7" s="6">
        <v>2404</v>
      </c>
      <c r="G7" s="6">
        <v>363</v>
      </c>
      <c r="H7" s="6">
        <v>138</v>
      </c>
      <c r="I7" s="6">
        <v>19232</v>
      </c>
      <c r="J7" s="6">
        <v>18636</v>
      </c>
      <c r="K7" s="6">
        <v>128</v>
      </c>
      <c r="L7" s="6" t="s">
        <v>52</v>
      </c>
      <c r="M7" s="6" t="s">
        <v>19</v>
      </c>
      <c r="N7" s="14">
        <f>(Posts11[[#This Row],[Likes]]+Posts11[[#This Row],[Shares]]+Posts11[[#This Row],[Comments]])/Posts11[[#This Row],[Impressions]]</f>
        <v>0.15105033277870217</v>
      </c>
    </row>
    <row r="8" spans="1:18">
      <c r="A8" s="9" t="s">
        <v>53</v>
      </c>
      <c r="B8" s="5" t="s">
        <v>46</v>
      </c>
      <c r="C8" s="10">
        <v>45469</v>
      </c>
      <c r="D8" s="5" t="s">
        <v>36</v>
      </c>
      <c r="E8" s="5" t="s">
        <v>47</v>
      </c>
      <c r="F8" s="5">
        <v>3557</v>
      </c>
      <c r="G8" s="5">
        <v>687</v>
      </c>
      <c r="H8" s="5">
        <v>424</v>
      </c>
      <c r="I8" s="5">
        <v>71140</v>
      </c>
      <c r="J8" s="5">
        <v>70701</v>
      </c>
      <c r="K8" s="5">
        <v>224</v>
      </c>
      <c r="L8" s="5" t="s">
        <v>52</v>
      </c>
      <c r="M8" s="5" t="s">
        <v>7</v>
      </c>
      <c r="N8" s="13">
        <f>(Posts11[[#This Row],[Likes]]+Posts11[[#This Row],[Shares]]+Posts11[[#This Row],[Comments]])/Posts11[[#This Row],[Impressions]]</f>
        <v>6.5617093055946027E-2</v>
      </c>
    </row>
    <row r="9" spans="1:18">
      <c r="A9" s="11" t="s">
        <v>53</v>
      </c>
      <c r="B9" s="6" t="s">
        <v>46</v>
      </c>
      <c r="C9" s="12">
        <v>45469</v>
      </c>
      <c r="D9" s="6" t="s">
        <v>36</v>
      </c>
      <c r="E9" s="6" t="s">
        <v>47</v>
      </c>
      <c r="F9" s="6">
        <v>3557</v>
      </c>
      <c r="G9" s="6">
        <v>687</v>
      </c>
      <c r="H9" s="6">
        <v>424</v>
      </c>
      <c r="I9" s="6">
        <v>71140</v>
      </c>
      <c r="J9" s="6">
        <v>70701</v>
      </c>
      <c r="K9" s="6">
        <v>224</v>
      </c>
      <c r="L9" s="6" t="s">
        <v>43</v>
      </c>
      <c r="M9" s="6" t="s">
        <v>7</v>
      </c>
      <c r="N9" s="14">
        <f>(Posts11[[#This Row],[Likes]]+Posts11[[#This Row],[Shares]]+Posts11[[#This Row],[Comments]])/Posts11[[#This Row],[Impressions]]</f>
        <v>6.5617093055946027E-2</v>
      </c>
    </row>
    <row r="10" spans="1:18">
      <c r="A10" s="9" t="s">
        <v>54</v>
      </c>
      <c r="B10" s="5" t="s">
        <v>55</v>
      </c>
      <c r="C10" s="10">
        <v>45596</v>
      </c>
      <c r="D10" s="5" t="s">
        <v>56</v>
      </c>
      <c r="E10" s="5" t="s">
        <v>57</v>
      </c>
      <c r="F10" s="5">
        <v>2945</v>
      </c>
      <c r="G10" s="5">
        <v>930</v>
      </c>
      <c r="H10" s="5">
        <v>355</v>
      </c>
      <c r="I10" s="5">
        <v>23560</v>
      </c>
      <c r="J10" s="5">
        <v>23275</v>
      </c>
      <c r="K10" s="5">
        <v>256</v>
      </c>
      <c r="L10" s="5" t="s">
        <v>43</v>
      </c>
      <c r="M10" s="5" t="s">
        <v>11</v>
      </c>
      <c r="N10" s="13">
        <f>(Posts11[[#This Row],[Likes]]+Posts11[[#This Row],[Shares]]+Posts11[[#This Row],[Comments]])/Posts11[[#This Row],[Impressions]]</f>
        <v>0.17954159592529711</v>
      </c>
      <c r="Q10" s="22" t="s">
        <v>24</v>
      </c>
      <c r="R10" s="22" t="s">
        <v>380</v>
      </c>
    </row>
    <row r="11" spans="1:18">
      <c r="A11" s="11" t="s">
        <v>58</v>
      </c>
      <c r="B11" s="6" t="s">
        <v>35</v>
      </c>
      <c r="C11" s="12">
        <v>45467</v>
      </c>
      <c r="D11" s="6" t="s">
        <v>56</v>
      </c>
      <c r="E11" s="6" t="s">
        <v>59</v>
      </c>
      <c r="F11" s="6">
        <v>3860</v>
      </c>
      <c r="G11" s="6">
        <v>201</v>
      </c>
      <c r="H11" s="6">
        <v>279</v>
      </c>
      <c r="I11" s="6">
        <v>61760</v>
      </c>
      <c r="J11" s="6">
        <v>61660</v>
      </c>
      <c r="K11" s="6">
        <v>235</v>
      </c>
      <c r="L11" s="6" t="s">
        <v>43</v>
      </c>
      <c r="M11" s="6" t="s">
        <v>11</v>
      </c>
      <c r="N11" s="14">
        <f>(Posts11[[#This Row],[Likes]]+Posts11[[#This Row],[Shares]]+Posts11[[#This Row],[Comments]])/Posts11[[#This Row],[Impressions]]</f>
        <v>7.0272020725388601E-2</v>
      </c>
      <c r="Q11" s="23" t="s">
        <v>35</v>
      </c>
      <c r="R11" s="27">
        <f>AVERAGEIF(Posts[Platform],Q11,Posts11[Engagement Rate])</f>
        <v>0.13739368723551609</v>
      </c>
    </row>
    <row r="12" spans="1:18">
      <c r="A12" s="9" t="s">
        <v>60</v>
      </c>
      <c r="B12" s="5" t="s">
        <v>46</v>
      </c>
      <c r="C12" s="10">
        <v>45486</v>
      </c>
      <c r="D12" s="5" t="s">
        <v>61</v>
      </c>
      <c r="E12" s="5" t="s">
        <v>62</v>
      </c>
      <c r="F12" s="5">
        <v>3929</v>
      </c>
      <c r="G12" s="5">
        <v>262</v>
      </c>
      <c r="H12" s="5">
        <v>278</v>
      </c>
      <c r="I12" s="5">
        <v>43219</v>
      </c>
      <c r="J12" s="5">
        <v>42841</v>
      </c>
      <c r="K12" s="5">
        <v>39</v>
      </c>
      <c r="L12" s="5" t="s">
        <v>52</v>
      </c>
      <c r="M12" s="5" t="s">
        <v>19</v>
      </c>
      <c r="N12" s="13">
        <f>(Posts11[[#This Row],[Likes]]+Posts11[[#This Row],[Shares]]+Posts11[[#This Row],[Comments]])/Posts11[[#This Row],[Impressions]]</f>
        <v>0.10340359564080613</v>
      </c>
      <c r="Q12" s="23" t="s">
        <v>46</v>
      </c>
      <c r="R12" s="27">
        <f>AVERAGEIF(Posts[Platform],Q12,Posts11[Engagement Rate])</f>
        <v>0.13298735096853673</v>
      </c>
    </row>
    <row r="13" spans="1:18">
      <c r="A13" s="11" t="s">
        <v>63</v>
      </c>
      <c r="B13" s="6" t="s">
        <v>55</v>
      </c>
      <c r="C13" s="12">
        <v>45534</v>
      </c>
      <c r="D13" s="6" t="s">
        <v>41</v>
      </c>
      <c r="E13" s="6" t="s">
        <v>64</v>
      </c>
      <c r="F13" s="6">
        <v>3784</v>
      </c>
      <c r="G13" s="6">
        <v>808</v>
      </c>
      <c r="H13" s="6">
        <v>404</v>
      </c>
      <c r="I13" s="6">
        <v>56760</v>
      </c>
      <c r="J13" s="6">
        <v>56343</v>
      </c>
      <c r="K13" s="6">
        <v>131</v>
      </c>
      <c r="L13" s="6" t="s">
        <v>43</v>
      </c>
      <c r="M13" s="6" t="s">
        <v>11</v>
      </c>
      <c r="N13" s="14">
        <f>(Posts11[[#This Row],[Likes]]+Posts11[[#This Row],[Shares]]+Posts11[[#This Row],[Comments]])/Posts11[[#This Row],[Impressions]]</f>
        <v>8.8019732205778717E-2</v>
      </c>
      <c r="Q13" s="23" t="s">
        <v>49</v>
      </c>
      <c r="R13" s="27">
        <f>AVERAGEIF(Posts[Platform],Q13,Posts11[Engagement Rate])</f>
        <v>0.18531784517185629</v>
      </c>
    </row>
    <row r="14" spans="1:18">
      <c r="A14" s="9" t="s">
        <v>65</v>
      </c>
      <c r="B14" s="5" t="s">
        <v>55</v>
      </c>
      <c r="C14" s="10">
        <v>45727</v>
      </c>
      <c r="D14" s="5" t="s">
        <v>61</v>
      </c>
      <c r="E14" s="5" t="s">
        <v>66</v>
      </c>
      <c r="F14" s="5">
        <v>4241</v>
      </c>
      <c r="G14" s="5">
        <v>902</v>
      </c>
      <c r="H14" s="5">
        <v>47</v>
      </c>
      <c r="I14" s="5">
        <v>72097</v>
      </c>
      <c r="J14" s="5">
        <v>71598</v>
      </c>
      <c r="K14" s="5">
        <v>167</v>
      </c>
      <c r="L14" s="5" t="s">
        <v>43</v>
      </c>
      <c r="M14" s="5" t="s">
        <v>11</v>
      </c>
      <c r="N14" s="13">
        <f>(Posts11[[#This Row],[Likes]]+Posts11[[#This Row],[Shares]]+Posts11[[#This Row],[Comments]])/Posts11[[#This Row],[Impressions]]</f>
        <v>7.198635172059864E-2</v>
      </c>
      <c r="Q14" s="23" t="s">
        <v>55</v>
      </c>
      <c r="R14" s="27">
        <f>AVERAGEIF(Posts[Platform],Q14,Posts11[Engagement Rate])</f>
        <v>0.12094203382654924</v>
      </c>
    </row>
    <row r="15" spans="1:18">
      <c r="A15" s="11" t="s">
        <v>67</v>
      </c>
      <c r="B15" s="6" t="s">
        <v>49</v>
      </c>
      <c r="C15" s="12">
        <v>45690</v>
      </c>
      <c r="D15" s="6" t="s">
        <v>50</v>
      </c>
      <c r="E15" s="6" t="s">
        <v>51</v>
      </c>
      <c r="F15" s="6">
        <v>1792</v>
      </c>
      <c r="G15" s="6">
        <v>614</v>
      </c>
      <c r="H15" s="6">
        <v>497</v>
      </c>
      <c r="I15" s="6">
        <v>25088</v>
      </c>
      <c r="J15" s="6">
        <v>24675</v>
      </c>
      <c r="K15" s="6">
        <v>65</v>
      </c>
      <c r="L15" s="6" t="s">
        <v>38</v>
      </c>
      <c r="M15" s="6" t="s">
        <v>19</v>
      </c>
      <c r="N15" s="14">
        <f>(Posts11[[#This Row],[Likes]]+Posts11[[#This Row],[Shares]]+Posts11[[#This Row],[Comments]])/Posts11[[#This Row],[Impressions]]</f>
        <v>0.11571269132653061</v>
      </c>
    </row>
    <row r="16" spans="1:18">
      <c r="A16" s="9" t="s">
        <v>68</v>
      </c>
      <c r="B16" s="5" t="s">
        <v>55</v>
      </c>
      <c r="C16" s="10">
        <v>45494</v>
      </c>
      <c r="D16" s="5" t="s">
        <v>36</v>
      </c>
      <c r="E16" s="5" t="s">
        <v>69</v>
      </c>
      <c r="F16" s="5">
        <v>1946</v>
      </c>
      <c r="G16" s="5">
        <v>686</v>
      </c>
      <c r="H16" s="5">
        <v>377</v>
      </c>
      <c r="I16" s="5">
        <v>23352</v>
      </c>
      <c r="J16" s="5">
        <v>22982</v>
      </c>
      <c r="K16" s="5">
        <v>213</v>
      </c>
      <c r="L16" s="5" t="s">
        <v>38</v>
      </c>
      <c r="M16" s="5" t="s">
        <v>15</v>
      </c>
      <c r="N16" s="13">
        <f>(Posts11[[#This Row],[Likes]]+Posts11[[#This Row],[Shares]]+Posts11[[#This Row],[Comments]])/Posts11[[#This Row],[Impressions]]</f>
        <v>0.12885405960945528</v>
      </c>
    </row>
    <row r="17" spans="1:14">
      <c r="A17" s="11" t="s">
        <v>70</v>
      </c>
      <c r="B17" s="6" t="s">
        <v>46</v>
      </c>
      <c r="C17" s="12">
        <v>45614</v>
      </c>
      <c r="D17" s="6" t="s">
        <v>56</v>
      </c>
      <c r="E17" s="6" t="s">
        <v>71</v>
      </c>
      <c r="F17" s="6">
        <v>1171</v>
      </c>
      <c r="G17" s="6">
        <v>286</v>
      </c>
      <c r="H17" s="6">
        <v>231</v>
      </c>
      <c r="I17" s="6">
        <v>22249</v>
      </c>
      <c r="J17" s="6">
        <v>21282</v>
      </c>
      <c r="K17" s="6">
        <v>114</v>
      </c>
      <c r="L17" s="6" t="s">
        <v>52</v>
      </c>
      <c r="M17" s="6" t="s">
        <v>7</v>
      </c>
      <c r="N17" s="14">
        <f>(Posts11[[#This Row],[Likes]]+Posts11[[#This Row],[Shares]]+Posts11[[#This Row],[Comments]])/Posts11[[#This Row],[Impressions]]</f>
        <v>7.5868578363072495E-2</v>
      </c>
    </row>
    <row r="18" spans="1:14">
      <c r="A18" s="9" t="s">
        <v>72</v>
      </c>
      <c r="B18" s="5" t="s">
        <v>55</v>
      </c>
      <c r="C18" s="10">
        <v>45704</v>
      </c>
      <c r="D18" s="5" t="s">
        <v>50</v>
      </c>
      <c r="E18" s="5" t="s">
        <v>73</v>
      </c>
      <c r="F18" s="5">
        <v>4242</v>
      </c>
      <c r="G18" s="5">
        <v>555</v>
      </c>
      <c r="H18" s="5">
        <v>131</v>
      </c>
      <c r="I18" s="5">
        <v>33936</v>
      </c>
      <c r="J18" s="5">
        <v>33802</v>
      </c>
      <c r="K18" s="5">
        <v>265</v>
      </c>
      <c r="L18" s="5" t="s">
        <v>38</v>
      </c>
      <c r="M18" s="5"/>
      <c r="N18" s="13">
        <f>(Posts11[[#This Row],[Likes]]+Posts11[[#This Row],[Shares]]+Posts11[[#This Row],[Comments]])/Posts11[[#This Row],[Impressions]]</f>
        <v>0.14521452145214522</v>
      </c>
    </row>
    <row r="19" spans="1:14">
      <c r="A19" s="11" t="s">
        <v>74</v>
      </c>
      <c r="B19" s="6" t="s">
        <v>55</v>
      </c>
      <c r="C19" s="12">
        <v>45589</v>
      </c>
      <c r="D19" s="6" t="s">
        <v>75</v>
      </c>
      <c r="E19" s="6" t="s">
        <v>76</v>
      </c>
      <c r="F19" s="6">
        <v>3888</v>
      </c>
      <c r="G19" s="6">
        <v>604</v>
      </c>
      <c r="H19" s="6">
        <v>128</v>
      </c>
      <c r="I19" s="6">
        <v>77760</v>
      </c>
      <c r="J19" s="6">
        <v>77167</v>
      </c>
      <c r="K19" s="6">
        <v>20</v>
      </c>
      <c r="L19" s="6" t="s">
        <v>38</v>
      </c>
      <c r="M19" s="6" t="s">
        <v>7</v>
      </c>
      <c r="N19" s="14">
        <f>(Posts11[[#This Row],[Likes]]+Posts11[[#This Row],[Shares]]+Posts11[[#This Row],[Comments]])/Posts11[[#This Row],[Impressions]]</f>
        <v>5.941358024691358E-2</v>
      </c>
    </row>
    <row r="20" spans="1:14">
      <c r="A20" s="9" t="s">
        <v>77</v>
      </c>
      <c r="B20" s="5" t="s">
        <v>55</v>
      </c>
      <c r="C20" s="10">
        <v>45530</v>
      </c>
      <c r="D20" s="5" t="s">
        <v>41</v>
      </c>
      <c r="E20" s="5" t="s">
        <v>64</v>
      </c>
      <c r="F20" s="5">
        <v>3452</v>
      </c>
      <c r="G20" s="5">
        <v>377</v>
      </c>
      <c r="H20" s="5">
        <v>360</v>
      </c>
      <c r="I20" s="5">
        <v>55232</v>
      </c>
      <c r="J20" s="5">
        <v>55075</v>
      </c>
      <c r="K20" s="5">
        <v>87</v>
      </c>
      <c r="L20" s="5" t="s">
        <v>38</v>
      </c>
      <c r="M20" s="5" t="s">
        <v>15</v>
      </c>
      <c r="N20" s="13">
        <f>(Posts11[[#This Row],[Likes]]+Posts11[[#This Row],[Shares]]+Posts11[[#This Row],[Comments]])/Posts11[[#This Row],[Impressions]]</f>
        <v>7.5843713789107758E-2</v>
      </c>
    </row>
    <row r="21" spans="1:14">
      <c r="A21" s="11" t="s">
        <v>78</v>
      </c>
      <c r="B21" s="6" t="s">
        <v>55</v>
      </c>
      <c r="C21" s="12">
        <v>45782</v>
      </c>
      <c r="D21" s="6" t="s">
        <v>41</v>
      </c>
      <c r="E21" s="6" t="s">
        <v>64</v>
      </c>
      <c r="F21" s="6">
        <v>4441</v>
      </c>
      <c r="G21" s="6">
        <v>511</v>
      </c>
      <c r="H21" s="6">
        <v>70</v>
      </c>
      <c r="I21" s="6">
        <v>53292</v>
      </c>
      <c r="J21" s="6">
        <v>53082</v>
      </c>
      <c r="K21" s="6">
        <v>159</v>
      </c>
      <c r="L21" s="6" t="s">
        <v>52</v>
      </c>
      <c r="M21" s="6" t="s">
        <v>19</v>
      </c>
      <c r="N21" s="14">
        <f>(Posts11[[#This Row],[Likes]]+Posts11[[#This Row],[Shares]]+Posts11[[#This Row],[Comments]])/Posts11[[#This Row],[Impressions]]</f>
        <v>9.4235532537716729E-2</v>
      </c>
    </row>
    <row r="22" spans="1:14">
      <c r="A22" s="9" t="s">
        <v>79</v>
      </c>
      <c r="B22" s="5" t="s">
        <v>49</v>
      </c>
      <c r="C22" s="10">
        <v>45523</v>
      </c>
      <c r="D22" s="5" t="s">
        <v>36</v>
      </c>
      <c r="E22" s="5" t="s">
        <v>80</v>
      </c>
      <c r="F22" s="5">
        <v>3000</v>
      </c>
      <c r="G22" s="5">
        <v>382</v>
      </c>
      <c r="H22" s="5">
        <v>325</v>
      </c>
      <c r="I22" s="5">
        <v>36000</v>
      </c>
      <c r="J22" s="5">
        <v>35819</v>
      </c>
      <c r="K22" s="5">
        <v>19</v>
      </c>
      <c r="L22" s="5" t="s">
        <v>38</v>
      </c>
      <c r="M22" s="5" t="s">
        <v>7</v>
      </c>
      <c r="N22" s="13">
        <f>(Posts11[[#This Row],[Likes]]+Posts11[[#This Row],[Shares]]+Posts11[[#This Row],[Comments]])/Posts11[[#This Row],[Impressions]]</f>
        <v>0.10297222222222223</v>
      </c>
    </row>
    <row r="23" spans="1:14">
      <c r="A23" s="11" t="s">
        <v>81</v>
      </c>
      <c r="B23" s="6" t="s">
        <v>49</v>
      </c>
      <c r="C23" s="12">
        <v>45466</v>
      </c>
      <c r="D23" s="6" t="s">
        <v>75</v>
      </c>
      <c r="E23" s="6" t="s">
        <v>82</v>
      </c>
      <c r="F23" s="6">
        <v>1071</v>
      </c>
      <c r="G23" s="6">
        <v>519</v>
      </c>
      <c r="H23" s="6">
        <v>22</v>
      </c>
      <c r="I23" s="6">
        <v>16065</v>
      </c>
      <c r="J23" s="6">
        <v>15865</v>
      </c>
      <c r="K23" s="6">
        <v>103</v>
      </c>
      <c r="L23" s="6" t="s">
        <v>43</v>
      </c>
      <c r="M23" s="6" t="s">
        <v>19</v>
      </c>
      <c r="N23" s="14">
        <f>(Posts11[[#This Row],[Likes]]+Posts11[[#This Row],[Shares]]+Posts11[[#This Row],[Comments]])/Posts11[[#This Row],[Impressions]]</f>
        <v>0.10034235916588857</v>
      </c>
    </row>
    <row r="24" spans="1:14">
      <c r="A24" s="9" t="s">
        <v>83</v>
      </c>
      <c r="B24" s="5" t="s">
        <v>49</v>
      </c>
      <c r="C24" s="10">
        <v>45544</v>
      </c>
      <c r="D24" s="5" t="s">
        <v>56</v>
      </c>
      <c r="E24" s="5" t="s">
        <v>84</v>
      </c>
      <c r="F24" s="5">
        <v>4054</v>
      </c>
      <c r="G24" s="5">
        <v>488</v>
      </c>
      <c r="H24" s="5">
        <v>373</v>
      </c>
      <c r="I24" s="5">
        <v>77026</v>
      </c>
      <c r="J24" s="5">
        <v>76881</v>
      </c>
      <c r="K24" s="5">
        <v>25</v>
      </c>
      <c r="L24" s="5" t="s">
        <v>43</v>
      </c>
      <c r="M24" s="5" t="s">
        <v>7</v>
      </c>
      <c r="N24" s="13">
        <f>(Posts11[[#This Row],[Likes]]+Posts11[[#This Row],[Shares]]+Posts11[[#This Row],[Comments]])/Posts11[[#This Row],[Impressions]]</f>
        <v>6.3809622724794221E-2</v>
      </c>
    </row>
    <row r="25" spans="1:14">
      <c r="A25" s="11" t="s">
        <v>85</v>
      </c>
      <c r="B25" s="6" t="s">
        <v>49</v>
      </c>
      <c r="C25" s="12">
        <v>45661</v>
      </c>
      <c r="D25" s="6" t="s">
        <v>36</v>
      </c>
      <c r="E25" s="6" t="s">
        <v>80</v>
      </c>
      <c r="F25" s="6">
        <v>4838</v>
      </c>
      <c r="G25" s="6">
        <v>640</v>
      </c>
      <c r="H25" s="6">
        <v>128</v>
      </c>
      <c r="I25" s="6">
        <v>72570</v>
      </c>
      <c r="J25" s="6">
        <v>72396</v>
      </c>
      <c r="K25" s="6">
        <v>83</v>
      </c>
      <c r="L25" s="6" t="s">
        <v>38</v>
      </c>
      <c r="M25" s="6" t="s">
        <v>19</v>
      </c>
      <c r="N25" s="14">
        <f>(Posts11[[#This Row],[Likes]]+Posts11[[#This Row],[Shares]]+Posts11[[#This Row],[Comments]])/Posts11[[#This Row],[Impressions]]</f>
        <v>7.7249552156538517E-2</v>
      </c>
    </row>
    <row r="26" spans="1:14">
      <c r="A26" s="9" t="s">
        <v>86</v>
      </c>
      <c r="B26" s="5" t="s">
        <v>55</v>
      </c>
      <c r="C26" s="10">
        <v>45715</v>
      </c>
      <c r="D26" s="5" t="s">
        <v>41</v>
      </c>
      <c r="E26" s="5" t="s">
        <v>64</v>
      </c>
      <c r="F26" s="5">
        <v>1570</v>
      </c>
      <c r="G26" s="5">
        <v>187</v>
      </c>
      <c r="H26" s="5">
        <v>260</v>
      </c>
      <c r="I26" s="5">
        <v>25120</v>
      </c>
      <c r="J26" s="5">
        <v>24613</v>
      </c>
      <c r="K26" s="5">
        <v>133</v>
      </c>
      <c r="L26" s="5" t="s">
        <v>43</v>
      </c>
      <c r="M26" s="5" t="s">
        <v>19</v>
      </c>
      <c r="N26" s="13">
        <f>(Posts11[[#This Row],[Likes]]+Posts11[[#This Row],[Shares]]+Posts11[[#This Row],[Comments]])/Posts11[[#This Row],[Impressions]]</f>
        <v>8.0294585987261149E-2</v>
      </c>
    </row>
    <row r="27" spans="1:14">
      <c r="A27" s="11" t="s">
        <v>87</v>
      </c>
      <c r="B27" s="6" t="s">
        <v>55</v>
      </c>
      <c r="C27" s="12">
        <v>45602</v>
      </c>
      <c r="D27" s="6" t="s">
        <v>75</v>
      </c>
      <c r="E27" s="6" t="s">
        <v>76</v>
      </c>
      <c r="F27" s="6">
        <v>1606</v>
      </c>
      <c r="G27" s="6">
        <v>547</v>
      </c>
      <c r="H27" s="6">
        <v>316</v>
      </c>
      <c r="I27" s="6">
        <v>32120</v>
      </c>
      <c r="J27" s="6">
        <v>31736</v>
      </c>
      <c r="K27" s="6">
        <v>225</v>
      </c>
      <c r="L27" s="6" t="s">
        <v>43</v>
      </c>
      <c r="M27" s="6" t="s">
        <v>11</v>
      </c>
      <c r="N27" s="14">
        <f>(Posts11[[#This Row],[Likes]]+Posts11[[#This Row],[Shares]]+Posts11[[#This Row],[Comments]])/Posts11[[#This Row],[Impressions]]</f>
        <v>7.6867995018679955E-2</v>
      </c>
    </row>
    <row r="28" spans="1:14">
      <c r="A28" s="9" t="s">
        <v>87</v>
      </c>
      <c r="B28" s="5" t="s">
        <v>55</v>
      </c>
      <c r="C28" s="10">
        <v>45602</v>
      </c>
      <c r="D28" s="5" t="s">
        <v>75</v>
      </c>
      <c r="E28" s="5" t="s">
        <v>76</v>
      </c>
      <c r="F28" s="5">
        <v>1606</v>
      </c>
      <c r="G28" s="5">
        <v>547</v>
      </c>
      <c r="H28" s="5">
        <v>316</v>
      </c>
      <c r="I28" s="5">
        <v>32120</v>
      </c>
      <c r="J28" s="5">
        <v>31736</v>
      </c>
      <c r="K28" s="5">
        <v>225</v>
      </c>
      <c r="L28" s="5" t="s">
        <v>39</v>
      </c>
      <c r="M28" s="5" t="s">
        <v>11</v>
      </c>
      <c r="N28" s="13">
        <f>(Posts11[[#This Row],[Likes]]+Posts11[[#This Row],[Shares]]+Posts11[[#This Row],[Comments]])/Posts11[[#This Row],[Impressions]]</f>
        <v>7.6867995018679955E-2</v>
      </c>
    </row>
    <row r="29" spans="1:14">
      <c r="A29" s="11" t="s">
        <v>88</v>
      </c>
      <c r="B29" s="6" t="s">
        <v>55</v>
      </c>
      <c r="C29" s="12">
        <v>45680</v>
      </c>
      <c r="D29" s="6" t="s">
        <v>75</v>
      </c>
      <c r="E29" s="6" t="s">
        <v>76</v>
      </c>
      <c r="F29" s="6">
        <v>3961</v>
      </c>
      <c r="G29" s="6">
        <v>761</v>
      </c>
      <c r="H29" s="6">
        <v>131</v>
      </c>
      <c r="I29" s="6">
        <v>67337</v>
      </c>
      <c r="J29" s="6">
        <v>66615</v>
      </c>
      <c r="K29" s="6">
        <v>161</v>
      </c>
      <c r="L29" s="6" t="s">
        <v>38</v>
      </c>
      <c r="M29" s="6" t="s">
        <v>15</v>
      </c>
      <c r="N29" s="14">
        <f>(Posts11[[#This Row],[Likes]]+Posts11[[#This Row],[Shares]]+Posts11[[#This Row],[Comments]])/Posts11[[#This Row],[Impressions]]</f>
        <v>7.2070332803659209E-2</v>
      </c>
    </row>
    <row r="30" spans="1:14">
      <c r="A30" s="9" t="s">
        <v>89</v>
      </c>
      <c r="B30" s="5" t="s">
        <v>35</v>
      </c>
      <c r="C30" s="10">
        <v>45757</v>
      </c>
      <c r="D30" s="5" t="s">
        <v>56</v>
      </c>
      <c r="E30" s="5" t="s">
        <v>59</v>
      </c>
      <c r="F30" s="5">
        <v>3128</v>
      </c>
      <c r="G30" s="5">
        <v>211</v>
      </c>
      <c r="H30" s="5">
        <v>197</v>
      </c>
      <c r="I30" s="5">
        <v>59432</v>
      </c>
      <c r="J30" s="5">
        <v>59182</v>
      </c>
      <c r="K30" s="5">
        <v>238</v>
      </c>
      <c r="L30" s="5" t="s">
        <v>52</v>
      </c>
      <c r="M30" s="5"/>
      <c r="N30" s="13">
        <f>(Posts11[[#This Row],[Likes]]+Posts11[[#This Row],[Shares]]+Posts11[[#This Row],[Comments]])/Posts11[[#This Row],[Impressions]]</f>
        <v>5.9496567505720827E-2</v>
      </c>
    </row>
    <row r="31" spans="1:14">
      <c r="A31" s="11" t="s">
        <v>90</v>
      </c>
      <c r="B31" s="6" t="s">
        <v>46</v>
      </c>
      <c r="C31" s="12">
        <v>45752</v>
      </c>
      <c r="D31" s="6" t="s">
        <v>36</v>
      </c>
      <c r="E31" s="6" t="s">
        <v>47</v>
      </c>
      <c r="F31" s="6">
        <v>3009</v>
      </c>
      <c r="G31" s="6">
        <v>413</v>
      </c>
      <c r="H31" s="6">
        <v>358</v>
      </c>
      <c r="I31" s="6">
        <v>42126</v>
      </c>
      <c r="J31" s="6">
        <v>41309</v>
      </c>
      <c r="K31" s="6">
        <v>211</v>
      </c>
      <c r="L31" s="6" t="s">
        <v>38</v>
      </c>
      <c r="M31" s="6" t="s">
        <v>11</v>
      </c>
      <c r="N31" s="14">
        <f>(Posts11[[#This Row],[Likes]]+Posts11[[#This Row],[Shares]]+Posts11[[#This Row],[Comments]])/Posts11[[#This Row],[Impressions]]</f>
        <v>8.9730807577268201E-2</v>
      </c>
    </row>
    <row r="32" spans="1:14">
      <c r="A32" s="9" t="s">
        <v>91</v>
      </c>
      <c r="B32" s="5" t="s">
        <v>46</v>
      </c>
      <c r="C32" s="10">
        <v>45552</v>
      </c>
      <c r="D32" s="5" t="s">
        <v>41</v>
      </c>
      <c r="E32" s="5" t="s">
        <v>92</v>
      </c>
      <c r="F32" s="5">
        <v>2076</v>
      </c>
      <c r="G32" s="5">
        <v>195</v>
      </c>
      <c r="H32" s="5">
        <v>104</v>
      </c>
      <c r="I32" s="5">
        <v>33216</v>
      </c>
      <c r="J32" s="5">
        <v>32244</v>
      </c>
      <c r="K32" s="5">
        <v>51</v>
      </c>
      <c r="L32" s="5" t="s">
        <v>38</v>
      </c>
      <c r="M32" s="5" t="s">
        <v>19</v>
      </c>
      <c r="N32" s="13">
        <f>(Posts11[[#This Row],[Likes]]+Posts11[[#This Row],[Shares]]+Posts11[[#This Row],[Comments]])/Posts11[[#This Row],[Impressions]]</f>
        <v>7.1501685934489398E-2</v>
      </c>
    </row>
    <row r="33" spans="1:14">
      <c r="A33" s="11" t="s">
        <v>93</v>
      </c>
      <c r="B33" s="6" t="s">
        <v>49</v>
      </c>
      <c r="C33" s="12">
        <v>45720</v>
      </c>
      <c r="D33" s="6" t="s">
        <v>75</v>
      </c>
      <c r="E33" s="6" t="s">
        <v>82</v>
      </c>
      <c r="F33" s="6">
        <v>432</v>
      </c>
      <c r="G33" s="6">
        <v>624</v>
      </c>
      <c r="H33" s="6">
        <v>123</v>
      </c>
      <c r="I33" s="6">
        <v>6912</v>
      </c>
      <c r="J33" s="6">
        <v>6259</v>
      </c>
      <c r="K33" s="6">
        <v>79</v>
      </c>
      <c r="L33" s="6" t="s">
        <v>38</v>
      </c>
      <c r="M33" s="6" t="s">
        <v>19</v>
      </c>
      <c r="N33" s="14">
        <f>(Posts11[[#This Row],[Likes]]+Posts11[[#This Row],[Shares]]+Posts11[[#This Row],[Comments]])/Posts11[[#This Row],[Impressions]]</f>
        <v>0.17057291666666666</v>
      </c>
    </row>
    <row r="34" spans="1:14">
      <c r="A34" s="9" t="s">
        <v>94</v>
      </c>
      <c r="B34" s="5" t="s">
        <v>49</v>
      </c>
      <c r="C34" s="10">
        <v>45688</v>
      </c>
      <c r="D34" s="5" t="s">
        <v>56</v>
      </c>
      <c r="E34" s="5" t="s">
        <v>84</v>
      </c>
      <c r="F34" s="5">
        <v>2566</v>
      </c>
      <c r="G34" s="5">
        <v>118</v>
      </c>
      <c r="H34" s="5">
        <v>37</v>
      </c>
      <c r="I34" s="5">
        <v>12830</v>
      </c>
      <c r="J34" s="5">
        <v>12264</v>
      </c>
      <c r="K34" s="5">
        <v>221</v>
      </c>
      <c r="L34" s="5" t="s">
        <v>38</v>
      </c>
      <c r="M34" s="5" t="s">
        <v>15</v>
      </c>
      <c r="N34" s="13">
        <f>(Posts11[[#This Row],[Likes]]+Posts11[[#This Row],[Shares]]+Posts11[[#This Row],[Comments]])/Posts11[[#This Row],[Impressions]]</f>
        <v>0.21208106001558846</v>
      </c>
    </row>
    <row r="35" spans="1:14">
      <c r="A35" s="11" t="s">
        <v>95</v>
      </c>
      <c r="B35" s="6" t="s">
        <v>49</v>
      </c>
      <c r="C35" s="12">
        <v>45713</v>
      </c>
      <c r="D35" s="6" t="s">
        <v>75</v>
      </c>
      <c r="E35" s="6" t="s">
        <v>82</v>
      </c>
      <c r="F35" s="6">
        <v>3095</v>
      </c>
      <c r="G35" s="6">
        <v>39</v>
      </c>
      <c r="H35" s="6">
        <v>78</v>
      </c>
      <c r="I35" s="6">
        <v>55710</v>
      </c>
      <c r="J35" s="6">
        <v>54808</v>
      </c>
      <c r="K35" s="6">
        <v>93</v>
      </c>
      <c r="L35" s="6" t="s">
        <v>52</v>
      </c>
      <c r="M35" s="6"/>
      <c r="N35" s="14">
        <f>(Posts11[[#This Row],[Likes]]+Posts11[[#This Row],[Shares]]+Posts11[[#This Row],[Comments]])/Posts11[[#This Row],[Impressions]]</f>
        <v>5.7655717106444085E-2</v>
      </c>
    </row>
    <row r="36" spans="1:14">
      <c r="A36" s="9" t="s">
        <v>96</v>
      </c>
      <c r="B36" s="5" t="s">
        <v>49</v>
      </c>
      <c r="C36" s="10">
        <v>45642</v>
      </c>
      <c r="D36" s="5" t="s">
        <v>41</v>
      </c>
      <c r="E36" s="5" t="s">
        <v>97</v>
      </c>
      <c r="F36" s="5">
        <v>438</v>
      </c>
      <c r="G36" s="5">
        <v>153</v>
      </c>
      <c r="H36" s="5">
        <v>275</v>
      </c>
      <c r="I36" s="5">
        <v>3066</v>
      </c>
      <c r="J36" s="5">
        <v>2701</v>
      </c>
      <c r="K36" s="5">
        <v>282</v>
      </c>
      <c r="L36" s="5" t="s">
        <v>43</v>
      </c>
      <c r="M36" s="5" t="s">
        <v>11</v>
      </c>
      <c r="N36" s="13">
        <f>(Posts11[[#This Row],[Likes]]+Posts11[[#This Row],[Shares]]+Posts11[[#This Row],[Comments]])/Posts11[[#This Row],[Impressions]]</f>
        <v>0.28245270711024134</v>
      </c>
    </row>
    <row r="37" spans="1:14">
      <c r="A37" s="11" t="s">
        <v>98</v>
      </c>
      <c r="B37" s="6" t="s">
        <v>35</v>
      </c>
      <c r="C37" s="12">
        <v>45504</v>
      </c>
      <c r="D37" s="6" t="s">
        <v>56</v>
      </c>
      <c r="E37" s="6" t="s">
        <v>59</v>
      </c>
      <c r="F37" s="6">
        <v>2278</v>
      </c>
      <c r="G37" s="6">
        <v>10</v>
      </c>
      <c r="H37" s="6">
        <v>321</v>
      </c>
      <c r="I37" s="6">
        <v>13668</v>
      </c>
      <c r="J37" s="6">
        <v>12676</v>
      </c>
      <c r="K37" s="6">
        <v>275</v>
      </c>
      <c r="L37" s="6" t="s">
        <v>52</v>
      </c>
      <c r="M37" s="6" t="s">
        <v>7</v>
      </c>
      <c r="N37" s="14">
        <f>(Posts11[[#This Row],[Likes]]+Posts11[[#This Row],[Shares]]+Posts11[[#This Row],[Comments]])/Posts11[[#This Row],[Impressions]]</f>
        <v>0.19088381621305239</v>
      </c>
    </row>
    <row r="38" spans="1:14">
      <c r="A38" s="9" t="s">
        <v>99</v>
      </c>
      <c r="B38" s="5" t="s">
        <v>55</v>
      </c>
      <c r="C38" s="10">
        <v>45525</v>
      </c>
      <c r="D38" s="5" t="s">
        <v>61</v>
      </c>
      <c r="E38" s="5" t="s">
        <v>66</v>
      </c>
      <c r="F38" s="5">
        <v>1407</v>
      </c>
      <c r="G38" s="5">
        <v>400</v>
      </c>
      <c r="H38" s="5">
        <v>351</v>
      </c>
      <c r="I38" s="5">
        <v>16884</v>
      </c>
      <c r="J38" s="5">
        <v>15954</v>
      </c>
      <c r="K38" s="5">
        <v>113</v>
      </c>
      <c r="L38" s="5" t="s">
        <v>43</v>
      </c>
      <c r="M38" s="5" t="s">
        <v>7</v>
      </c>
      <c r="N38" s="13">
        <f>(Posts11[[#This Row],[Likes]]+Posts11[[#This Row],[Shares]]+Posts11[[#This Row],[Comments]])/Posts11[[#This Row],[Impressions]]</f>
        <v>0.12781331438047855</v>
      </c>
    </row>
    <row r="39" spans="1:14">
      <c r="A39" s="11" t="s">
        <v>100</v>
      </c>
      <c r="B39" s="6" t="s">
        <v>55</v>
      </c>
      <c r="C39" s="12">
        <v>45742</v>
      </c>
      <c r="D39" s="6" t="s">
        <v>41</v>
      </c>
      <c r="E39" s="6" t="s">
        <v>64</v>
      </c>
      <c r="F39" s="6">
        <v>1652</v>
      </c>
      <c r="G39" s="6">
        <v>89</v>
      </c>
      <c r="H39" s="6">
        <v>357</v>
      </c>
      <c r="I39" s="6">
        <v>29736</v>
      </c>
      <c r="J39" s="6">
        <v>28771</v>
      </c>
      <c r="K39" s="6">
        <v>215</v>
      </c>
      <c r="L39" s="6" t="s">
        <v>43</v>
      </c>
      <c r="M39" s="6" t="s">
        <v>15</v>
      </c>
      <c r="N39" s="14">
        <f>(Posts11[[#This Row],[Likes]]+Posts11[[#This Row],[Shares]]+Posts11[[#This Row],[Comments]])/Posts11[[#This Row],[Impressions]]</f>
        <v>7.055421038471886E-2</v>
      </c>
    </row>
    <row r="40" spans="1:14">
      <c r="A40" s="9" t="s">
        <v>101</v>
      </c>
      <c r="B40" s="5" t="s">
        <v>49</v>
      </c>
      <c r="C40" s="10">
        <v>45626</v>
      </c>
      <c r="D40" s="5" t="s">
        <v>75</v>
      </c>
      <c r="E40" s="5" t="s">
        <v>82</v>
      </c>
      <c r="F40" s="5">
        <v>3775</v>
      </c>
      <c r="G40" s="5">
        <v>16</v>
      </c>
      <c r="H40" s="5">
        <v>239</v>
      </c>
      <c r="I40" s="5">
        <v>33975</v>
      </c>
      <c r="J40" s="5">
        <v>33310</v>
      </c>
      <c r="K40" s="5">
        <v>271</v>
      </c>
      <c r="L40" s="5" t="s">
        <v>38</v>
      </c>
      <c r="M40" s="5" t="s">
        <v>11</v>
      </c>
      <c r="N40" s="13">
        <f>(Posts11[[#This Row],[Likes]]+Posts11[[#This Row],[Shares]]+Posts11[[#This Row],[Comments]])/Posts11[[#This Row],[Impressions]]</f>
        <v>0.11861662987490802</v>
      </c>
    </row>
    <row r="41" spans="1:14">
      <c r="A41" s="11" t="s">
        <v>102</v>
      </c>
      <c r="B41" s="6" t="s">
        <v>49</v>
      </c>
      <c r="C41" s="12">
        <v>45766</v>
      </c>
      <c r="D41" s="6" t="s">
        <v>50</v>
      </c>
      <c r="E41" s="6" t="s">
        <v>51</v>
      </c>
      <c r="F41" s="6">
        <v>4518</v>
      </c>
      <c r="G41" s="6">
        <v>285</v>
      </c>
      <c r="H41" s="6">
        <v>383</v>
      </c>
      <c r="I41" s="6">
        <v>67770</v>
      </c>
      <c r="J41" s="6">
        <v>67621</v>
      </c>
      <c r="K41" s="6">
        <v>31</v>
      </c>
      <c r="L41" s="6" t="s">
        <v>52</v>
      </c>
      <c r="M41" s="6" t="s">
        <v>11</v>
      </c>
      <c r="N41" s="14">
        <f>(Posts11[[#This Row],[Likes]]+Posts11[[#This Row],[Shares]]+Posts11[[#This Row],[Comments]])/Posts11[[#This Row],[Impressions]]</f>
        <v>7.6523535487678915E-2</v>
      </c>
    </row>
    <row r="42" spans="1:14">
      <c r="A42" s="9" t="s">
        <v>103</v>
      </c>
      <c r="B42" s="5" t="s">
        <v>55</v>
      </c>
      <c r="C42" s="10">
        <v>45663</v>
      </c>
      <c r="D42" s="5" t="s">
        <v>56</v>
      </c>
      <c r="E42" s="5" t="s">
        <v>57</v>
      </c>
      <c r="F42" s="5">
        <v>3024</v>
      </c>
      <c r="G42" s="5">
        <v>925</v>
      </c>
      <c r="H42" s="5">
        <v>350</v>
      </c>
      <c r="I42" s="5">
        <v>24192</v>
      </c>
      <c r="J42" s="5">
        <v>23518</v>
      </c>
      <c r="K42" s="5">
        <v>36</v>
      </c>
      <c r="L42" s="5" t="s">
        <v>52</v>
      </c>
      <c r="M42" s="5" t="s">
        <v>11</v>
      </c>
      <c r="N42" s="13">
        <f>(Posts11[[#This Row],[Likes]]+Posts11[[#This Row],[Shares]]+Posts11[[#This Row],[Comments]])/Posts11[[#This Row],[Impressions]]</f>
        <v>0.17770337301587302</v>
      </c>
    </row>
    <row r="43" spans="1:14">
      <c r="A43" s="11" t="s">
        <v>104</v>
      </c>
      <c r="B43" s="6" t="s">
        <v>46</v>
      </c>
      <c r="C43" s="12">
        <v>45705</v>
      </c>
      <c r="D43" s="6" t="s">
        <v>36</v>
      </c>
      <c r="E43" s="6" t="s">
        <v>47</v>
      </c>
      <c r="F43" s="6">
        <v>3138</v>
      </c>
      <c r="G43" s="6">
        <v>123</v>
      </c>
      <c r="H43" s="6">
        <v>291</v>
      </c>
      <c r="I43" s="6">
        <v>28242</v>
      </c>
      <c r="J43" s="6">
        <v>27550</v>
      </c>
      <c r="K43" s="6">
        <v>87</v>
      </c>
      <c r="L43" s="6" t="s">
        <v>43</v>
      </c>
      <c r="M43" s="6" t="s">
        <v>19</v>
      </c>
      <c r="N43" s="14">
        <f>(Posts11[[#This Row],[Likes]]+Posts11[[#This Row],[Shares]]+Posts11[[#This Row],[Comments]])/Posts11[[#This Row],[Impressions]]</f>
        <v>0.12577012959422137</v>
      </c>
    </row>
    <row r="44" spans="1:14">
      <c r="A44" s="9" t="s">
        <v>105</v>
      </c>
      <c r="B44" s="5" t="s">
        <v>55</v>
      </c>
      <c r="C44" s="10">
        <v>45621</v>
      </c>
      <c r="D44" s="5" t="s">
        <v>61</v>
      </c>
      <c r="E44" s="5" t="s">
        <v>66</v>
      </c>
      <c r="F44" s="5">
        <v>3564</v>
      </c>
      <c r="G44" s="5">
        <v>629</v>
      </c>
      <c r="H44" s="5">
        <v>177</v>
      </c>
      <c r="I44" s="5">
        <v>60588</v>
      </c>
      <c r="J44" s="5">
        <v>59627</v>
      </c>
      <c r="K44" s="5">
        <v>92</v>
      </c>
      <c r="L44" s="5" t="s">
        <v>43</v>
      </c>
      <c r="M44" s="5"/>
      <c r="N44" s="13">
        <f>(Posts11[[#This Row],[Likes]]+Posts11[[#This Row],[Shares]]+Posts11[[#This Row],[Comments]])/Posts11[[#This Row],[Impressions]]</f>
        <v>7.2126493695121141E-2</v>
      </c>
    </row>
    <row r="45" spans="1:14">
      <c r="A45" s="11" t="s">
        <v>106</v>
      </c>
      <c r="B45" s="6" t="s">
        <v>35</v>
      </c>
      <c r="C45" s="12">
        <v>45723</v>
      </c>
      <c r="D45" s="6" t="s">
        <v>61</v>
      </c>
      <c r="E45" s="6" t="s">
        <v>107</v>
      </c>
      <c r="F45" s="6">
        <v>4750</v>
      </c>
      <c r="G45" s="6">
        <v>151</v>
      </c>
      <c r="H45" s="6">
        <v>415</v>
      </c>
      <c r="I45" s="6">
        <v>38000</v>
      </c>
      <c r="J45" s="6">
        <v>37792</v>
      </c>
      <c r="K45" s="6">
        <v>299</v>
      </c>
      <c r="L45" s="6" t="s">
        <v>52</v>
      </c>
      <c r="M45" s="6" t="s">
        <v>19</v>
      </c>
      <c r="N45" s="14">
        <f>(Posts11[[#This Row],[Likes]]+Posts11[[#This Row],[Shares]]+Posts11[[#This Row],[Comments]])/Posts11[[#This Row],[Impressions]]</f>
        <v>0.13989473684210527</v>
      </c>
    </row>
    <row r="46" spans="1:14">
      <c r="A46" s="9" t="s">
        <v>108</v>
      </c>
      <c r="B46" s="5" t="s">
        <v>49</v>
      </c>
      <c r="C46" s="10">
        <v>45724</v>
      </c>
      <c r="D46" s="5" t="s">
        <v>36</v>
      </c>
      <c r="E46" s="5" t="s">
        <v>80</v>
      </c>
      <c r="F46" s="5">
        <v>456</v>
      </c>
      <c r="G46" s="5">
        <v>629</v>
      </c>
      <c r="H46" s="5">
        <v>428</v>
      </c>
      <c r="I46" s="5">
        <v>8208</v>
      </c>
      <c r="J46" s="5">
        <v>7377</v>
      </c>
      <c r="K46" s="5">
        <v>205</v>
      </c>
      <c r="L46" s="5" t="s">
        <v>38</v>
      </c>
      <c r="M46" s="5" t="s">
        <v>19</v>
      </c>
      <c r="N46" s="13">
        <f>(Posts11[[#This Row],[Likes]]+Posts11[[#This Row],[Shares]]+Posts11[[#This Row],[Comments]])/Posts11[[#This Row],[Impressions]]</f>
        <v>0.18433235867446393</v>
      </c>
    </row>
    <row r="47" spans="1:14">
      <c r="A47" s="11" t="s">
        <v>109</v>
      </c>
      <c r="B47" s="6" t="s">
        <v>46</v>
      </c>
      <c r="C47" s="12">
        <v>45721</v>
      </c>
      <c r="D47" s="6" t="s">
        <v>36</v>
      </c>
      <c r="E47" s="6" t="s">
        <v>47</v>
      </c>
      <c r="F47" s="6">
        <v>1543</v>
      </c>
      <c r="G47" s="6">
        <v>820</v>
      </c>
      <c r="H47" s="6">
        <v>333</v>
      </c>
      <c r="I47" s="6">
        <v>12344</v>
      </c>
      <c r="J47" s="6">
        <v>11496</v>
      </c>
      <c r="K47" s="6">
        <v>241</v>
      </c>
      <c r="L47" s="6" t="s">
        <v>52</v>
      </c>
      <c r="M47" s="6"/>
      <c r="N47" s="14">
        <f>(Posts11[[#This Row],[Likes]]+Posts11[[#This Row],[Shares]]+Posts11[[#This Row],[Comments]])/Posts11[[#This Row],[Impressions]]</f>
        <v>0.21840570317563188</v>
      </c>
    </row>
    <row r="48" spans="1:14">
      <c r="A48" s="9" t="s">
        <v>110</v>
      </c>
      <c r="B48" s="5" t="s">
        <v>49</v>
      </c>
      <c r="C48" s="10">
        <v>45640</v>
      </c>
      <c r="D48" s="5" t="s">
        <v>56</v>
      </c>
      <c r="E48" s="5" t="s">
        <v>84</v>
      </c>
      <c r="F48" s="5">
        <v>2174</v>
      </c>
      <c r="G48" s="5">
        <v>658</v>
      </c>
      <c r="H48" s="5">
        <v>15</v>
      </c>
      <c r="I48" s="5">
        <v>13044</v>
      </c>
      <c r="J48" s="5">
        <v>12206</v>
      </c>
      <c r="K48" s="5">
        <v>137</v>
      </c>
      <c r="L48" s="5" t="s">
        <v>43</v>
      </c>
      <c r="M48" s="5" t="s">
        <v>15</v>
      </c>
      <c r="N48" s="13">
        <f>(Posts11[[#This Row],[Likes]]+Posts11[[#This Row],[Shares]]+Posts11[[#This Row],[Comments]])/Posts11[[#This Row],[Impressions]]</f>
        <v>0.21826126954921804</v>
      </c>
    </row>
    <row r="49" spans="1:14">
      <c r="A49" s="11" t="s">
        <v>111</v>
      </c>
      <c r="B49" s="6" t="s">
        <v>35</v>
      </c>
      <c r="C49" s="12">
        <v>45718</v>
      </c>
      <c r="D49" s="6" t="s">
        <v>61</v>
      </c>
      <c r="E49" s="6" t="s">
        <v>107</v>
      </c>
      <c r="F49" s="6">
        <v>2358</v>
      </c>
      <c r="G49" s="6">
        <v>784</v>
      </c>
      <c r="H49" s="6">
        <v>344</v>
      </c>
      <c r="I49" s="6">
        <v>35370</v>
      </c>
      <c r="J49" s="6">
        <v>34475</v>
      </c>
      <c r="K49" s="6">
        <v>216</v>
      </c>
      <c r="L49" s="6" t="s">
        <v>43</v>
      </c>
      <c r="M49" s="6"/>
      <c r="N49" s="14">
        <f>(Posts11[[#This Row],[Likes]]+Posts11[[#This Row],[Shares]]+Posts11[[#This Row],[Comments]])/Posts11[[#This Row],[Impressions]]</f>
        <v>9.8558100084817649E-2</v>
      </c>
    </row>
    <row r="50" spans="1:14">
      <c r="A50" s="9" t="s">
        <v>112</v>
      </c>
      <c r="B50" s="5" t="s">
        <v>55</v>
      </c>
      <c r="C50" s="10">
        <v>45597</v>
      </c>
      <c r="D50" s="5" t="s">
        <v>75</v>
      </c>
      <c r="E50" s="5" t="s">
        <v>76</v>
      </c>
      <c r="F50" s="5">
        <v>3371</v>
      </c>
      <c r="G50" s="5">
        <v>106</v>
      </c>
      <c r="H50" s="5">
        <v>327</v>
      </c>
      <c r="I50" s="5">
        <v>50565</v>
      </c>
      <c r="J50" s="5">
        <v>49816</v>
      </c>
      <c r="K50" s="5">
        <v>176</v>
      </c>
      <c r="L50" s="5" t="s">
        <v>38</v>
      </c>
      <c r="M50" s="5" t="s">
        <v>7</v>
      </c>
      <c r="N50" s="13">
        <f>(Posts11[[#This Row],[Likes]]+Posts11[[#This Row],[Shares]]+Posts11[[#This Row],[Comments]])/Posts11[[#This Row],[Impressions]]</f>
        <v>7.5229902106199939E-2</v>
      </c>
    </row>
    <row r="51" spans="1:14">
      <c r="A51" s="11" t="s">
        <v>113</v>
      </c>
      <c r="B51" s="6" t="s">
        <v>35</v>
      </c>
      <c r="C51" s="12">
        <v>45779</v>
      </c>
      <c r="D51" s="6" t="s">
        <v>75</v>
      </c>
      <c r="E51" s="6" t="s">
        <v>114</v>
      </c>
      <c r="F51" s="6">
        <v>1108</v>
      </c>
      <c r="G51" s="6">
        <v>177</v>
      </c>
      <c r="H51" s="6">
        <v>212</v>
      </c>
      <c r="I51" s="6">
        <v>8864</v>
      </c>
      <c r="J51" s="6">
        <v>8710</v>
      </c>
      <c r="K51" s="6">
        <v>97</v>
      </c>
      <c r="L51" s="6" t="s">
        <v>43</v>
      </c>
      <c r="M51" s="6" t="s">
        <v>19</v>
      </c>
      <c r="N51" s="14">
        <f>(Posts11[[#This Row],[Likes]]+Posts11[[#This Row],[Shares]]+Posts11[[#This Row],[Comments]])/Posts11[[#This Row],[Impressions]]</f>
        <v>0.16888537906137185</v>
      </c>
    </row>
    <row r="52" spans="1:14">
      <c r="A52" s="9" t="s">
        <v>115</v>
      </c>
      <c r="B52" s="5" t="s">
        <v>35</v>
      </c>
      <c r="C52" s="10">
        <v>45712</v>
      </c>
      <c r="D52" s="5" t="s">
        <v>56</v>
      </c>
      <c r="E52" s="5" t="s">
        <v>59</v>
      </c>
      <c r="F52" s="5">
        <v>2704</v>
      </c>
      <c r="G52" s="5">
        <v>752</v>
      </c>
      <c r="H52" s="5">
        <v>153</v>
      </c>
      <c r="I52" s="5">
        <v>21632</v>
      </c>
      <c r="J52" s="5">
        <v>20792</v>
      </c>
      <c r="K52" s="5">
        <v>127</v>
      </c>
      <c r="L52" s="5" t="s">
        <v>38</v>
      </c>
      <c r="M52" s="5"/>
      <c r="N52" s="13">
        <f>(Posts11[[#This Row],[Likes]]+Posts11[[#This Row],[Shares]]+Posts11[[#This Row],[Comments]])/Posts11[[#This Row],[Impressions]]</f>
        <v>0.16683616863905326</v>
      </c>
    </row>
    <row r="53" spans="1:14">
      <c r="A53" s="11" t="s">
        <v>116</v>
      </c>
      <c r="B53" s="6" t="s">
        <v>35</v>
      </c>
      <c r="C53" s="12">
        <v>45727</v>
      </c>
      <c r="D53" s="6" t="s">
        <v>50</v>
      </c>
      <c r="E53" s="6" t="s">
        <v>117</v>
      </c>
      <c r="F53" s="6">
        <v>1950</v>
      </c>
      <c r="G53" s="6">
        <v>295</v>
      </c>
      <c r="H53" s="6">
        <v>478</v>
      </c>
      <c r="I53" s="6">
        <v>37050</v>
      </c>
      <c r="J53" s="6">
        <v>36272</v>
      </c>
      <c r="K53" s="6">
        <v>119</v>
      </c>
      <c r="L53" s="6" t="s">
        <v>43</v>
      </c>
      <c r="M53" s="6"/>
      <c r="N53" s="14">
        <f>(Posts11[[#This Row],[Likes]]+Posts11[[#This Row],[Shares]]+Posts11[[#This Row],[Comments]])/Posts11[[#This Row],[Impressions]]</f>
        <v>7.349527665317139E-2</v>
      </c>
    </row>
    <row r="54" spans="1:14">
      <c r="A54" s="9" t="s">
        <v>118</v>
      </c>
      <c r="B54" s="5" t="s">
        <v>35</v>
      </c>
      <c r="C54" s="10">
        <v>45453</v>
      </c>
      <c r="D54" s="5" t="s">
        <v>50</v>
      </c>
      <c r="E54" s="5" t="s">
        <v>117</v>
      </c>
      <c r="F54" s="5">
        <v>2164</v>
      </c>
      <c r="G54" s="5">
        <v>549</v>
      </c>
      <c r="H54" s="5">
        <v>274</v>
      </c>
      <c r="I54" s="5">
        <v>28132</v>
      </c>
      <c r="J54" s="5">
        <v>27361</v>
      </c>
      <c r="K54" s="5">
        <v>177</v>
      </c>
      <c r="L54" s="5" t="s">
        <v>43</v>
      </c>
      <c r="M54" s="5" t="s">
        <v>19</v>
      </c>
      <c r="N54" s="13">
        <f>(Posts11[[#This Row],[Likes]]+Posts11[[#This Row],[Shares]]+Posts11[[#This Row],[Comments]])/Posts11[[#This Row],[Impressions]]</f>
        <v>0.10617801791554102</v>
      </c>
    </row>
    <row r="55" spans="1:14">
      <c r="A55" s="11" t="s">
        <v>119</v>
      </c>
      <c r="B55" s="6" t="s">
        <v>46</v>
      </c>
      <c r="C55" s="12">
        <v>45476</v>
      </c>
      <c r="D55" s="6" t="s">
        <v>50</v>
      </c>
      <c r="E55" s="6" t="s">
        <v>120</v>
      </c>
      <c r="F55" s="6">
        <v>2754</v>
      </c>
      <c r="G55" s="6">
        <v>130</v>
      </c>
      <c r="H55" s="6">
        <v>90</v>
      </c>
      <c r="I55" s="6">
        <v>22032</v>
      </c>
      <c r="J55" s="6">
        <v>21288</v>
      </c>
      <c r="K55" s="6">
        <v>112</v>
      </c>
      <c r="L55" s="6" t="s">
        <v>43</v>
      </c>
      <c r="M55" s="6" t="s">
        <v>15</v>
      </c>
      <c r="N55" s="14">
        <f>(Posts11[[#This Row],[Likes]]+Posts11[[#This Row],[Shares]]+Posts11[[#This Row],[Comments]])/Posts11[[#This Row],[Impressions]]</f>
        <v>0.13498547567175018</v>
      </c>
    </row>
    <row r="56" spans="1:14">
      <c r="A56" s="9" t="s">
        <v>121</v>
      </c>
      <c r="B56" s="5" t="s">
        <v>55</v>
      </c>
      <c r="C56" s="10">
        <v>45456</v>
      </c>
      <c r="D56" s="5" t="s">
        <v>56</v>
      </c>
      <c r="E56" s="5" t="s">
        <v>57</v>
      </c>
      <c r="F56" s="5">
        <v>2200</v>
      </c>
      <c r="G56" s="5">
        <v>504</v>
      </c>
      <c r="H56" s="5">
        <v>239</v>
      </c>
      <c r="I56" s="5">
        <v>37400</v>
      </c>
      <c r="J56" s="5">
        <v>36938</v>
      </c>
      <c r="K56" s="5">
        <v>225</v>
      </c>
      <c r="L56" s="5" t="s">
        <v>38</v>
      </c>
      <c r="M56" s="5" t="s">
        <v>11</v>
      </c>
      <c r="N56" s="13">
        <f>(Posts11[[#This Row],[Likes]]+Posts11[[#This Row],[Shares]]+Posts11[[#This Row],[Comments]])/Posts11[[#This Row],[Impressions]]</f>
        <v>7.8689839572192513E-2</v>
      </c>
    </row>
    <row r="57" spans="1:14">
      <c r="A57" s="11" t="s">
        <v>122</v>
      </c>
      <c r="B57" s="6" t="s">
        <v>55</v>
      </c>
      <c r="C57" s="12">
        <v>45660</v>
      </c>
      <c r="D57" s="6" t="s">
        <v>61</v>
      </c>
      <c r="E57" s="6" t="s">
        <v>66</v>
      </c>
      <c r="F57" s="6">
        <v>947</v>
      </c>
      <c r="G57" s="6">
        <v>338</v>
      </c>
      <c r="H57" s="6">
        <v>350</v>
      </c>
      <c r="I57" s="6">
        <v>10417</v>
      </c>
      <c r="J57" s="6">
        <v>9730</v>
      </c>
      <c r="K57" s="6">
        <v>34</v>
      </c>
      <c r="L57" s="6" t="s">
        <v>43</v>
      </c>
      <c r="M57" s="6" t="s">
        <v>19</v>
      </c>
      <c r="N57" s="14">
        <f>(Posts11[[#This Row],[Likes]]+Posts11[[#This Row],[Shares]]+Posts11[[#This Row],[Comments]])/Posts11[[#This Row],[Impressions]]</f>
        <v>0.1569549774407219</v>
      </c>
    </row>
    <row r="58" spans="1:14">
      <c r="A58" s="9" t="s">
        <v>123</v>
      </c>
      <c r="B58" s="5" t="s">
        <v>46</v>
      </c>
      <c r="C58" s="10">
        <v>45712</v>
      </c>
      <c r="D58" s="5" t="s">
        <v>56</v>
      </c>
      <c r="E58" s="5" t="s">
        <v>71</v>
      </c>
      <c r="F58" s="5">
        <v>804</v>
      </c>
      <c r="G58" s="5">
        <v>639</v>
      </c>
      <c r="H58" s="5">
        <v>43</v>
      </c>
      <c r="I58" s="5">
        <v>4020</v>
      </c>
      <c r="J58" s="5">
        <v>3144</v>
      </c>
      <c r="K58" s="5">
        <v>11</v>
      </c>
      <c r="L58" s="5" t="s">
        <v>52</v>
      </c>
      <c r="M58" s="5"/>
      <c r="N58" s="13">
        <f>(Posts11[[#This Row],[Likes]]+Posts11[[#This Row],[Shares]]+Posts11[[#This Row],[Comments]])/Posts11[[#This Row],[Impressions]]</f>
        <v>0.36965174129353234</v>
      </c>
    </row>
    <row r="59" spans="1:14">
      <c r="A59" s="11" t="s">
        <v>123</v>
      </c>
      <c r="B59" s="6" t="s">
        <v>46</v>
      </c>
      <c r="C59" s="12">
        <v>45712</v>
      </c>
      <c r="D59" s="6" t="s">
        <v>56</v>
      </c>
      <c r="E59" s="6" t="s">
        <v>71</v>
      </c>
      <c r="F59" s="6">
        <v>804</v>
      </c>
      <c r="G59" s="6">
        <v>639</v>
      </c>
      <c r="H59" s="6">
        <v>43</v>
      </c>
      <c r="I59" s="6">
        <v>4020</v>
      </c>
      <c r="J59" s="6">
        <v>3144</v>
      </c>
      <c r="K59" s="6">
        <v>11</v>
      </c>
      <c r="L59" s="6" t="s">
        <v>44</v>
      </c>
      <c r="M59" s="6"/>
      <c r="N59" s="14">
        <f>(Posts11[[#This Row],[Likes]]+Posts11[[#This Row],[Shares]]+Posts11[[#This Row],[Comments]])/Posts11[[#This Row],[Impressions]]</f>
        <v>0.36965174129353234</v>
      </c>
    </row>
    <row r="60" spans="1:14">
      <c r="A60" s="9" t="s">
        <v>124</v>
      </c>
      <c r="B60" s="5" t="s">
        <v>46</v>
      </c>
      <c r="C60" s="10">
        <v>45729</v>
      </c>
      <c r="D60" s="5" t="s">
        <v>56</v>
      </c>
      <c r="E60" s="5" t="s">
        <v>71</v>
      </c>
      <c r="F60" s="5">
        <v>1686</v>
      </c>
      <c r="G60" s="5">
        <v>904</v>
      </c>
      <c r="H60" s="5">
        <v>472</v>
      </c>
      <c r="I60" s="5">
        <v>18546</v>
      </c>
      <c r="J60" s="5">
        <v>18171</v>
      </c>
      <c r="K60" s="5">
        <v>52</v>
      </c>
      <c r="L60" s="5" t="s">
        <v>38</v>
      </c>
      <c r="M60" s="5" t="s">
        <v>11</v>
      </c>
      <c r="N60" s="13">
        <f>(Posts11[[#This Row],[Likes]]+Posts11[[#This Row],[Shares]]+Posts11[[#This Row],[Comments]])/Posts11[[#This Row],[Impressions]]</f>
        <v>0.16510298716704411</v>
      </c>
    </row>
    <row r="61" spans="1:14">
      <c r="A61" s="11" t="s">
        <v>125</v>
      </c>
      <c r="B61" s="6" t="s">
        <v>55</v>
      </c>
      <c r="C61" s="12">
        <v>45460</v>
      </c>
      <c r="D61" s="6" t="s">
        <v>61</v>
      </c>
      <c r="E61" s="6" t="s">
        <v>66</v>
      </c>
      <c r="F61" s="6">
        <v>1226</v>
      </c>
      <c r="G61" s="6">
        <v>119</v>
      </c>
      <c r="H61" s="6">
        <v>7</v>
      </c>
      <c r="I61" s="6">
        <v>14712</v>
      </c>
      <c r="J61" s="6">
        <v>14049</v>
      </c>
      <c r="K61" s="6">
        <v>123</v>
      </c>
      <c r="L61" s="6" t="s">
        <v>52</v>
      </c>
      <c r="M61" s="6" t="s">
        <v>19</v>
      </c>
      <c r="N61" s="14">
        <f>(Posts11[[#This Row],[Likes]]+Posts11[[#This Row],[Shares]]+Posts11[[#This Row],[Comments]])/Posts11[[#This Row],[Impressions]]</f>
        <v>9.1897770527460579E-2</v>
      </c>
    </row>
    <row r="62" spans="1:14">
      <c r="A62" s="9" t="s">
        <v>126</v>
      </c>
      <c r="B62" s="5" t="s">
        <v>55</v>
      </c>
      <c r="C62" s="10">
        <v>45644</v>
      </c>
      <c r="D62" s="5" t="s">
        <v>56</v>
      </c>
      <c r="E62" s="5" t="s">
        <v>57</v>
      </c>
      <c r="F62" s="5">
        <v>2946</v>
      </c>
      <c r="G62" s="5">
        <v>498</v>
      </c>
      <c r="H62" s="5">
        <v>367</v>
      </c>
      <c r="I62" s="5">
        <v>29460</v>
      </c>
      <c r="J62" s="5">
        <v>28527</v>
      </c>
      <c r="K62" s="5">
        <v>60</v>
      </c>
      <c r="L62" s="5" t="s">
        <v>38</v>
      </c>
      <c r="M62" s="5" t="s">
        <v>15</v>
      </c>
      <c r="N62" s="13">
        <f>(Posts11[[#This Row],[Likes]]+Posts11[[#This Row],[Shares]]+Posts11[[#This Row],[Comments]])/Posts11[[#This Row],[Impressions]]</f>
        <v>0.12936184657162253</v>
      </c>
    </row>
    <row r="63" spans="1:14">
      <c r="A63" s="11" t="s">
        <v>127</v>
      </c>
      <c r="B63" s="6" t="s">
        <v>35</v>
      </c>
      <c r="C63" s="12">
        <v>45586</v>
      </c>
      <c r="D63" s="6" t="s">
        <v>75</v>
      </c>
      <c r="E63" s="6" t="s">
        <v>114</v>
      </c>
      <c r="F63" s="6">
        <v>2825</v>
      </c>
      <c r="G63" s="6">
        <v>535</v>
      </c>
      <c r="H63" s="6">
        <v>295</v>
      </c>
      <c r="I63" s="6">
        <v>45200</v>
      </c>
      <c r="J63" s="6">
        <v>44739</v>
      </c>
      <c r="K63" s="6">
        <v>169</v>
      </c>
      <c r="L63" s="6" t="s">
        <v>43</v>
      </c>
      <c r="M63" s="6" t="s">
        <v>7</v>
      </c>
      <c r="N63" s="14">
        <f>(Posts11[[#This Row],[Likes]]+Posts11[[#This Row],[Shares]]+Posts11[[#This Row],[Comments]])/Posts11[[#This Row],[Impressions]]</f>
        <v>8.0862831858407078E-2</v>
      </c>
    </row>
    <row r="64" spans="1:14">
      <c r="A64" s="9" t="s">
        <v>128</v>
      </c>
      <c r="B64" s="5" t="s">
        <v>49</v>
      </c>
      <c r="C64" s="10">
        <v>45762</v>
      </c>
      <c r="D64" s="5" t="s">
        <v>36</v>
      </c>
      <c r="E64" s="5" t="s">
        <v>80</v>
      </c>
      <c r="F64" s="5">
        <v>103</v>
      </c>
      <c r="G64" s="5">
        <v>770</v>
      </c>
      <c r="H64" s="5">
        <v>19</v>
      </c>
      <c r="I64" s="5">
        <v>1030</v>
      </c>
      <c r="J64" s="5">
        <v>410</v>
      </c>
      <c r="K64" s="5">
        <v>262</v>
      </c>
      <c r="L64" s="5" t="s">
        <v>43</v>
      </c>
      <c r="M64" s="5" t="s">
        <v>19</v>
      </c>
      <c r="N64" s="13">
        <f>(Posts11[[#This Row],[Likes]]+Posts11[[#This Row],[Shares]]+Posts11[[#This Row],[Comments]])/Posts11[[#This Row],[Impressions]]</f>
        <v>0.86601941747572819</v>
      </c>
    </row>
    <row r="65" spans="1:14">
      <c r="A65" s="11" t="s">
        <v>129</v>
      </c>
      <c r="B65" s="6" t="s">
        <v>49</v>
      </c>
      <c r="C65" s="12">
        <v>45465</v>
      </c>
      <c r="D65" s="6" t="s">
        <v>41</v>
      </c>
      <c r="E65" s="6" t="s">
        <v>97</v>
      </c>
      <c r="F65" s="6">
        <v>2180</v>
      </c>
      <c r="G65" s="6">
        <v>263</v>
      </c>
      <c r="H65" s="6">
        <v>387</v>
      </c>
      <c r="I65" s="6">
        <v>30520</v>
      </c>
      <c r="J65" s="6">
        <v>30059</v>
      </c>
      <c r="K65" s="6">
        <v>174</v>
      </c>
      <c r="L65" s="6" t="s">
        <v>52</v>
      </c>
      <c r="M65" s="6"/>
      <c r="N65" s="14">
        <f>(Posts11[[#This Row],[Likes]]+Posts11[[#This Row],[Shares]]+Posts11[[#This Row],[Comments]])/Posts11[[#This Row],[Impressions]]</f>
        <v>9.2726081258191345E-2</v>
      </c>
    </row>
    <row r="66" spans="1:14">
      <c r="A66" s="9" t="s">
        <v>130</v>
      </c>
      <c r="B66" s="5" t="s">
        <v>49</v>
      </c>
      <c r="C66" s="10">
        <v>45685</v>
      </c>
      <c r="D66" s="5" t="s">
        <v>75</v>
      </c>
      <c r="E66" s="5" t="s">
        <v>82</v>
      </c>
      <c r="F66" s="5">
        <v>904</v>
      </c>
      <c r="G66" s="5">
        <v>973</v>
      </c>
      <c r="H66" s="5">
        <v>63</v>
      </c>
      <c r="I66" s="5">
        <v>11752</v>
      </c>
      <c r="J66" s="5">
        <v>11580</v>
      </c>
      <c r="K66" s="5">
        <v>84</v>
      </c>
      <c r="L66" s="5" t="s">
        <v>52</v>
      </c>
      <c r="M66" s="5" t="s">
        <v>15</v>
      </c>
      <c r="N66" s="13">
        <f>(Posts11[[#This Row],[Likes]]+Posts11[[#This Row],[Shares]]+Posts11[[#This Row],[Comments]])/Posts11[[#This Row],[Impressions]]</f>
        <v>0.1650782845473111</v>
      </c>
    </row>
    <row r="67" spans="1:14">
      <c r="A67" s="11" t="s">
        <v>130</v>
      </c>
      <c r="B67" s="6" t="s">
        <v>49</v>
      </c>
      <c r="C67" s="12">
        <v>45685</v>
      </c>
      <c r="D67" s="6" t="s">
        <v>75</v>
      </c>
      <c r="E67" s="6" t="s">
        <v>82</v>
      </c>
      <c r="F67" s="6">
        <v>904</v>
      </c>
      <c r="G67" s="6">
        <v>973</v>
      </c>
      <c r="H67" s="6">
        <v>63</v>
      </c>
      <c r="I67" s="6">
        <v>11752</v>
      </c>
      <c r="J67" s="6">
        <v>11580</v>
      </c>
      <c r="K67" s="6">
        <v>84</v>
      </c>
      <c r="L67" s="6" t="s">
        <v>43</v>
      </c>
      <c r="M67" s="6" t="s">
        <v>15</v>
      </c>
      <c r="N67" s="14">
        <f>(Posts11[[#This Row],[Likes]]+Posts11[[#This Row],[Shares]]+Posts11[[#This Row],[Comments]])/Posts11[[#This Row],[Impressions]]</f>
        <v>0.1650782845473111</v>
      </c>
    </row>
    <row r="68" spans="1:14">
      <c r="A68" s="9" t="s">
        <v>130</v>
      </c>
      <c r="B68" s="5" t="s">
        <v>49</v>
      </c>
      <c r="C68" s="10">
        <v>45685</v>
      </c>
      <c r="D68" s="5" t="s">
        <v>75</v>
      </c>
      <c r="E68" s="5" t="s">
        <v>82</v>
      </c>
      <c r="F68" s="5">
        <v>904</v>
      </c>
      <c r="G68" s="5">
        <v>973</v>
      </c>
      <c r="H68" s="5">
        <v>63</v>
      </c>
      <c r="I68" s="5">
        <v>11752</v>
      </c>
      <c r="J68" s="5">
        <v>11580</v>
      </c>
      <c r="K68" s="5">
        <v>84</v>
      </c>
      <c r="L68" s="5" t="s">
        <v>39</v>
      </c>
      <c r="M68" s="5" t="s">
        <v>15</v>
      </c>
      <c r="N68" s="13">
        <f>(Posts11[[#This Row],[Likes]]+Posts11[[#This Row],[Shares]]+Posts11[[#This Row],[Comments]])/Posts11[[#This Row],[Impressions]]</f>
        <v>0.1650782845473111</v>
      </c>
    </row>
    <row r="69" spans="1:14">
      <c r="A69" s="11" t="s">
        <v>131</v>
      </c>
      <c r="B69" s="6" t="s">
        <v>35</v>
      </c>
      <c r="C69" s="12">
        <v>45540</v>
      </c>
      <c r="D69" s="6" t="s">
        <v>75</v>
      </c>
      <c r="E69" s="6" t="s">
        <v>114</v>
      </c>
      <c r="F69" s="6">
        <v>4886</v>
      </c>
      <c r="G69" s="6">
        <v>983</v>
      </c>
      <c r="H69" s="6">
        <v>409</v>
      </c>
      <c r="I69" s="6">
        <v>43974</v>
      </c>
      <c r="J69" s="6">
        <v>43239</v>
      </c>
      <c r="K69" s="6">
        <v>65</v>
      </c>
      <c r="L69" s="6" t="s">
        <v>43</v>
      </c>
      <c r="M69" s="6" t="s">
        <v>7</v>
      </c>
      <c r="N69" s="14">
        <f>(Posts11[[#This Row],[Likes]]+Posts11[[#This Row],[Shares]]+Posts11[[#This Row],[Comments]])/Posts11[[#This Row],[Impressions]]</f>
        <v>0.14276618001546368</v>
      </c>
    </row>
    <row r="70" spans="1:14">
      <c r="A70" s="9" t="s">
        <v>132</v>
      </c>
      <c r="B70" s="5" t="s">
        <v>35</v>
      </c>
      <c r="C70" s="10">
        <v>45618</v>
      </c>
      <c r="D70" s="5" t="s">
        <v>56</v>
      </c>
      <c r="E70" s="5" t="s">
        <v>59</v>
      </c>
      <c r="F70" s="5">
        <v>53</v>
      </c>
      <c r="G70" s="5">
        <v>81</v>
      </c>
      <c r="H70" s="5">
        <v>379</v>
      </c>
      <c r="I70" s="5">
        <v>954</v>
      </c>
      <c r="J70" s="5">
        <v>7</v>
      </c>
      <c r="K70" s="5">
        <v>148</v>
      </c>
      <c r="L70" s="5" t="s">
        <v>43</v>
      </c>
      <c r="M70" s="5" t="s">
        <v>15</v>
      </c>
      <c r="N70" s="13">
        <f>(Posts11[[#This Row],[Likes]]+Posts11[[#This Row],[Shares]]+Posts11[[#This Row],[Comments]])/Posts11[[#This Row],[Impressions]]</f>
        <v>0.53773584905660377</v>
      </c>
    </row>
    <row r="71" spans="1:14">
      <c r="A71" s="11" t="s">
        <v>133</v>
      </c>
      <c r="B71" s="6" t="s">
        <v>35</v>
      </c>
      <c r="C71" s="12">
        <v>45504</v>
      </c>
      <c r="D71" s="6" t="s">
        <v>56</v>
      </c>
      <c r="E71" s="6" t="s">
        <v>59</v>
      </c>
      <c r="F71" s="6">
        <v>4507</v>
      </c>
      <c r="G71" s="6">
        <v>217</v>
      </c>
      <c r="H71" s="6">
        <v>13</v>
      </c>
      <c r="I71" s="6">
        <v>90140</v>
      </c>
      <c r="J71" s="6">
        <v>89591</v>
      </c>
      <c r="K71" s="6">
        <v>125</v>
      </c>
      <c r="L71" s="6" t="s">
        <v>38</v>
      </c>
      <c r="M71" s="6" t="s">
        <v>15</v>
      </c>
      <c r="N71" s="14">
        <f>(Posts11[[#This Row],[Likes]]+Posts11[[#This Row],[Shares]]+Posts11[[#This Row],[Comments]])/Posts11[[#This Row],[Impressions]]</f>
        <v>5.2551586421122697E-2</v>
      </c>
    </row>
    <row r="72" spans="1:14">
      <c r="A72" s="9" t="s">
        <v>134</v>
      </c>
      <c r="B72" s="5" t="s">
        <v>55</v>
      </c>
      <c r="C72" s="10">
        <v>45521</v>
      </c>
      <c r="D72" s="5" t="s">
        <v>61</v>
      </c>
      <c r="E72" s="5" t="s">
        <v>66</v>
      </c>
      <c r="F72" s="5">
        <v>2878</v>
      </c>
      <c r="G72" s="5">
        <v>248</v>
      </c>
      <c r="H72" s="5">
        <v>416</v>
      </c>
      <c r="I72" s="5">
        <v>43170</v>
      </c>
      <c r="J72" s="5">
        <v>42667</v>
      </c>
      <c r="K72" s="5">
        <v>75</v>
      </c>
      <c r="L72" s="5" t="s">
        <v>38</v>
      </c>
      <c r="M72" s="5" t="s">
        <v>15</v>
      </c>
      <c r="N72" s="13">
        <f>(Posts11[[#This Row],[Likes]]+Posts11[[#This Row],[Shares]]+Posts11[[#This Row],[Comments]])/Posts11[[#This Row],[Impressions]]</f>
        <v>8.2047718322909427E-2</v>
      </c>
    </row>
    <row r="73" spans="1:14">
      <c r="A73" s="11" t="s">
        <v>135</v>
      </c>
      <c r="B73" s="6" t="s">
        <v>49</v>
      </c>
      <c r="C73" s="12">
        <v>45744</v>
      </c>
      <c r="D73" s="6" t="s">
        <v>50</v>
      </c>
      <c r="E73" s="6" t="s">
        <v>51</v>
      </c>
      <c r="F73" s="6">
        <v>1881</v>
      </c>
      <c r="G73" s="6">
        <v>501</v>
      </c>
      <c r="H73" s="6">
        <v>99</v>
      </c>
      <c r="I73" s="6">
        <v>20691</v>
      </c>
      <c r="J73" s="6">
        <v>19987</v>
      </c>
      <c r="K73" s="6">
        <v>289</v>
      </c>
      <c r="L73" s="6" t="s">
        <v>52</v>
      </c>
      <c r="M73" s="6"/>
      <c r="N73" s="14">
        <f>(Posts11[[#This Row],[Likes]]+Posts11[[#This Row],[Shares]]+Posts11[[#This Row],[Comments]])/Posts11[[#This Row],[Impressions]]</f>
        <v>0.11990720603160794</v>
      </c>
    </row>
    <row r="74" spans="1:14">
      <c r="A74" s="9" t="s">
        <v>136</v>
      </c>
      <c r="B74" s="5" t="s">
        <v>35</v>
      </c>
      <c r="C74" s="10">
        <v>45499</v>
      </c>
      <c r="D74" s="5" t="s">
        <v>56</v>
      </c>
      <c r="E74" s="5" t="s">
        <v>59</v>
      </c>
      <c r="F74" s="5">
        <v>432</v>
      </c>
      <c r="G74" s="5">
        <v>171</v>
      </c>
      <c r="H74" s="5">
        <v>280</v>
      </c>
      <c r="I74" s="5">
        <v>3024</v>
      </c>
      <c r="J74" s="5">
        <v>2285</v>
      </c>
      <c r="K74" s="5">
        <v>184</v>
      </c>
      <c r="L74" s="5" t="s">
        <v>52</v>
      </c>
      <c r="M74" s="5" t="s">
        <v>7</v>
      </c>
      <c r="N74" s="13">
        <f>(Posts11[[#This Row],[Likes]]+Posts11[[#This Row],[Shares]]+Posts11[[#This Row],[Comments]])/Posts11[[#This Row],[Impressions]]</f>
        <v>0.29199735449735448</v>
      </c>
    </row>
    <row r="75" spans="1:14">
      <c r="A75" s="11" t="s">
        <v>137</v>
      </c>
      <c r="B75" s="6" t="s">
        <v>55</v>
      </c>
      <c r="C75" s="12">
        <v>45745</v>
      </c>
      <c r="D75" s="6" t="s">
        <v>56</v>
      </c>
      <c r="E75" s="6" t="s">
        <v>57</v>
      </c>
      <c r="F75" s="6">
        <v>4712</v>
      </c>
      <c r="G75" s="6">
        <v>568</v>
      </c>
      <c r="H75" s="6">
        <v>127</v>
      </c>
      <c r="I75" s="6">
        <v>84816</v>
      </c>
      <c r="J75" s="6">
        <v>84691</v>
      </c>
      <c r="K75" s="6">
        <v>100</v>
      </c>
      <c r="L75" s="6" t="s">
        <v>52</v>
      </c>
      <c r="M75" s="6" t="s">
        <v>15</v>
      </c>
      <c r="N75" s="14">
        <f>(Posts11[[#This Row],[Likes]]+Posts11[[#This Row],[Shares]]+Posts11[[#This Row],[Comments]])/Posts11[[#This Row],[Impressions]]</f>
        <v>6.3749764195434822E-2</v>
      </c>
    </row>
    <row r="76" spans="1:14">
      <c r="A76" s="9" t="s">
        <v>138</v>
      </c>
      <c r="B76" s="5" t="s">
        <v>49</v>
      </c>
      <c r="C76" s="10">
        <v>45634</v>
      </c>
      <c r="D76" s="5" t="s">
        <v>50</v>
      </c>
      <c r="E76" s="5" t="s">
        <v>51</v>
      </c>
      <c r="F76" s="5">
        <v>2610</v>
      </c>
      <c r="G76" s="5">
        <v>126</v>
      </c>
      <c r="H76" s="5">
        <v>288</v>
      </c>
      <c r="I76" s="5">
        <v>15660</v>
      </c>
      <c r="J76" s="5">
        <v>15145</v>
      </c>
      <c r="K76" s="5">
        <v>73</v>
      </c>
      <c r="L76" s="5" t="s">
        <v>52</v>
      </c>
      <c r="M76" s="5"/>
      <c r="N76" s="13">
        <f>(Posts11[[#This Row],[Likes]]+Posts11[[#This Row],[Shares]]+Posts11[[#This Row],[Comments]])/Posts11[[#This Row],[Impressions]]</f>
        <v>0.19310344827586207</v>
      </c>
    </row>
    <row r="77" spans="1:14">
      <c r="A77" s="11" t="s">
        <v>139</v>
      </c>
      <c r="B77" s="6" t="s">
        <v>35</v>
      </c>
      <c r="C77" s="12">
        <v>45724</v>
      </c>
      <c r="D77" s="6" t="s">
        <v>41</v>
      </c>
      <c r="E77" s="6" t="s">
        <v>42</v>
      </c>
      <c r="F77" s="6">
        <v>1292</v>
      </c>
      <c r="G77" s="6">
        <v>626</v>
      </c>
      <c r="H77" s="6">
        <v>496</v>
      </c>
      <c r="I77" s="6">
        <v>25840</v>
      </c>
      <c r="J77" s="6">
        <v>24916</v>
      </c>
      <c r="K77" s="6">
        <v>149</v>
      </c>
      <c r="L77" s="6" t="s">
        <v>38</v>
      </c>
      <c r="M77" s="6" t="s">
        <v>15</v>
      </c>
      <c r="N77" s="14">
        <f>(Posts11[[#This Row],[Likes]]+Posts11[[#This Row],[Shares]]+Posts11[[#This Row],[Comments]])/Posts11[[#This Row],[Impressions]]</f>
        <v>9.3421052631578946E-2</v>
      </c>
    </row>
    <row r="78" spans="1:14">
      <c r="A78" s="9" t="s">
        <v>140</v>
      </c>
      <c r="B78" s="5" t="s">
        <v>55</v>
      </c>
      <c r="C78" s="10">
        <v>45749</v>
      </c>
      <c r="D78" s="5" t="s">
        <v>75</v>
      </c>
      <c r="E78" s="5" t="s">
        <v>76</v>
      </c>
      <c r="F78" s="5">
        <v>199</v>
      </c>
      <c r="G78" s="5">
        <v>772</v>
      </c>
      <c r="H78" s="5">
        <v>400</v>
      </c>
      <c r="I78" s="5">
        <v>3582</v>
      </c>
      <c r="J78" s="5">
        <v>2988</v>
      </c>
      <c r="K78" s="5">
        <v>43</v>
      </c>
      <c r="L78" s="5" t="s">
        <v>43</v>
      </c>
      <c r="M78" s="5"/>
      <c r="N78" s="13">
        <f>(Posts11[[#This Row],[Likes]]+Posts11[[#This Row],[Shares]]+Posts11[[#This Row],[Comments]])/Posts11[[#This Row],[Impressions]]</f>
        <v>0.38274706867671693</v>
      </c>
    </row>
    <row r="79" spans="1:14">
      <c r="A79" s="11" t="s">
        <v>141</v>
      </c>
      <c r="B79" s="6" t="s">
        <v>46</v>
      </c>
      <c r="C79" s="12">
        <v>45537</v>
      </c>
      <c r="D79" s="6" t="s">
        <v>56</v>
      </c>
      <c r="E79" s="6" t="s">
        <v>71</v>
      </c>
      <c r="F79" s="6">
        <v>2551</v>
      </c>
      <c r="G79" s="6">
        <v>915</v>
      </c>
      <c r="H79" s="6">
        <v>205</v>
      </c>
      <c r="I79" s="6">
        <v>30612</v>
      </c>
      <c r="J79" s="6">
        <v>30360</v>
      </c>
      <c r="K79" s="6">
        <v>227</v>
      </c>
      <c r="L79" s="6" t="s">
        <v>43</v>
      </c>
      <c r="M79" s="6" t="s">
        <v>11</v>
      </c>
      <c r="N79" s="14">
        <f>(Posts11[[#This Row],[Likes]]+Posts11[[#This Row],[Shares]]+Posts11[[#This Row],[Comments]])/Posts11[[#This Row],[Impressions]]</f>
        <v>0.1199202926956749</v>
      </c>
    </row>
    <row r="80" spans="1:14">
      <c r="A80" s="9" t="s">
        <v>142</v>
      </c>
      <c r="B80" s="5" t="s">
        <v>46</v>
      </c>
      <c r="C80" s="10">
        <v>45719</v>
      </c>
      <c r="D80" s="5" t="s">
        <v>36</v>
      </c>
      <c r="E80" s="5" t="s">
        <v>47</v>
      </c>
      <c r="F80" s="5">
        <v>296</v>
      </c>
      <c r="G80" s="5">
        <v>60</v>
      </c>
      <c r="H80" s="5">
        <v>141</v>
      </c>
      <c r="I80" s="5">
        <v>5624</v>
      </c>
      <c r="J80" s="5">
        <v>5239</v>
      </c>
      <c r="K80" s="5">
        <v>88</v>
      </c>
      <c r="L80" s="5" t="s">
        <v>52</v>
      </c>
      <c r="M80" s="5" t="s">
        <v>11</v>
      </c>
      <c r="N80" s="13">
        <f>(Posts11[[#This Row],[Likes]]+Posts11[[#This Row],[Shares]]+Posts11[[#This Row],[Comments]])/Posts11[[#This Row],[Impressions]]</f>
        <v>8.837126600284495E-2</v>
      </c>
    </row>
    <row r="81" spans="1:14">
      <c r="A81" s="11" t="s">
        <v>143</v>
      </c>
      <c r="B81" s="6" t="s">
        <v>55</v>
      </c>
      <c r="C81" s="12">
        <v>45583</v>
      </c>
      <c r="D81" s="6" t="s">
        <v>50</v>
      </c>
      <c r="E81" s="6" t="s">
        <v>73</v>
      </c>
      <c r="F81" s="6">
        <v>4126</v>
      </c>
      <c r="G81" s="6">
        <v>426</v>
      </c>
      <c r="H81" s="6">
        <v>486</v>
      </c>
      <c r="I81" s="6">
        <v>78394</v>
      </c>
      <c r="J81" s="6">
        <v>77798</v>
      </c>
      <c r="K81" s="6">
        <v>88</v>
      </c>
      <c r="L81" s="6" t="s">
        <v>38</v>
      </c>
      <c r="M81" s="6" t="s">
        <v>19</v>
      </c>
      <c r="N81" s="14">
        <f>(Posts11[[#This Row],[Likes]]+Posts11[[#This Row],[Shares]]+Posts11[[#This Row],[Comments]])/Posts11[[#This Row],[Impressions]]</f>
        <v>6.4265122330790625E-2</v>
      </c>
    </row>
    <row r="82" spans="1:14">
      <c r="A82" s="9" t="s">
        <v>144</v>
      </c>
      <c r="B82" s="5" t="s">
        <v>46</v>
      </c>
      <c r="C82" s="10">
        <v>45593</v>
      </c>
      <c r="D82" s="5" t="s">
        <v>36</v>
      </c>
      <c r="E82" s="5" t="s">
        <v>47</v>
      </c>
      <c r="F82" s="5">
        <v>1855</v>
      </c>
      <c r="G82" s="5">
        <v>200</v>
      </c>
      <c r="H82" s="5">
        <v>174</v>
      </c>
      <c r="I82" s="5">
        <v>16695</v>
      </c>
      <c r="J82" s="5">
        <v>16330</v>
      </c>
      <c r="K82" s="5">
        <v>123</v>
      </c>
      <c r="L82" s="5" t="s">
        <v>43</v>
      </c>
      <c r="M82" s="5" t="s">
        <v>15</v>
      </c>
      <c r="N82" s="13">
        <f>(Posts11[[#This Row],[Likes]]+Posts11[[#This Row],[Shares]]+Posts11[[#This Row],[Comments]])/Posts11[[#This Row],[Impressions]]</f>
        <v>0.13351302785265048</v>
      </c>
    </row>
    <row r="83" spans="1:14">
      <c r="A83" s="11" t="s">
        <v>145</v>
      </c>
      <c r="B83" s="6" t="s">
        <v>49</v>
      </c>
      <c r="C83" s="12">
        <v>45505</v>
      </c>
      <c r="D83" s="6" t="s">
        <v>36</v>
      </c>
      <c r="E83" s="6" t="s">
        <v>80</v>
      </c>
      <c r="F83" s="6">
        <v>1674</v>
      </c>
      <c r="G83" s="6">
        <v>929</v>
      </c>
      <c r="H83" s="6">
        <v>37</v>
      </c>
      <c r="I83" s="6">
        <v>21762</v>
      </c>
      <c r="J83" s="6">
        <v>20998</v>
      </c>
      <c r="K83" s="6">
        <v>255</v>
      </c>
      <c r="L83" s="6" t="s">
        <v>43</v>
      </c>
      <c r="M83" s="6" t="s">
        <v>19</v>
      </c>
      <c r="N83" s="14">
        <f>(Posts11[[#This Row],[Likes]]+Posts11[[#This Row],[Shares]]+Posts11[[#This Row],[Comments]])/Posts11[[#This Row],[Impressions]]</f>
        <v>0.12131237937689551</v>
      </c>
    </row>
    <row r="84" spans="1:14">
      <c r="A84" s="9" t="s">
        <v>146</v>
      </c>
      <c r="B84" s="5" t="s">
        <v>35</v>
      </c>
      <c r="C84" s="10">
        <v>45603</v>
      </c>
      <c r="D84" s="5" t="s">
        <v>50</v>
      </c>
      <c r="E84" s="5" t="s">
        <v>117</v>
      </c>
      <c r="F84" s="5">
        <v>1121</v>
      </c>
      <c r="G84" s="5">
        <v>135</v>
      </c>
      <c r="H84" s="5">
        <v>18</v>
      </c>
      <c r="I84" s="5">
        <v>15694</v>
      </c>
      <c r="J84" s="5">
        <v>14957</v>
      </c>
      <c r="K84" s="5">
        <v>99</v>
      </c>
      <c r="L84" s="5" t="s">
        <v>43</v>
      </c>
      <c r="M84" s="5" t="s">
        <v>19</v>
      </c>
      <c r="N84" s="13">
        <f>(Posts11[[#This Row],[Likes]]+Posts11[[#This Row],[Shares]]+Posts11[[#This Row],[Comments]])/Posts11[[#This Row],[Impressions]]</f>
        <v>8.1177520071364848E-2</v>
      </c>
    </row>
    <row r="85" spans="1:14">
      <c r="A85" s="11" t="s">
        <v>147</v>
      </c>
      <c r="B85" s="6" t="s">
        <v>55</v>
      </c>
      <c r="C85" s="12">
        <v>45720</v>
      </c>
      <c r="D85" s="6" t="s">
        <v>50</v>
      </c>
      <c r="E85" s="6" t="s">
        <v>73</v>
      </c>
      <c r="F85" s="6">
        <v>1249</v>
      </c>
      <c r="G85" s="6">
        <v>116</v>
      </c>
      <c r="H85" s="6">
        <v>420</v>
      </c>
      <c r="I85" s="6">
        <v>8743</v>
      </c>
      <c r="J85" s="6">
        <v>8538</v>
      </c>
      <c r="K85" s="6">
        <v>63</v>
      </c>
      <c r="L85" s="6" t="s">
        <v>43</v>
      </c>
      <c r="M85" s="6"/>
      <c r="N85" s="14">
        <f>(Posts11[[#This Row],[Likes]]+Posts11[[#This Row],[Shares]]+Posts11[[#This Row],[Comments]])/Posts11[[#This Row],[Impressions]]</f>
        <v>0.20416333066453163</v>
      </c>
    </row>
    <row r="86" spans="1:14">
      <c r="A86" s="9" t="s">
        <v>148</v>
      </c>
      <c r="B86" s="5" t="s">
        <v>35</v>
      </c>
      <c r="C86" s="10">
        <v>45460</v>
      </c>
      <c r="D86" s="5" t="s">
        <v>61</v>
      </c>
      <c r="E86" s="5" t="s">
        <v>107</v>
      </c>
      <c r="F86" s="5">
        <v>954</v>
      </c>
      <c r="G86" s="5">
        <v>324</v>
      </c>
      <c r="H86" s="5">
        <v>288</v>
      </c>
      <c r="I86" s="5">
        <v>19080</v>
      </c>
      <c r="J86" s="5">
        <v>18859</v>
      </c>
      <c r="K86" s="5">
        <v>21</v>
      </c>
      <c r="L86" s="5" t="s">
        <v>38</v>
      </c>
      <c r="M86" s="5" t="s">
        <v>19</v>
      </c>
      <c r="N86" s="13">
        <f>(Posts11[[#This Row],[Likes]]+Posts11[[#This Row],[Shares]]+Posts11[[#This Row],[Comments]])/Posts11[[#This Row],[Impressions]]</f>
        <v>8.2075471698113203E-2</v>
      </c>
    </row>
    <row r="87" spans="1:14">
      <c r="A87" s="11" t="s">
        <v>149</v>
      </c>
      <c r="B87" s="6" t="s">
        <v>49</v>
      </c>
      <c r="C87" s="12">
        <v>45574</v>
      </c>
      <c r="D87" s="6" t="s">
        <v>56</v>
      </c>
      <c r="E87" s="6" t="s">
        <v>84</v>
      </c>
      <c r="F87" s="6">
        <v>3068</v>
      </c>
      <c r="G87" s="6">
        <v>137</v>
      </c>
      <c r="H87" s="6">
        <v>329</v>
      </c>
      <c r="I87" s="6">
        <v>39884</v>
      </c>
      <c r="J87" s="6">
        <v>39404</v>
      </c>
      <c r="K87" s="6">
        <v>266</v>
      </c>
      <c r="L87" s="6" t="s">
        <v>52</v>
      </c>
      <c r="M87" s="6" t="s">
        <v>11</v>
      </c>
      <c r="N87" s="14">
        <f>(Posts11[[#This Row],[Likes]]+Posts11[[#This Row],[Shares]]+Posts11[[#This Row],[Comments]])/Posts11[[#This Row],[Impressions]]</f>
        <v>8.860696018453515E-2</v>
      </c>
    </row>
    <row r="88" spans="1:14">
      <c r="A88" s="9" t="s">
        <v>150</v>
      </c>
      <c r="B88" s="5" t="s">
        <v>49</v>
      </c>
      <c r="C88" s="10">
        <v>45456</v>
      </c>
      <c r="D88" s="5" t="s">
        <v>50</v>
      </c>
      <c r="E88" s="5" t="s">
        <v>51</v>
      </c>
      <c r="F88" s="5">
        <v>2103</v>
      </c>
      <c r="G88" s="5">
        <v>892</v>
      </c>
      <c r="H88" s="5">
        <v>103</v>
      </c>
      <c r="I88" s="5">
        <v>39957</v>
      </c>
      <c r="J88" s="5">
        <v>39466</v>
      </c>
      <c r="K88" s="5">
        <v>28</v>
      </c>
      <c r="L88" s="5" t="s">
        <v>38</v>
      </c>
      <c r="M88" s="5"/>
      <c r="N88" s="13">
        <f>(Posts11[[#This Row],[Likes]]+Posts11[[#This Row],[Shares]]+Posts11[[#This Row],[Comments]])/Posts11[[#This Row],[Impressions]]</f>
        <v>7.7533348349475686E-2</v>
      </c>
    </row>
    <row r="89" spans="1:14">
      <c r="A89" s="11" t="s">
        <v>151</v>
      </c>
      <c r="B89" s="6" t="s">
        <v>49</v>
      </c>
      <c r="C89" s="12">
        <v>45584</v>
      </c>
      <c r="D89" s="6" t="s">
        <v>50</v>
      </c>
      <c r="E89" s="6" t="s">
        <v>51</v>
      </c>
      <c r="F89" s="6">
        <v>1816</v>
      </c>
      <c r="G89" s="6">
        <v>29</v>
      </c>
      <c r="H89" s="6">
        <v>41</v>
      </c>
      <c r="I89" s="6">
        <v>19976</v>
      </c>
      <c r="J89" s="6">
        <v>19262</v>
      </c>
      <c r="K89" s="6">
        <v>283</v>
      </c>
      <c r="L89" s="6" t="s">
        <v>43</v>
      </c>
      <c r="M89" s="6" t="s">
        <v>15</v>
      </c>
      <c r="N89" s="14">
        <f>(Posts11[[#This Row],[Likes]]+Posts11[[#This Row],[Shares]]+Posts11[[#This Row],[Comments]])/Posts11[[#This Row],[Impressions]]</f>
        <v>9.4413295955146179E-2</v>
      </c>
    </row>
    <row r="90" spans="1:14">
      <c r="A90" s="9" t="s">
        <v>152</v>
      </c>
      <c r="B90" s="5" t="s">
        <v>49</v>
      </c>
      <c r="C90" s="10">
        <v>45497</v>
      </c>
      <c r="D90" s="5" t="s">
        <v>61</v>
      </c>
      <c r="E90" s="5" t="s">
        <v>153</v>
      </c>
      <c r="F90" s="5">
        <v>725</v>
      </c>
      <c r="G90" s="5">
        <v>88</v>
      </c>
      <c r="H90" s="5">
        <v>428</v>
      </c>
      <c r="I90" s="5">
        <v>14500</v>
      </c>
      <c r="J90" s="5">
        <v>13637</v>
      </c>
      <c r="K90" s="5">
        <v>200</v>
      </c>
      <c r="L90" s="5" t="s">
        <v>38</v>
      </c>
      <c r="M90" s="5" t="s">
        <v>15</v>
      </c>
      <c r="N90" s="13">
        <f>(Posts11[[#This Row],[Likes]]+Posts11[[#This Row],[Shares]]+Posts11[[#This Row],[Comments]])/Posts11[[#This Row],[Impressions]]</f>
        <v>8.558620689655172E-2</v>
      </c>
    </row>
    <row r="91" spans="1:14">
      <c r="A91" s="11" t="s">
        <v>152</v>
      </c>
      <c r="B91" s="6" t="s">
        <v>49</v>
      </c>
      <c r="C91" s="12">
        <v>45497</v>
      </c>
      <c r="D91" s="6" t="s">
        <v>61</v>
      </c>
      <c r="E91" s="6" t="s">
        <v>153</v>
      </c>
      <c r="F91" s="6">
        <v>725</v>
      </c>
      <c r="G91" s="6">
        <v>88</v>
      </c>
      <c r="H91" s="6">
        <v>428</v>
      </c>
      <c r="I91" s="6">
        <v>14500</v>
      </c>
      <c r="J91" s="6">
        <v>13637</v>
      </c>
      <c r="K91" s="6">
        <v>200</v>
      </c>
      <c r="L91" s="6" t="s">
        <v>43</v>
      </c>
      <c r="M91" s="6" t="s">
        <v>15</v>
      </c>
      <c r="N91" s="14">
        <f>(Posts11[[#This Row],[Likes]]+Posts11[[#This Row],[Shares]]+Posts11[[#This Row],[Comments]])/Posts11[[#This Row],[Impressions]]</f>
        <v>8.558620689655172E-2</v>
      </c>
    </row>
    <row r="92" spans="1:14">
      <c r="A92" s="9" t="s">
        <v>152</v>
      </c>
      <c r="B92" s="5" t="s">
        <v>49</v>
      </c>
      <c r="C92" s="10">
        <v>45497</v>
      </c>
      <c r="D92" s="5" t="s">
        <v>61</v>
      </c>
      <c r="E92" s="5" t="s">
        <v>153</v>
      </c>
      <c r="F92" s="5">
        <v>725</v>
      </c>
      <c r="G92" s="5">
        <v>88</v>
      </c>
      <c r="H92" s="5">
        <v>428</v>
      </c>
      <c r="I92" s="5">
        <v>14500</v>
      </c>
      <c r="J92" s="5">
        <v>13637</v>
      </c>
      <c r="K92" s="5">
        <v>200</v>
      </c>
      <c r="L92" s="5" t="s">
        <v>39</v>
      </c>
      <c r="M92" s="5" t="s">
        <v>15</v>
      </c>
      <c r="N92" s="13">
        <f>(Posts11[[#This Row],[Likes]]+Posts11[[#This Row],[Shares]]+Posts11[[#This Row],[Comments]])/Posts11[[#This Row],[Impressions]]</f>
        <v>8.558620689655172E-2</v>
      </c>
    </row>
    <row r="93" spans="1:14">
      <c r="A93" s="11" t="s">
        <v>154</v>
      </c>
      <c r="B93" s="6" t="s">
        <v>46</v>
      </c>
      <c r="C93" s="12">
        <v>45580</v>
      </c>
      <c r="D93" s="6" t="s">
        <v>75</v>
      </c>
      <c r="E93" s="6" t="s">
        <v>155</v>
      </c>
      <c r="F93" s="6">
        <v>1094</v>
      </c>
      <c r="G93" s="6">
        <v>472</v>
      </c>
      <c r="H93" s="6">
        <v>21</v>
      </c>
      <c r="I93" s="6">
        <v>9846</v>
      </c>
      <c r="J93" s="6">
        <v>9609</v>
      </c>
      <c r="K93" s="6">
        <v>112</v>
      </c>
      <c r="L93" s="6" t="s">
        <v>52</v>
      </c>
      <c r="M93" s="6"/>
      <c r="N93" s="14">
        <f>(Posts11[[#This Row],[Likes]]+Posts11[[#This Row],[Shares]]+Posts11[[#This Row],[Comments]])/Posts11[[#This Row],[Impressions]]</f>
        <v>0.16118220597196831</v>
      </c>
    </row>
    <row r="94" spans="1:14">
      <c r="A94" s="9" t="s">
        <v>156</v>
      </c>
      <c r="B94" s="5" t="s">
        <v>55</v>
      </c>
      <c r="C94" s="10">
        <v>45635</v>
      </c>
      <c r="D94" s="5" t="s">
        <v>61</v>
      </c>
      <c r="E94" s="5" t="s">
        <v>66</v>
      </c>
      <c r="F94" s="5">
        <v>1841</v>
      </c>
      <c r="G94" s="5">
        <v>851</v>
      </c>
      <c r="H94" s="5">
        <v>342</v>
      </c>
      <c r="I94" s="5">
        <v>34979</v>
      </c>
      <c r="J94" s="5">
        <v>34154</v>
      </c>
      <c r="K94" s="5">
        <v>255</v>
      </c>
      <c r="L94" s="5" t="s">
        <v>38</v>
      </c>
      <c r="M94" s="5" t="s">
        <v>19</v>
      </c>
      <c r="N94" s="13">
        <f>(Posts11[[#This Row],[Likes]]+Posts11[[#This Row],[Shares]]+Posts11[[#This Row],[Comments]])/Posts11[[#This Row],[Impressions]]</f>
        <v>8.6737756939878216E-2</v>
      </c>
    </row>
    <row r="95" spans="1:14">
      <c r="A95" s="11" t="s">
        <v>157</v>
      </c>
      <c r="B95" s="6" t="s">
        <v>49</v>
      </c>
      <c r="C95" s="12">
        <v>45766</v>
      </c>
      <c r="D95" s="6" t="s">
        <v>61</v>
      </c>
      <c r="E95" s="6" t="s">
        <v>153</v>
      </c>
      <c r="F95" s="6">
        <v>4177</v>
      </c>
      <c r="G95" s="6">
        <v>569</v>
      </c>
      <c r="H95" s="6">
        <v>55</v>
      </c>
      <c r="I95" s="6">
        <v>25062</v>
      </c>
      <c r="J95" s="6">
        <v>24847</v>
      </c>
      <c r="K95" s="6">
        <v>230</v>
      </c>
      <c r="L95" s="6" t="s">
        <v>38</v>
      </c>
      <c r="M95" s="6" t="s">
        <v>7</v>
      </c>
      <c r="N95" s="14">
        <f>(Posts11[[#This Row],[Likes]]+Posts11[[#This Row],[Shares]]+Posts11[[#This Row],[Comments]])/Posts11[[#This Row],[Impressions]]</f>
        <v>0.19156491900087783</v>
      </c>
    </row>
    <row r="96" spans="1:14">
      <c r="A96" s="9" t="s">
        <v>158</v>
      </c>
      <c r="B96" s="5" t="s">
        <v>46</v>
      </c>
      <c r="C96" s="10">
        <v>45684</v>
      </c>
      <c r="D96" s="5" t="s">
        <v>41</v>
      </c>
      <c r="E96" s="5" t="s">
        <v>92</v>
      </c>
      <c r="F96" s="5">
        <v>3428</v>
      </c>
      <c r="G96" s="5">
        <v>305</v>
      </c>
      <c r="H96" s="5">
        <v>85</v>
      </c>
      <c r="I96" s="5">
        <v>58276</v>
      </c>
      <c r="J96" s="5">
        <v>58052</v>
      </c>
      <c r="K96" s="5">
        <v>242</v>
      </c>
      <c r="L96" s="5" t="s">
        <v>52</v>
      </c>
      <c r="M96" s="5" t="s">
        <v>19</v>
      </c>
      <c r="N96" s="13">
        <f>(Posts11[[#This Row],[Likes]]+Posts11[[#This Row],[Shares]]+Posts11[[#This Row],[Comments]])/Posts11[[#This Row],[Impressions]]</f>
        <v>6.5515821264328367E-2</v>
      </c>
    </row>
    <row r="97" spans="1:14">
      <c r="A97" s="11" t="s">
        <v>158</v>
      </c>
      <c r="B97" s="6" t="s">
        <v>46</v>
      </c>
      <c r="C97" s="12">
        <v>45684</v>
      </c>
      <c r="D97" s="6" t="s">
        <v>41</v>
      </c>
      <c r="E97" s="6" t="s">
        <v>92</v>
      </c>
      <c r="F97" s="6">
        <v>3428</v>
      </c>
      <c r="G97" s="6">
        <v>305</v>
      </c>
      <c r="H97" s="6">
        <v>85</v>
      </c>
      <c r="I97" s="6">
        <v>58276</v>
      </c>
      <c r="J97" s="6">
        <v>58052</v>
      </c>
      <c r="K97" s="6">
        <v>242</v>
      </c>
      <c r="L97" s="6" t="s">
        <v>44</v>
      </c>
      <c r="M97" s="6" t="s">
        <v>19</v>
      </c>
      <c r="N97" s="14">
        <f>(Posts11[[#This Row],[Likes]]+Posts11[[#This Row],[Shares]]+Posts11[[#This Row],[Comments]])/Posts11[[#This Row],[Impressions]]</f>
        <v>6.5515821264328367E-2</v>
      </c>
    </row>
    <row r="98" spans="1:14">
      <c r="A98" s="9" t="s">
        <v>159</v>
      </c>
      <c r="B98" s="5" t="s">
        <v>35</v>
      </c>
      <c r="C98" s="10">
        <v>45449</v>
      </c>
      <c r="D98" s="5" t="s">
        <v>75</v>
      </c>
      <c r="E98" s="5" t="s">
        <v>114</v>
      </c>
      <c r="F98" s="5">
        <v>1436</v>
      </c>
      <c r="G98" s="5">
        <v>765</v>
      </c>
      <c r="H98" s="5">
        <v>496</v>
      </c>
      <c r="I98" s="5">
        <v>12924</v>
      </c>
      <c r="J98" s="5">
        <v>12701</v>
      </c>
      <c r="K98" s="5">
        <v>197</v>
      </c>
      <c r="L98" s="5" t="s">
        <v>38</v>
      </c>
      <c r="M98" s="5" t="s">
        <v>15</v>
      </c>
      <c r="N98" s="13">
        <f>(Posts11[[#This Row],[Likes]]+Posts11[[#This Row],[Shares]]+Posts11[[#This Row],[Comments]])/Posts11[[#This Row],[Impressions]]</f>
        <v>0.20868152274837512</v>
      </c>
    </row>
    <row r="99" spans="1:14">
      <c r="A99" s="11" t="s">
        <v>160</v>
      </c>
      <c r="B99" s="6" t="s">
        <v>55</v>
      </c>
      <c r="C99" s="12">
        <v>45480</v>
      </c>
      <c r="D99" s="6" t="s">
        <v>50</v>
      </c>
      <c r="E99" s="6" t="s">
        <v>73</v>
      </c>
      <c r="F99" s="6">
        <v>302</v>
      </c>
      <c r="G99" s="6">
        <v>47</v>
      </c>
      <c r="H99" s="6">
        <v>430</v>
      </c>
      <c r="I99" s="6">
        <v>5738</v>
      </c>
      <c r="J99" s="6">
        <v>4890</v>
      </c>
      <c r="K99" s="6">
        <v>25</v>
      </c>
      <c r="L99" s="6" t="s">
        <v>43</v>
      </c>
      <c r="M99" s="6" t="s">
        <v>19</v>
      </c>
      <c r="N99" s="14">
        <f>(Posts11[[#This Row],[Likes]]+Posts11[[#This Row],[Shares]]+Posts11[[#This Row],[Comments]])/Posts11[[#This Row],[Impressions]]</f>
        <v>0.13576158940397351</v>
      </c>
    </row>
    <row r="100" spans="1:14">
      <c r="A100" s="9" t="s">
        <v>161</v>
      </c>
      <c r="B100" s="5" t="s">
        <v>35</v>
      </c>
      <c r="C100" s="10">
        <v>45667</v>
      </c>
      <c r="D100" s="5" t="s">
        <v>61</v>
      </c>
      <c r="E100" s="5" t="s">
        <v>107</v>
      </c>
      <c r="F100" s="5">
        <v>2214</v>
      </c>
      <c r="G100" s="5">
        <v>249</v>
      </c>
      <c r="H100" s="5">
        <v>152</v>
      </c>
      <c r="I100" s="5">
        <v>15498</v>
      </c>
      <c r="J100" s="5">
        <v>14800</v>
      </c>
      <c r="K100" s="5">
        <v>180</v>
      </c>
      <c r="L100" s="5" t="s">
        <v>52</v>
      </c>
      <c r="M100" s="5"/>
      <c r="N100" s="13">
        <f>(Posts11[[#This Row],[Likes]]+Posts11[[#This Row],[Shares]]+Posts11[[#This Row],[Comments]])/Posts11[[#This Row],[Impressions]]</f>
        <v>0.16873144921925409</v>
      </c>
    </row>
    <row r="101" spans="1:14">
      <c r="A101" s="11" t="s">
        <v>162</v>
      </c>
      <c r="B101" s="6" t="s">
        <v>49</v>
      </c>
      <c r="C101" s="12">
        <v>45446</v>
      </c>
      <c r="D101" s="6" t="s">
        <v>61</v>
      </c>
      <c r="E101" s="6" t="s">
        <v>153</v>
      </c>
      <c r="F101" s="6">
        <v>3861</v>
      </c>
      <c r="G101" s="6">
        <v>960</v>
      </c>
      <c r="H101" s="6">
        <v>101</v>
      </c>
      <c r="I101" s="6">
        <v>69498</v>
      </c>
      <c r="J101" s="6">
        <v>68817</v>
      </c>
      <c r="K101" s="6">
        <v>297</v>
      </c>
      <c r="L101" s="6" t="s">
        <v>43</v>
      </c>
      <c r="M101" s="6" t="s">
        <v>19</v>
      </c>
      <c r="N101" s="14">
        <f>(Posts11[[#This Row],[Likes]]+Posts11[[#This Row],[Shares]]+Posts11[[#This Row],[Comments]])/Posts11[[#This Row],[Impressions]]</f>
        <v>7.0822181933293038E-2</v>
      </c>
    </row>
    <row r="102" spans="1:14">
      <c r="A102" s="9" t="s">
        <v>163</v>
      </c>
      <c r="B102" s="5" t="s">
        <v>55</v>
      </c>
      <c r="C102" s="10">
        <v>45740</v>
      </c>
      <c r="D102" s="5" t="s">
        <v>61</v>
      </c>
      <c r="E102" s="5" t="s">
        <v>66</v>
      </c>
      <c r="F102" s="5">
        <v>1263</v>
      </c>
      <c r="G102" s="5">
        <v>397</v>
      </c>
      <c r="H102" s="5">
        <v>357</v>
      </c>
      <c r="I102" s="5">
        <v>25260</v>
      </c>
      <c r="J102" s="5">
        <v>24615</v>
      </c>
      <c r="K102" s="5">
        <v>137</v>
      </c>
      <c r="L102" s="5" t="s">
        <v>52</v>
      </c>
      <c r="M102" s="5" t="s">
        <v>19</v>
      </c>
      <c r="N102" s="13">
        <f>(Posts11[[#This Row],[Likes]]+Posts11[[#This Row],[Shares]]+Posts11[[#This Row],[Comments]])/Posts11[[#This Row],[Impressions]]</f>
        <v>7.984956452889945E-2</v>
      </c>
    </row>
    <row r="103" spans="1:14">
      <c r="A103" s="11" t="s">
        <v>164</v>
      </c>
      <c r="B103" s="6" t="s">
        <v>35</v>
      </c>
      <c r="C103" s="12">
        <v>45586</v>
      </c>
      <c r="D103" s="6" t="s">
        <v>50</v>
      </c>
      <c r="E103" s="6" t="s">
        <v>117</v>
      </c>
      <c r="F103" s="6">
        <v>3801</v>
      </c>
      <c r="G103" s="6">
        <v>967</v>
      </c>
      <c r="H103" s="6">
        <v>401</v>
      </c>
      <c r="I103" s="6">
        <v>38010</v>
      </c>
      <c r="J103" s="6">
        <v>37625</v>
      </c>
      <c r="K103" s="6">
        <v>236</v>
      </c>
      <c r="L103" s="6" t="s">
        <v>38</v>
      </c>
      <c r="M103" s="6" t="s">
        <v>15</v>
      </c>
      <c r="N103" s="14">
        <f>(Posts11[[#This Row],[Likes]]+Posts11[[#This Row],[Shares]]+Posts11[[#This Row],[Comments]])/Posts11[[#This Row],[Impressions]]</f>
        <v>0.13599052880820836</v>
      </c>
    </row>
    <row r="104" spans="1:14">
      <c r="A104" s="9" t="s">
        <v>165</v>
      </c>
      <c r="B104" s="5" t="s">
        <v>49</v>
      </c>
      <c r="C104" s="10">
        <v>45637</v>
      </c>
      <c r="D104" s="5" t="s">
        <v>75</v>
      </c>
      <c r="E104" s="5" t="s">
        <v>82</v>
      </c>
      <c r="F104" s="5">
        <v>1431</v>
      </c>
      <c r="G104" s="5">
        <v>951</v>
      </c>
      <c r="H104" s="5">
        <v>26</v>
      </c>
      <c r="I104" s="5">
        <v>8586</v>
      </c>
      <c r="J104" s="5">
        <v>8396</v>
      </c>
      <c r="K104" s="5">
        <v>150</v>
      </c>
      <c r="L104" s="5" t="s">
        <v>52</v>
      </c>
      <c r="M104" s="5" t="s">
        <v>15</v>
      </c>
      <c r="N104" s="13">
        <f>(Posts11[[#This Row],[Likes]]+Posts11[[#This Row],[Shares]]+Posts11[[#This Row],[Comments]])/Posts11[[#This Row],[Impressions]]</f>
        <v>0.28045655718611695</v>
      </c>
    </row>
    <row r="105" spans="1:14">
      <c r="A105" s="11" t="s">
        <v>166</v>
      </c>
      <c r="B105" s="6" t="s">
        <v>49</v>
      </c>
      <c r="C105" s="12">
        <v>45603</v>
      </c>
      <c r="D105" s="6" t="s">
        <v>61</v>
      </c>
      <c r="E105" s="6" t="s">
        <v>153</v>
      </c>
      <c r="F105" s="6">
        <v>2647</v>
      </c>
      <c r="G105" s="6">
        <v>304</v>
      </c>
      <c r="H105" s="6">
        <v>170</v>
      </c>
      <c r="I105" s="6">
        <v>18529</v>
      </c>
      <c r="J105" s="6">
        <v>17841</v>
      </c>
      <c r="K105" s="6">
        <v>46</v>
      </c>
      <c r="L105" s="6" t="s">
        <v>38</v>
      </c>
      <c r="M105" s="6" t="s">
        <v>15</v>
      </c>
      <c r="N105" s="14">
        <f>(Posts11[[#This Row],[Likes]]+Posts11[[#This Row],[Shares]]+Posts11[[#This Row],[Comments]])/Posts11[[#This Row],[Impressions]]</f>
        <v>0.16843866371633656</v>
      </c>
    </row>
    <row r="106" spans="1:14">
      <c r="A106" s="9" t="s">
        <v>167</v>
      </c>
      <c r="B106" s="5" t="s">
        <v>49</v>
      </c>
      <c r="C106" s="10">
        <v>45604</v>
      </c>
      <c r="D106" s="5" t="s">
        <v>41</v>
      </c>
      <c r="E106" s="5" t="s">
        <v>97</v>
      </c>
      <c r="F106" s="5">
        <v>3182</v>
      </c>
      <c r="G106" s="5">
        <v>559</v>
      </c>
      <c r="H106" s="5">
        <v>160</v>
      </c>
      <c r="I106" s="5">
        <v>57276</v>
      </c>
      <c r="J106" s="5">
        <v>56890</v>
      </c>
      <c r="K106" s="5">
        <v>163</v>
      </c>
      <c r="L106" s="5" t="s">
        <v>38</v>
      </c>
      <c r="M106" s="5" t="s">
        <v>19</v>
      </c>
      <c r="N106" s="13">
        <f>(Posts11[[#This Row],[Likes]]+Posts11[[#This Row],[Shares]]+Posts11[[#This Row],[Comments]])/Posts11[[#This Row],[Impressions]]</f>
        <v>6.8108806480899509E-2</v>
      </c>
    </row>
    <row r="107" spans="1:14">
      <c r="A107" s="11" t="s">
        <v>168</v>
      </c>
      <c r="B107" s="6" t="s">
        <v>35</v>
      </c>
      <c r="C107" s="12">
        <v>45545</v>
      </c>
      <c r="D107" s="6" t="s">
        <v>61</v>
      </c>
      <c r="E107" s="6" t="s">
        <v>107</v>
      </c>
      <c r="F107" s="6">
        <v>1238</v>
      </c>
      <c r="G107" s="6">
        <v>366</v>
      </c>
      <c r="H107" s="6">
        <v>444</v>
      </c>
      <c r="I107" s="6">
        <v>19808</v>
      </c>
      <c r="J107" s="6">
        <v>19334</v>
      </c>
      <c r="K107" s="6">
        <v>123</v>
      </c>
      <c r="L107" s="6" t="s">
        <v>38</v>
      </c>
      <c r="M107" s="6"/>
      <c r="N107" s="14">
        <f>(Posts11[[#This Row],[Likes]]+Posts11[[#This Row],[Shares]]+Posts11[[#This Row],[Comments]])/Posts11[[#This Row],[Impressions]]</f>
        <v>0.10339256865912763</v>
      </c>
    </row>
    <row r="108" spans="1:14">
      <c r="A108" s="9" t="s">
        <v>169</v>
      </c>
      <c r="B108" s="5" t="s">
        <v>49</v>
      </c>
      <c r="C108" s="10">
        <v>45517</v>
      </c>
      <c r="D108" s="5" t="s">
        <v>61</v>
      </c>
      <c r="E108" s="5" t="s">
        <v>153</v>
      </c>
      <c r="F108" s="5">
        <v>4739</v>
      </c>
      <c r="G108" s="5">
        <v>527</v>
      </c>
      <c r="H108" s="5">
        <v>135</v>
      </c>
      <c r="I108" s="5">
        <v>61607</v>
      </c>
      <c r="J108" s="5">
        <v>61333</v>
      </c>
      <c r="K108" s="5">
        <v>36</v>
      </c>
      <c r="L108" s="5" t="s">
        <v>43</v>
      </c>
      <c r="M108" s="5" t="s">
        <v>11</v>
      </c>
      <c r="N108" s="13">
        <f>(Posts11[[#This Row],[Likes]]+Posts11[[#This Row],[Shares]]+Posts11[[#This Row],[Comments]])/Posts11[[#This Row],[Impressions]]</f>
        <v>8.7668609086629767E-2</v>
      </c>
    </row>
    <row r="109" spans="1:14">
      <c r="A109" s="11" t="s">
        <v>169</v>
      </c>
      <c r="B109" s="6" t="s">
        <v>49</v>
      </c>
      <c r="C109" s="12">
        <v>45517</v>
      </c>
      <c r="D109" s="6" t="s">
        <v>61</v>
      </c>
      <c r="E109" s="6" t="s">
        <v>153</v>
      </c>
      <c r="F109" s="6">
        <v>4739</v>
      </c>
      <c r="G109" s="6">
        <v>527</v>
      </c>
      <c r="H109" s="6">
        <v>135</v>
      </c>
      <c r="I109" s="6">
        <v>61607</v>
      </c>
      <c r="J109" s="6">
        <v>61333</v>
      </c>
      <c r="K109" s="6">
        <v>36</v>
      </c>
      <c r="L109" s="6" t="s">
        <v>39</v>
      </c>
      <c r="M109" s="6" t="s">
        <v>11</v>
      </c>
      <c r="N109" s="14">
        <f>(Posts11[[#This Row],[Likes]]+Posts11[[#This Row],[Shares]]+Posts11[[#This Row],[Comments]])/Posts11[[#This Row],[Impressions]]</f>
        <v>8.7668609086629767E-2</v>
      </c>
    </row>
    <row r="110" spans="1:14">
      <c r="A110" s="9" t="s">
        <v>170</v>
      </c>
      <c r="B110" s="5" t="s">
        <v>35</v>
      </c>
      <c r="C110" s="10">
        <v>45453</v>
      </c>
      <c r="D110" s="5" t="s">
        <v>50</v>
      </c>
      <c r="E110" s="5" t="s">
        <v>117</v>
      </c>
      <c r="F110" s="5">
        <v>1575</v>
      </c>
      <c r="G110" s="5">
        <v>771</v>
      </c>
      <c r="H110" s="5">
        <v>486</v>
      </c>
      <c r="I110" s="5">
        <v>25200</v>
      </c>
      <c r="J110" s="5">
        <v>24826</v>
      </c>
      <c r="K110" s="5">
        <v>17</v>
      </c>
      <c r="L110" s="5" t="s">
        <v>38</v>
      </c>
      <c r="M110" s="5" t="s">
        <v>19</v>
      </c>
      <c r="N110" s="13">
        <f>(Posts11[[#This Row],[Likes]]+Posts11[[#This Row],[Shares]]+Posts11[[#This Row],[Comments]])/Posts11[[#This Row],[Impressions]]</f>
        <v>0.11238095238095239</v>
      </c>
    </row>
    <row r="111" spans="1:14">
      <c r="A111" s="11" t="s">
        <v>171</v>
      </c>
      <c r="B111" s="6" t="s">
        <v>46</v>
      </c>
      <c r="C111" s="12">
        <v>45475</v>
      </c>
      <c r="D111" s="6" t="s">
        <v>56</v>
      </c>
      <c r="E111" s="6" t="s">
        <v>71</v>
      </c>
      <c r="F111" s="6">
        <v>4171</v>
      </c>
      <c r="G111" s="6">
        <v>548</v>
      </c>
      <c r="H111" s="6">
        <v>86</v>
      </c>
      <c r="I111" s="6">
        <v>66736</v>
      </c>
      <c r="J111" s="6">
        <v>66634</v>
      </c>
      <c r="K111" s="6">
        <v>173</v>
      </c>
      <c r="L111" s="6" t="s">
        <v>38</v>
      </c>
      <c r="M111" s="6" t="s">
        <v>15</v>
      </c>
      <c r="N111" s="14">
        <f>(Posts11[[#This Row],[Likes]]+Posts11[[#This Row],[Shares]]+Posts11[[#This Row],[Comments]])/Posts11[[#This Row],[Impressions]]</f>
        <v>7.2000119875329657E-2</v>
      </c>
    </row>
    <row r="112" spans="1:14">
      <c r="A112" s="9" t="s">
        <v>172</v>
      </c>
      <c r="B112" s="5" t="s">
        <v>46</v>
      </c>
      <c r="C112" s="10">
        <v>45698</v>
      </c>
      <c r="D112" s="5" t="s">
        <v>75</v>
      </c>
      <c r="E112" s="5" t="s">
        <v>155</v>
      </c>
      <c r="F112" s="5">
        <v>1766</v>
      </c>
      <c r="G112" s="5">
        <v>92</v>
      </c>
      <c r="H112" s="5">
        <v>424</v>
      </c>
      <c r="I112" s="5">
        <v>24724</v>
      </c>
      <c r="J112" s="5">
        <v>24333</v>
      </c>
      <c r="K112" s="5">
        <v>52</v>
      </c>
      <c r="L112" s="5" t="s">
        <v>52</v>
      </c>
      <c r="M112" s="5"/>
      <c r="N112" s="13">
        <f>(Posts11[[#This Row],[Likes]]+Posts11[[#This Row],[Shares]]+Posts11[[#This Row],[Comments]])/Posts11[[#This Row],[Impressions]]</f>
        <v>9.2298980747451867E-2</v>
      </c>
    </row>
    <row r="113" spans="1:14">
      <c r="A113" s="11" t="s">
        <v>173</v>
      </c>
      <c r="B113" s="6" t="s">
        <v>46</v>
      </c>
      <c r="C113" s="12">
        <v>45583</v>
      </c>
      <c r="D113" s="6" t="s">
        <v>75</v>
      </c>
      <c r="E113" s="6" t="s">
        <v>155</v>
      </c>
      <c r="F113" s="6">
        <v>4450</v>
      </c>
      <c r="G113" s="6">
        <v>983</v>
      </c>
      <c r="H113" s="6">
        <v>143</v>
      </c>
      <c r="I113" s="6">
        <v>75650</v>
      </c>
      <c r="J113" s="6">
        <v>75008</v>
      </c>
      <c r="K113" s="6">
        <v>12</v>
      </c>
      <c r="L113" s="6" t="s">
        <v>38</v>
      </c>
      <c r="M113" s="6" t="s">
        <v>15</v>
      </c>
      <c r="N113" s="14">
        <f>(Posts11[[#This Row],[Likes]]+Posts11[[#This Row],[Shares]]+Posts11[[#This Row],[Comments]])/Posts11[[#This Row],[Impressions]]</f>
        <v>7.3707865168539333E-2</v>
      </c>
    </row>
    <row r="114" spans="1:14">
      <c r="A114" s="9" t="s">
        <v>174</v>
      </c>
      <c r="B114" s="5" t="s">
        <v>35</v>
      </c>
      <c r="C114" s="10">
        <v>45553</v>
      </c>
      <c r="D114" s="5" t="s">
        <v>36</v>
      </c>
      <c r="E114" s="5" t="s">
        <v>37</v>
      </c>
      <c r="F114" s="5">
        <v>1000</v>
      </c>
      <c r="G114" s="5">
        <v>978</v>
      </c>
      <c r="H114" s="5">
        <v>162</v>
      </c>
      <c r="I114" s="5">
        <v>6000</v>
      </c>
      <c r="J114" s="5">
        <v>5221</v>
      </c>
      <c r="K114" s="5">
        <v>223</v>
      </c>
      <c r="L114" s="5" t="s">
        <v>52</v>
      </c>
      <c r="M114" s="5" t="s">
        <v>11</v>
      </c>
      <c r="N114" s="13">
        <f>(Posts11[[#This Row],[Likes]]+Posts11[[#This Row],[Shares]]+Posts11[[#This Row],[Comments]])/Posts11[[#This Row],[Impressions]]</f>
        <v>0.35666666666666669</v>
      </c>
    </row>
    <row r="115" spans="1:14">
      <c r="A115" s="11" t="s">
        <v>175</v>
      </c>
      <c r="B115" s="6" t="s">
        <v>55</v>
      </c>
      <c r="C115" s="12">
        <v>45454</v>
      </c>
      <c r="D115" s="6" t="s">
        <v>61</v>
      </c>
      <c r="E115" s="6" t="s">
        <v>66</v>
      </c>
      <c r="F115" s="6">
        <v>3689</v>
      </c>
      <c r="G115" s="6">
        <v>48</v>
      </c>
      <c r="H115" s="6">
        <v>306</v>
      </c>
      <c r="I115" s="6">
        <v>40579</v>
      </c>
      <c r="J115" s="6">
        <v>39588</v>
      </c>
      <c r="K115" s="6">
        <v>212</v>
      </c>
      <c r="L115" s="6" t="s">
        <v>52</v>
      </c>
      <c r="M115" s="6" t="s">
        <v>11</v>
      </c>
      <c r="N115" s="14">
        <f>(Posts11[[#This Row],[Likes]]+Posts11[[#This Row],[Shares]]+Posts11[[#This Row],[Comments]])/Posts11[[#This Row],[Impressions]]</f>
        <v>9.9632815002833983E-2</v>
      </c>
    </row>
    <row r="116" spans="1:14">
      <c r="A116" s="9" t="s">
        <v>176</v>
      </c>
      <c r="B116" s="5" t="s">
        <v>46</v>
      </c>
      <c r="C116" s="10">
        <v>45739</v>
      </c>
      <c r="D116" s="5" t="s">
        <v>50</v>
      </c>
      <c r="E116" s="5" t="s">
        <v>120</v>
      </c>
      <c r="F116" s="5">
        <v>3655</v>
      </c>
      <c r="G116" s="5">
        <v>568</v>
      </c>
      <c r="H116" s="5">
        <v>286</v>
      </c>
      <c r="I116" s="5">
        <v>32895</v>
      </c>
      <c r="J116" s="5">
        <v>32015</v>
      </c>
      <c r="K116" s="5">
        <v>199</v>
      </c>
      <c r="L116" s="5" t="s">
        <v>43</v>
      </c>
      <c r="M116" s="5" t="s">
        <v>15</v>
      </c>
      <c r="N116" s="13">
        <f>(Posts11[[#This Row],[Likes]]+Posts11[[#This Row],[Shares]]+Posts11[[#This Row],[Comments]])/Posts11[[#This Row],[Impressions]]</f>
        <v>0.13707250341997265</v>
      </c>
    </row>
    <row r="117" spans="1:14">
      <c r="A117" s="11" t="s">
        <v>177</v>
      </c>
      <c r="B117" s="6" t="s">
        <v>49</v>
      </c>
      <c r="C117" s="12">
        <v>45457</v>
      </c>
      <c r="D117" s="6" t="s">
        <v>56</v>
      </c>
      <c r="E117" s="6" t="s">
        <v>84</v>
      </c>
      <c r="F117" s="6">
        <v>498</v>
      </c>
      <c r="G117" s="6">
        <v>38</v>
      </c>
      <c r="H117" s="6">
        <v>42</v>
      </c>
      <c r="I117" s="6">
        <v>4482</v>
      </c>
      <c r="J117" s="6">
        <v>3647</v>
      </c>
      <c r="K117" s="6">
        <v>32</v>
      </c>
      <c r="L117" s="6" t="s">
        <v>38</v>
      </c>
      <c r="M117" s="6" t="s">
        <v>7</v>
      </c>
      <c r="N117" s="14">
        <f>(Posts11[[#This Row],[Likes]]+Posts11[[#This Row],[Shares]]+Posts11[[#This Row],[Comments]])/Posts11[[#This Row],[Impressions]]</f>
        <v>0.12896028558679162</v>
      </c>
    </row>
    <row r="118" spans="1:14">
      <c r="A118" s="9" t="s">
        <v>178</v>
      </c>
      <c r="B118" s="5" t="s">
        <v>49</v>
      </c>
      <c r="C118" s="10">
        <v>45692</v>
      </c>
      <c r="D118" s="5" t="s">
        <v>61</v>
      </c>
      <c r="E118" s="5" t="s">
        <v>153</v>
      </c>
      <c r="F118" s="5">
        <v>4619</v>
      </c>
      <c r="G118" s="5">
        <v>821</v>
      </c>
      <c r="H118" s="5">
        <v>499</v>
      </c>
      <c r="I118" s="5">
        <v>69285</v>
      </c>
      <c r="J118" s="5">
        <v>69141</v>
      </c>
      <c r="K118" s="5">
        <v>298</v>
      </c>
      <c r="L118" s="5" t="s">
        <v>43</v>
      </c>
      <c r="M118" s="5" t="s">
        <v>19</v>
      </c>
      <c r="N118" s="13">
        <f>(Posts11[[#This Row],[Likes]]+Posts11[[#This Row],[Shares]]+Posts11[[#This Row],[Comments]])/Posts11[[#This Row],[Impressions]]</f>
        <v>8.5718409468138843E-2</v>
      </c>
    </row>
    <row r="119" spans="1:14">
      <c r="A119" s="11" t="s">
        <v>179</v>
      </c>
      <c r="B119" s="6" t="s">
        <v>46</v>
      </c>
      <c r="C119" s="12">
        <v>45464</v>
      </c>
      <c r="D119" s="6" t="s">
        <v>61</v>
      </c>
      <c r="E119" s="6" t="s">
        <v>62</v>
      </c>
      <c r="F119" s="6">
        <v>4832</v>
      </c>
      <c r="G119" s="6">
        <v>893</v>
      </c>
      <c r="H119" s="6">
        <v>10</v>
      </c>
      <c r="I119" s="6">
        <v>91808</v>
      </c>
      <c r="J119" s="6">
        <v>91296</v>
      </c>
      <c r="K119" s="6">
        <v>182</v>
      </c>
      <c r="L119" s="6" t="s">
        <v>43</v>
      </c>
      <c r="M119" s="6"/>
      <c r="N119" s="14">
        <f>(Posts11[[#This Row],[Likes]]+Posts11[[#This Row],[Shares]]+Posts11[[#This Row],[Comments]])/Posts11[[#This Row],[Impressions]]</f>
        <v>6.2467323109097243E-2</v>
      </c>
    </row>
    <row r="120" spans="1:14">
      <c r="A120" s="9" t="s">
        <v>180</v>
      </c>
      <c r="B120" s="5" t="s">
        <v>35</v>
      </c>
      <c r="C120" s="10">
        <v>45741</v>
      </c>
      <c r="D120" s="5" t="s">
        <v>75</v>
      </c>
      <c r="E120" s="5" t="s">
        <v>114</v>
      </c>
      <c r="F120" s="5">
        <v>4050</v>
      </c>
      <c r="G120" s="5">
        <v>871</v>
      </c>
      <c r="H120" s="5">
        <v>347</v>
      </c>
      <c r="I120" s="5">
        <v>52650</v>
      </c>
      <c r="J120" s="5">
        <v>51755</v>
      </c>
      <c r="K120" s="5">
        <v>209</v>
      </c>
      <c r="L120" s="5" t="s">
        <v>43</v>
      </c>
      <c r="M120" s="5" t="s">
        <v>11</v>
      </c>
      <c r="N120" s="13">
        <f>(Posts11[[#This Row],[Likes]]+Posts11[[#This Row],[Shares]]+Posts11[[#This Row],[Comments]])/Posts11[[#This Row],[Impressions]]</f>
        <v>0.10005698005698006</v>
      </c>
    </row>
    <row r="121" spans="1:14">
      <c r="A121" s="11" t="s">
        <v>181</v>
      </c>
      <c r="B121" s="6" t="s">
        <v>35</v>
      </c>
      <c r="C121" s="12">
        <v>45512</v>
      </c>
      <c r="D121" s="6" t="s">
        <v>50</v>
      </c>
      <c r="E121" s="6" t="s">
        <v>117</v>
      </c>
      <c r="F121" s="6">
        <v>3649</v>
      </c>
      <c r="G121" s="6">
        <v>215</v>
      </c>
      <c r="H121" s="6">
        <v>413</v>
      </c>
      <c r="I121" s="6">
        <v>25543</v>
      </c>
      <c r="J121" s="6">
        <v>24963</v>
      </c>
      <c r="K121" s="6">
        <v>167</v>
      </c>
      <c r="L121" s="6" t="s">
        <v>38</v>
      </c>
      <c r="M121" s="6" t="s">
        <v>15</v>
      </c>
      <c r="N121" s="14">
        <f>(Posts11[[#This Row],[Likes]]+Posts11[[#This Row],[Shares]]+Posts11[[#This Row],[Comments]])/Posts11[[#This Row],[Impressions]]</f>
        <v>0.16744313510550835</v>
      </c>
    </row>
    <row r="122" spans="1:14">
      <c r="A122" s="9" t="s">
        <v>182</v>
      </c>
      <c r="B122" s="5" t="s">
        <v>49</v>
      </c>
      <c r="C122" s="10">
        <v>45502</v>
      </c>
      <c r="D122" s="5" t="s">
        <v>36</v>
      </c>
      <c r="E122" s="5" t="s">
        <v>80</v>
      </c>
      <c r="F122" s="5">
        <v>3523</v>
      </c>
      <c r="G122" s="5">
        <v>753</v>
      </c>
      <c r="H122" s="5">
        <v>482</v>
      </c>
      <c r="I122" s="5">
        <v>38753</v>
      </c>
      <c r="J122" s="5">
        <v>38579</v>
      </c>
      <c r="K122" s="5">
        <v>270</v>
      </c>
      <c r="L122" s="5" t="s">
        <v>52</v>
      </c>
      <c r="M122" s="5" t="s">
        <v>11</v>
      </c>
      <c r="N122" s="13">
        <f>(Posts11[[#This Row],[Likes]]+Posts11[[#This Row],[Shares]]+Posts11[[#This Row],[Comments]])/Posts11[[#This Row],[Impressions]]</f>
        <v>0.12277759141227776</v>
      </c>
    </row>
    <row r="123" spans="1:14">
      <c r="A123" s="11" t="s">
        <v>183</v>
      </c>
      <c r="B123" s="6" t="s">
        <v>46</v>
      </c>
      <c r="C123" s="12">
        <v>45619</v>
      </c>
      <c r="D123" s="6" t="s">
        <v>61</v>
      </c>
      <c r="E123" s="6" t="s">
        <v>62</v>
      </c>
      <c r="F123" s="6">
        <v>2719</v>
      </c>
      <c r="G123" s="6">
        <v>17</v>
      </c>
      <c r="H123" s="6">
        <v>285</v>
      </c>
      <c r="I123" s="6">
        <v>40785</v>
      </c>
      <c r="J123" s="6">
        <v>40281</v>
      </c>
      <c r="K123" s="6">
        <v>40</v>
      </c>
      <c r="L123" s="6" t="s">
        <v>43</v>
      </c>
      <c r="M123" s="6" t="s">
        <v>11</v>
      </c>
      <c r="N123" s="14">
        <f>(Posts11[[#This Row],[Likes]]+Posts11[[#This Row],[Shares]]+Posts11[[#This Row],[Comments]])/Posts11[[#This Row],[Impressions]]</f>
        <v>7.4071349760941527E-2</v>
      </c>
    </row>
    <row r="124" spans="1:14">
      <c r="A124" s="9" t="s">
        <v>184</v>
      </c>
      <c r="B124" s="5" t="s">
        <v>35</v>
      </c>
      <c r="C124" s="10">
        <v>45570</v>
      </c>
      <c r="D124" s="5" t="s">
        <v>50</v>
      </c>
      <c r="E124" s="5" t="s">
        <v>117</v>
      </c>
      <c r="F124" s="5">
        <v>1957</v>
      </c>
      <c r="G124" s="5">
        <v>877</v>
      </c>
      <c r="H124" s="5">
        <v>238</v>
      </c>
      <c r="I124" s="5">
        <v>17613</v>
      </c>
      <c r="J124" s="5">
        <v>16865</v>
      </c>
      <c r="K124" s="5">
        <v>297</v>
      </c>
      <c r="L124" s="5" t="s">
        <v>38</v>
      </c>
      <c r="M124" s="5" t="s">
        <v>15</v>
      </c>
      <c r="N124" s="13">
        <f>(Posts11[[#This Row],[Likes]]+Posts11[[#This Row],[Shares]]+Posts11[[#This Row],[Comments]])/Posts11[[#This Row],[Impressions]]</f>
        <v>0.17441662408448305</v>
      </c>
    </row>
    <row r="125" spans="1:14">
      <c r="A125" s="11" t="s">
        <v>185</v>
      </c>
      <c r="B125" s="6" t="s">
        <v>35</v>
      </c>
      <c r="C125" s="12">
        <v>45567</v>
      </c>
      <c r="D125" s="6" t="s">
        <v>56</v>
      </c>
      <c r="E125" s="6" t="s">
        <v>59</v>
      </c>
      <c r="F125" s="6">
        <v>4419</v>
      </c>
      <c r="G125" s="6">
        <v>236</v>
      </c>
      <c r="H125" s="6">
        <v>369</v>
      </c>
      <c r="I125" s="6">
        <v>44190</v>
      </c>
      <c r="J125" s="6">
        <v>43582</v>
      </c>
      <c r="K125" s="6">
        <v>10</v>
      </c>
      <c r="L125" s="6" t="s">
        <v>52</v>
      </c>
      <c r="M125" s="6" t="s">
        <v>7</v>
      </c>
      <c r="N125" s="14">
        <f>(Posts11[[#This Row],[Likes]]+Posts11[[#This Row],[Shares]]+Posts11[[#This Row],[Comments]])/Posts11[[#This Row],[Impressions]]</f>
        <v>0.11369088028965829</v>
      </c>
    </row>
    <row r="126" spans="1:14">
      <c r="A126" s="9" t="s">
        <v>186</v>
      </c>
      <c r="B126" s="5" t="s">
        <v>35</v>
      </c>
      <c r="C126" s="10">
        <v>45610</v>
      </c>
      <c r="D126" s="5" t="s">
        <v>50</v>
      </c>
      <c r="E126" s="5" t="s">
        <v>117</v>
      </c>
      <c r="F126" s="5">
        <v>4000</v>
      </c>
      <c r="G126" s="5">
        <v>689</v>
      </c>
      <c r="H126" s="5">
        <v>488</v>
      </c>
      <c r="I126" s="5">
        <v>40000</v>
      </c>
      <c r="J126" s="5">
        <v>39569</v>
      </c>
      <c r="K126" s="5">
        <v>44</v>
      </c>
      <c r="L126" s="5" t="s">
        <v>38</v>
      </c>
      <c r="M126" s="5" t="s">
        <v>7</v>
      </c>
      <c r="N126" s="13">
        <f>(Posts11[[#This Row],[Likes]]+Posts11[[#This Row],[Shares]]+Posts11[[#This Row],[Comments]])/Posts11[[#This Row],[Impressions]]</f>
        <v>0.12942500000000001</v>
      </c>
    </row>
    <row r="127" spans="1:14">
      <c r="A127" s="11" t="s">
        <v>187</v>
      </c>
      <c r="B127" s="6" t="s">
        <v>35</v>
      </c>
      <c r="C127" s="12">
        <v>45788</v>
      </c>
      <c r="D127" s="6" t="s">
        <v>61</v>
      </c>
      <c r="E127" s="6" t="s">
        <v>107</v>
      </c>
      <c r="F127" s="6">
        <v>2493</v>
      </c>
      <c r="G127" s="6">
        <v>97</v>
      </c>
      <c r="H127" s="6">
        <v>44</v>
      </c>
      <c r="I127" s="6">
        <v>42381</v>
      </c>
      <c r="J127" s="6">
        <v>41991</v>
      </c>
      <c r="K127" s="6">
        <v>242</v>
      </c>
      <c r="L127" s="6" t="s">
        <v>43</v>
      </c>
      <c r="M127" s="6" t="s">
        <v>19</v>
      </c>
      <c r="N127" s="14">
        <f>(Posts11[[#This Row],[Likes]]+Posts11[[#This Row],[Shares]]+Posts11[[#This Row],[Comments]])/Posts11[[#This Row],[Impressions]]</f>
        <v>6.2150491965739366E-2</v>
      </c>
    </row>
    <row r="128" spans="1:14">
      <c r="A128" s="9" t="s">
        <v>187</v>
      </c>
      <c r="B128" s="5" t="s">
        <v>35</v>
      </c>
      <c r="C128" s="10">
        <v>45788</v>
      </c>
      <c r="D128" s="5" t="s">
        <v>61</v>
      </c>
      <c r="E128" s="5" t="s">
        <v>107</v>
      </c>
      <c r="F128" s="5">
        <v>2493</v>
      </c>
      <c r="G128" s="5">
        <v>97</v>
      </c>
      <c r="H128" s="5">
        <v>44</v>
      </c>
      <c r="I128" s="5">
        <v>42381</v>
      </c>
      <c r="J128" s="5">
        <v>41991</v>
      </c>
      <c r="K128" s="5">
        <v>242</v>
      </c>
      <c r="L128" s="5" t="s">
        <v>39</v>
      </c>
      <c r="M128" s="5" t="s">
        <v>19</v>
      </c>
      <c r="N128" s="13">
        <f>(Posts11[[#This Row],[Likes]]+Posts11[[#This Row],[Shares]]+Posts11[[#This Row],[Comments]])/Posts11[[#This Row],[Impressions]]</f>
        <v>6.2150491965739366E-2</v>
      </c>
    </row>
    <row r="129" spans="1:14">
      <c r="A129" s="11" t="s">
        <v>188</v>
      </c>
      <c r="B129" s="6" t="s">
        <v>46</v>
      </c>
      <c r="C129" s="12">
        <v>45734</v>
      </c>
      <c r="D129" s="6" t="s">
        <v>36</v>
      </c>
      <c r="E129" s="6" t="s">
        <v>47</v>
      </c>
      <c r="F129" s="6">
        <v>3704</v>
      </c>
      <c r="G129" s="6">
        <v>186</v>
      </c>
      <c r="H129" s="6">
        <v>458</v>
      </c>
      <c r="I129" s="6">
        <v>25928</v>
      </c>
      <c r="J129" s="6">
        <v>25081</v>
      </c>
      <c r="K129" s="6">
        <v>131</v>
      </c>
      <c r="L129" s="6" t="s">
        <v>43</v>
      </c>
      <c r="M129" s="6"/>
      <c r="N129" s="14">
        <f>(Posts11[[#This Row],[Likes]]+Posts11[[#This Row],[Shares]]+Posts11[[#This Row],[Comments]])/Posts11[[#This Row],[Impressions]]</f>
        <v>0.16769515581610614</v>
      </c>
    </row>
    <row r="130" spans="1:14">
      <c r="A130" s="9" t="s">
        <v>189</v>
      </c>
      <c r="B130" s="5" t="s">
        <v>35</v>
      </c>
      <c r="C130" s="10">
        <v>45600</v>
      </c>
      <c r="D130" s="5" t="s">
        <v>61</v>
      </c>
      <c r="E130" s="5" t="s">
        <v>107</v>
      </c>
      <c r="F130" s="5">
        <v>1606</v>
      </c>
      <c r="G130" s="5">
        <v>451</v>
      </c>
      <c r="H130" s="5">
        <v>405</v>
      </c>
      <c r="I130" s="5">
        <v>20878</v>
      </c>
      <c r="J130" s="5">
        <v>20190</v>
      </c>
      <c r="K130" s="5">
        <v>219</v>
      </c>
      <c r="L130" s="5" t="s">
        <v>52</v>
      </c>
      <c r="M130" s="5" t="s">
        <v>19</v>
      </c>
      <c r="N130" s="13">
        <f>(Posts11[[#This Row],[Likes]]+Posts11[[#This Row],[Shares]]+Posts11[[#This Row],[Comments]])/Posts11[[#This Row],[Impressions]]</f>
        <v>0.11792317271769326</v>
      </c>
    </row>
    <row r="131" spans="1:14">
      <c r="A131" s="11" t="s">
        <v>190</v>
      </c>
      <c r="B131" s="6" t="s">
        <v>55</v>
      </c>
      <c r="C131" s="12">
        <v>45600</v>
      </c>
      <c r="D131" s="6" t="s">
        <v>61</v>
      </c>
      <c r="E131" s="6" t="s">
        <v>66</v>
      </c>
      <c r="F131" s="6">
        <v>4551</v>
      </c>
      <c r="G131" s="6">
        <v>714</v>
      </c>
      <c r="H131" s="6">
        <v>207</v>
      </c>
      <c r="I131" s="6">
        <v>68265</v>
      </c>
      <c r="J131" s="6">
        <v>67754</v>
      </c>
      <c r="K131" s="6">
        <v>57</v>
      </c>
      <c r="L131" s="6" t="s">
        <v>38</v>
      </c>
      <c r="M131" s="6" t="s">
        <v>15</v>
      </c>
      <c r="N131" s="14">
        <f>(Posts11[[#This Row],[Likes]]+Posts11[[#This Row],[Shares]]+Posts11[[#This Row],[Comments]])/Posts11[[#This Row],[Impressions]]</f>
        <v>8.0158206987475278E-2</v>
      </c>
    </row>
    <row r="132" spans="1:14">
      <c r="A132" s="9" t="s">
        <v>191</v>
      </c>
      <c r="B132" s="5" t="s">
        <v>49</v>
      </c>
      <c r="C132" s="10">
        <v>45695</v>
      </c>
      <c r="D132" s="5" t="s">
        <v>36</v>
      </c>
      <c r="E132" s="5" t="s">
        <v>80</v>
      </c>
      <c r="F132" s="5">
        <v>1970</v>
      </c>
      <c r="G132" s="5">
        <v>675</v>
      </c>
      <c r="H132" s="5">
        <v>478</v>
      </c>
      <c r="I132" s="5">
        <v>9850</v>
      </c>
      <c r="J132" s="5">
        <v>8924</v>
      </c>
      <c r="K132" s="5">
        <v>117</v>
      </c>
      <c r="L132" s="5" t="s">
        <v>38</v>
      </c>
      <c r="M132" s="5"/>
      <c r="N132" s="13">
        <f>(Posts11[[#This Row],[Likes]]+Posts11[[#This Row],[Shares]]+Posts11[[#This Row],[Comments]])/Posts11[[#This Row],[Impressions]]</f>
        <v>0.31705583756345179</v>
      </c>
    </row>
    <row r="133" spans="1:14">
      <c r="A133" s="11" t="s">
        <v>192</v>
      </c>
      <c r="B133" s="6" t="s">
        <v>55</v>
      </c>
      <c r="C133" s="12">
        <v>45586</v>
      </c>
      <c r="D133" s="6" t="s">
        <v>50</v>
      </c>
      <c r="E133" s="6" t="s">
        <v>73</v>
      </c>
      <c r="F133" s="6">
        <v>780</v>
      </c>
      <c r="G133" s="6">
        <v>928</v>
      </c>
      <c r="H133" s="6">
        <v>301</v>
      </c>
      <c r="I133" s="6">
        <v>8580</v>
      </c>
      <c r="J133" s="6">
        <v>8081</v>
      </c>
      <c r="K133" s="6">
        <v>91</v>
      </c>
      <c r="L133" s="6" t="s">
        <v>52</v>
      </c>
      <c r="M133" s="6" t="s">
        <v>15</v>
      </c>
      <c r="N133" s="14">
        <f>(Posts11[[#This Row],[Likes]]+Posts11[[#This Row],[Shares]]+Posts11[[#This Row],[Comments]])/Posts11[[#This Row],[Impressions]]</f>
        <v>0.23414918414918415</v>
      </c>
    </row>
    <row r="134" spans="1:14">
      <c r="A134" s="9" t="s">
        <v>193</v>
      </c>
      <c r="B134" s="5" t="s">
        <v>49</v>
      </c>
      <c r="C134" s="10">
        <v>45502</v>
      </c>
      <c r="D134" s="5" t="s">
        <v>50</v>
      </c>
      <c r="E134" s="5" t="s">
        <v>51</v>
      </c>
      <c r="F134" s="5">
        <v>498</v>
      </c>
      <c r="G134" s="5">
        <v>701</v>
      </c>
      <c r="H134" s="5">
        <v>412</v>
      </c>
      <c r="I134" s="5">
        <v>4980</v>
      </c>
      <c r="J134" s="5">
        <v>4185</v>
      </c>
      <c r="K134" s="5">
        <v>185</v>
      </c>
      <c r="L134" s="5" t="s">
        <v>38</v>
      </c>
      <c r="M134" s="5"/>
      <c r="N134" s="13">
        <f>(Posts11[[#This Row],[Likes]]+Posts11[[#This Row],[Shares]]+Posts11[[#This Row],[Comments]])/Posts11[[#This Row],[Impressions]]</f>
        <v>0.32349397590361445</v>
      </c>
    </row>
    <row r="135" spans="1:14">
      <c r="A135" s="11" t="s">
        <v>194</v>
      </c>
      <c r="B135" s="6" t="s">
        <v>49</v>
      </c>
      <c r="C135" s="12">
        <v>45567</v>
      </c>
      <c r="D135" s="6" t="s">
        <v>41</v>
      </c>
      <c r="E135" s="6" t="s">
        <v>97</v>
      </c>
      <c r="F135" s="6">
        <v>3432</v>
      </c>
      <c r="G135" s="6">
        <v>869</v>
      </c>
      <c r="H135" s="6">
        <v>123</v>
      </c>
      <c r="I135" s="6">
        <v>54912</v>
      </c>
      <c r="J135" s="6">
        <v>53916</v>
      </c>
      <c r="K135" s="6">
        <v>264</v>
      </c>
      <c r="L135" s="6" t="s">
        <v>52</v>
      </c>
      <c r="M135" s="6" t="s">
        <v>11</v>
      </c>
      <c r="N135" s="14">
        <f>(Posts11[[#This Row],[Likes]]+Posts11[[#This Row],[Shares]]+Posts11[[#This Row],[Comments]])/Posts11[[#This Row],[Impressions]]</f>
        <v>8.0565268065268064E-2</v>
      </c>
    </row>
    <row r="136" spans="1:14">
      <c r="A136" s="9" t="s">
        <v>195</v>
      </c>
      <c r="B136" s="5" t="s">
        <v>49</v>
      </c>
      <c r="C136" s="10">
        <v>45457</v>
      </c>
      <c r="D136" s="5" t="s">
        <v>50</v>
      </c>
      <c r="E136" s="5" t="s">
        <v>51</v>
      </c>
      <c r="F136" s="5">
        <v>4363</v>
      </c>
      <c r="G136" s="5">
        <v>649</v>
      </c>
      <c r="H136" s="5">
        <v>140</v>
      </c>
      <c r="I136" s="5">
        <v>21815</v>
      </c>
      <c r="J136" s="5">
        <v>21481</v>
      </c>
      <c r="K136" s="5">
        <v>157</v>
      </c>
      <c r="L136" s="5" t="s">
        <v>52</v>
      </c>
      <c r="M136" s="5" t="s">
        <v>7</v>
      </c>
      <c r="N136" s="13">
        <f>(Posts11[[#This Row],[Likes]]+Posts11[[#This Row],[Shares]]+Posts11[[#This Row],[Comments]])/Posts11[[#This Row],[Impressions]]</f>
        <v>0.23616777446710979</v>
      </c>
    </row>
    <row r="137" spans="1:14">
      <c r="A137" s="11" t="s">
        <v>196</v>
      </c>
      <c r="B137" s="6" t="s">
        <v>46</v>
      </c>
      <c r="C137" s="12">
        <v>45753</v>
      </c>
      <c r="D137" s="6" t="s">
        <v>56</v>
      </c>
      <c r="E137" s="6" t="s">
        <v>71</v>
      </c>
      <c r="F137" s="6">
        <v>736</v>
      </c>
      <c r="G137" s="6">
        <v>771</v>
      </c>
      <c r="H137" s="6">
        <v>225</v>
      </c>
      <c r="I137" s="6">
        <v>5152</v>
      </c>
      <c r="J137" s="6">
        <v>4706</v>
      </c>
      <c r="K137" s="6">
        <v>19</v>
      </c>
      <c r="L137" s="6" t="s">
        <v>52</v>
      </c>
      <c r="M137" s="6" t="s">
        <v>7</v>
      </c>
      <c r="N137" s="14">
        <f>(Posts11[[#This Row],[Likes]]+Posts11[[#This Row],[Shares]]+Posts11[[#This Row],[Comments]])/Posts11[[#This Row],[Impressions]]</f>
        <v>0.33618012422360249</v>
      </c>
    </row>
    <row r="138" spans="1:14">
      <c r="A138" s="9" t="s">
        <v>197</v>
      </c>
      <c r="B138" s="5" t="s">
        <v>35</v>
      </c>
      <c r="C138" s="10">
        <v>45543</v>
      </c>
      <c r="D138" s="5" t="s">
        <v>56</v>
      </c>
      <c r="E138" s="5" t="s">
        <v>59</v>
      </c>
      <c r="F138" s="5">
        <v>3811</v>
      </c>
      <c r="G138" s="5">
        <v>866</v>
      </c>
      <c r="H138" s="5">
        <v>216</v>
      </c>
      <c r="I138" s="5">
        <v>34299</v>
      </c>
      <c r="J138" s="5">
        <v>34088</v>
      </c>
      <c r="K138" s="5">
        <v>233</v>
      </c>
      <c r="L138" s="5" t="s">
        <v>43</v>
      </c>
      <c r="M138" s="5" t="s">
        <v>19</v>
      </c>
      <c r="N138" s="13">
        <f>(Posts11[[#This Row],[Likes]]+Posts11[[#This Row],[Shares]]+Posts11[[#This Row],[Comments]])/Posts11[[#This Row],[Impressions]]</f>
        <v>0.14265722032712325</v>
      </c>
    </row>
    <row r="139" spans="1:14">
      <c r="A139" s="11" t="s">
        <v>198</v>
      </c>
      <c r="B139" s="6" t="s">
        <v>49</v>
      </c>
      <c r="C139" s="12">
        <v>45744</v>
      </c>
      <c r="D139" s="6" t="s">
        <v>56</v>
      </c>
      <c r="E139" s="6" t="s">
        <v>84</v>
      </c>
      <c r="F139" s="6">
        <v>4158</v>
      </c>
      <c r="G139" s="6">
        <v>167</v>
      </c>
      <c r="H139" s="6">
        <v>241</v>
      </c>
      <c r="I139" s="6">
        <v>45738</v>
      </c>
      <c r="J139" s="6">
        <v>45183</v>
      </c>
      <c r="K139" s="6">
        <v>142</v>
      </c>
      <c r="L139" s="6" t="s">
        <v>38</v>
      </c>
      <c r="M139" s="6"/>
      <c r="N139" s="14">
        <f>(Posts11[[#This Row],[Likes]]+Posts11[[#This Row],[Shares]]+Posts11[[#This Row],[Comments]])/Posts11[[#This Row],[Impressions]]</f>
        <v>9.9829463465827106E-2</v>
      </c>
    </row>
    <row r="140" spans="1:14">
      <c r="A140" s="9" t="s">
        <v>199</v>
      </c>
      <c r="B140" s="5" t="s">
        <v>55</v>
      </c>
      <c r="C140" s="10">
        <v>45684</v>
      </c>
      <c r="D140" s="5" t="s">
        <v>36</v>
      </c>
      <c r="E140" s="5" t="s">
        <v>69</v>
      </c>
      <c r="F140" s="5">
        <v>3452</v>
      </c>
      <c r="G140" s="5">
        <v>652</v>
      </c>
      <c r="H140" s="5">
        <v>442</v>
      </c>
      <c r="I140" s="5">
        <v>65588</v>
      </c>
      <c r="J140" s="5">
        <v>65049</v>
      </c>
      <c r="K140" s="5">
        <v>158</v>
      </c>
      <c r="L140" s="5" t="s">
        <v>38</v>
      </c>
      <c r="M140" s="5" t="s">
        <v>15</v>
      </c>
      <c r="N140" s="13">
        <f>(Posts11[[#This Row],[Likes]]+Posts11[[#This Row],[Shares]]+Posts11[[#This Row],[Comments]])/Posts11[[#This Row],[Impressions]]</f>
        <v>6.9311459413307311E-2</v>
      </c>
    </row>
    <row r="141" spans="1:14">
      <c r="A141" s="11" t="s">
        <v>200</v>
      </c>
      <c r="B141" s="6" t="s">
        <v>35</v>
      </c>
      <c r="C141" s="12">
        <v>45667</v>
      </c>
      <c r="D141" s="6" t="s">
        <v>61</v>
      </c>
      <c r="E141" s="6" t="s">
        <v>107</v>
      </c>
      <c r="F141" s="6">
        <v>3092</v>
      </c>
      <c r="G141" s="6">
        <v>106</v>
      </c>
      <c r="H141" s="6">
        <v>291</v>
      </c>
      <c r="I141" s="6">
        <v>27828</v>
      </c>
      <c r="J141" s="6">
        <v>27217</v>
      </c>
      <c r="K141" s="6">
        <v>102</v>
      </c>
      <c r="L141" s="6" t="s">
        <v>38</v>
      </c>
      <c r="M141" s="6"/>
      <c r="N141" s="14">
        <f>(Posts11[[#This Row],[Likes]]+Posts11[[#This Row],[Shares]]+Posts11[[#This Row],[Comments]])/Posts11[[#This Row],[Impressions]]</f>
        <v>0.12537731780940059</v>
      </c>
    </row>
    <row r="142" spans="1:14">
      <c r="A142" s="9" t="s">
        <v>201</v>
      </c>
      <c r="B142" s="5" t="s">
        <v>35</v>
      </c>
      <c r="C142" s="10">
        <v>45494</v>
      </c>
      <c r="D142" s="5" t="s">
        <v>41</v>
      </c>
      <c r="E142" s="5" t="s">
        <v>42</v>
      </c>
      <c r="F142" s="5">
        <v>2147</v>
      </c>
      <c r="G142" s="5">
        <v>430</v>
      </c>
      <c r="H142" s="5">
        <v>393</v>
      </c>
      <c r="I142" s="5">
        <v>17176</v>
      </c>
      <c r="J142" s="5">
        <v>16483</v>
      </c>
      <c r="K142" s="5">
        <v>170</v>
      </c>
      <c r="L142" s="5" t="s">
        <v>43</v>
      </c>
      <c r="M142" s="5"/>
      <c r="N142" s="13">
        <f>(Posts11[[#This Row],[Likes]]+Posts11[[#This Row],[Shares]]+Posts11[[#This Row],[Comments]])/Posts11[[#This Row],[Impressions]]</f>
        <v>0.17291569632044715</v>
      </c>
    </row>
    <row r="143" spans="1:14">
      <c r="A143" s="11" t="s">
        <v>202</v>
      </c>
      <c r="B143" s="6" t="s">
        <v>46</v>
      </c>
      <c r="C143" s="12">
        <v>45564</v>
      </c>
      <c r="D143" s="6" t="s">
        <v>36</v>
      </c>
      <c r="E143" s="6" t="s">
        <v>47</v>
      </c>
      <c r="F143" s="6">
        <v>2936</v>
      </c>
      <c r="G143" s="6">
        <v>439</v>
      </c>
      <c r="H143" s="6">
        <v>44</v>
      </c>
      <c r="I143" s="6">
        <v>38168</v>
      </c>
      <c r="J143" s="6">
        <v>37571</v>
      </c>
      <c r="K143" s="6">
        <v>22</v>
      </c>
      <c r="L143" s="6" t="s">
        <v>52</v>
      </c>
      <c r="M143" s="6" t="s">
        <v>19</v>
      </c>
      <c r="N143" s="14">
        <f>(Posts11[[#This Row],[Likes]]+Posts11[[#This Row],[Shares]]+Posts11[[#This Row],[Comments]])/Posts11[[#This Row],[Impressions]]</f>
        <v>8.9577656675749323E-2</v>
      </c>
    </row>
    <row r="144" spans="1:14">
      <c r="A144" s="9" t="s">
        <v>203</v>
      </c>
      <c r="B144" s="5" t="s">
        <v>49</v>
      </c>
      <c r="C144" s="10">
        <v>45586</v>
      </c>
      <c r="D144" s="5" t="s">
        <v>36</v>
      </c>
      <c r="E144" s="5" t="s">
        <v>80</v>
      </c>
      <c r="F144" s="5">
        <v>4840</v>
      </c>
      <c r="G144" s="5">
        <v>658</v>
      </c>
      <c r="H144" s="5">
        <v>211</v>
      </c>
      <c r="I144" s="5">
        <v>43560</v>
      </c>
      <c r="J144" s="5">
        <v>43225</v>
      </c>
      <c r="K144" s="5">
        <v>57</v>
      </c>
      <c r="L144" s="5" t="s">
        <v>38</v>
      </c>
      <c r="M144" s="5" t="s">
        <v>15</v>
      </c>
      <c r="N144" s="13">
        <f>(Posts11[[#This Row],[Likes]]+Posts11[[#This Row],[Shares]]+Posts11[[#This Row],[Comments]])/Posts11[[#This Row],[Impressions]]</f>
        <v>0.13106060606060607</v>
      </c>
    </row>
    <row r="145" spans="1:14">
      <c r="A145" s="11" t="s">
        <v>204</v>
      </c>
      <c r="B145" s="6" t="s">
        <v>49</v>
      </c>
      <c r="C145" s="12">
        <v>45720</v>
      </c>
      <c r="D145" s="6" t="s">
        <v>50</v>
      </c>
      <c r="E145" s="6" t="s">
        <v>51</v>
      </c>
      <c r="F145" s="6">
        <v>1947</v>
      </c>
      <c r="G145" s="6">
        <v>842</v>
      </c>
      <c r="H145" s="6">
        <v>101</v>
      </c>
      <c r="I145" s="6">
        <v>21417</v>
      </c>
      <c r="J145" s="6">
        <v>20967</v>
      </c>
      <c r="K145" s="6">
        <v>186</v>
      </c>
      <c r="L145" s="6" t="s">
        <v>38</v>
      </c>
      <c r="M145" s="6" t="s">
        <v>11</v>
      </c>
      <c r="N145" s="14">
        <f>(Posts11[[#This Row],[Likes]]+Posts11[[#This Row],[Shares]]+Posts11[[#This Row],[Comments]])/Posts11[[#This Row],[Impressions]]</f>
        <v>0.13493953401503478</v>
      </c>
    </row>
    <row r="146" spans="1:14">
      <c r="A146" s="9" t="s">
        <v>205</v>
      </c>
      <c r="B146" s="5" t="s">
        <v>55</v>
      </c>
      <c r="C146" s="10">
        <v>45694</v>
      </c>
      <c r="D146" s="5" t="s">
        <v>61</v>
      </c>
      <c r="E146" s="5" t="s">
        <v>66</v>
      </c>
      <c r="F146" s="5">
        <v>2072</v>
      </c>
      <c r="G146" s="5">
        <v>532</v>
      </c>
      <c r="H146" s="5">
        <v>71</v>
      </c>
      <c r="I146" s="5">
        <v>37296</v>
      </c>
      <c r="J146" s="5">
        <v>36467</v>
      </c>
      <c r="K146" s="5">
        <v>25</v>
      </c>
      <c r="L146" s="5" t="s">
        <v>43</v>
      </c>
      <c r="M146" s="5" t="s">
        <v>19</v>
      </c>
      <c r="N146" s="13">
        <f>(Posts11[[#This Row],[Likes]]+Posts11[[#This Row],[Shares]]+Posts11[[#This Row],[Comments]])/Posts11[[#This Row],[Impressions]]</f>
        <v>7.172350922350923E-2</v>
      </c>
    </row>
    <row r="147" spans="1:14">
      <c r="A147" s="11" t="s">
        <v>206</v>
      </c>
      <c r="B147" s="6" t="s">
        <v>35</v>
      </c>
      <c r="C147" s="12">
        <v>45771</v>
      </c>
      <c r="D147" s="6" t="s">
        <v>36</v>
      </c>
      <c r="E147" s="6" t="s">
        <v>37</v>
      </c>
      <c r="F147" s="6">
        <v>3731</v>
      </c>
      <c r="G147" s="6">
        <v>115</v>
      </c>
      <c r="H147" s="6">
        <v>135</v>
      </c>
      <c r="I147" s="6">
        <v>55965</v>
      </c>
      <c r="J147" s="6">
        <v>55436</v>
      </c>
      <c r="K147" s="6">
        <v>103</v>
      </c>
      <c r="L147" s="6" t="s">
        <v>43</v>
      </c>
      <c r="M147" s="6" t="s">
        <v>7</v>
      </c>
      <c r="N147" s="14">
        <f>(Posts11[[#This Row],[Likes]]+Posts11[[#This Row],[Shares]]+Posts11[[#This Row],[Comments]])/Posts11[[#This Row],[Impressions]]</f>
        <v>7.1133744304476013E-2</v>
      </c>
    </row>
    <row r="148" spans="1:14">
      <c r="A148" s="9" t="s">
        <v>207</v>
      </c>
      <c r="B148" s="5" t="s">
        <v>55</v>
      </c>
      <c r="C148" s="10">
        <v>45624</v>
      </c>
      <c r="D148" s="5" t="s">
        <v>41</v>
      </c>
      <c r="E148" s="5" t="s">
        <v>64</v>
      </c>
      <c r="F148" s="5">
        <v>4213</v>
      </c>
      <c r="G148" s="5">
        <v>253</v>
      </c>
      <c r="H148" s="5">
        <v>434</v>
      </c>
      <c r="I148" s="5">
        <v>75834</v>
      </c>
      <c r="J148" s="5">
        <v>75437</v>
      </c>
      <c r="K148" s="5">
        <v>272</v>
      </c>
      <c r="L148" s="5" t="s">
        <v>38</v>
      </c>
      <c r="M148" s="5" t="s">
        <v>19</v>
      </c>
      <c r="N148" s="13">
        <f>(Posts11[[#This Row],[Likes]]+Posts11[[#This Row],[Shares]]+Posts11[[#This Row],[Comments]])/Posts11[[#This Row],[Impressions]]</f>
        <v>6.461481657304112E-2</v>
      </c>
    </row>
    <row r="149" spans="1:14">
      <c r="A149" s="11" t="s">
        <v>208</v>
      </c>
      <c r="B149" s="6" t="s">
        <v>49</v>
      </c>
      <c r="C149" s="12">
        <v>45484</v>
      </c>
      <c r="D149" s="6" t="s">
        <v>41</v>
      </c>
      <c r="E149" s="6" t="s">
        <v>97</v>
      </c>
      <c r="F149" s="6">
        <v>3134</v>
      </c>
      <c r="G149" s="6">
        <v>888</v>
      </c>
      <c r="H149" s="6">
        <v>444</v>
      </c>
      <c r="I149" s="6">
        <v>21938</v>
      </c>
      <c r="J149" s="6">
        <v>21337</v>
      </c>
      <c r="K149" s="6">
        <v>130</v>
      </c>
      <c r="L149" s="6" t="s">
        <v>52</v>
      </c>
      <c r="M149" s="6" t="s">
        <v>19</v>
      </c>
      <c r="N149" s="14">
        <f>(Posts11[[#This Row],[Likes]]+Posts11[[#This Row],[Shares]]+Posts11[[#This Row],[Comments]])/Posts11[[#This Row],[Impressions]]</f>
        <v>0.20357370772176134</v>
      </c>
    </row>
    <row r="150" spans="1:14">
      <c r="A150" s="9" t="s">
        <v>209</v>
      </c>
      <c r="B150" s="5" t="s">
        <v>55</v>
      </c>
      <c r="C150" s="10">
        <v>45504</v>
      </c>
      <c r="D150" s="5" t="s">
        <v>75</v>
      </c>
      <c r="E150" s="5" t="s">
        <v>76</v>
      </c>
      <c r="F150" s="5">
        <v>3008</v>
      </c>
      <c r="G150" s="5">
        <v>94</v>
      </c>
      <c r="H150" s="5">
        <v>37</v>
      </c>
      <c r="I150" s="5">
        <v>15040</v>
      </c>
      <c r="J150" s="5">
        <v>14639</v>
      </c>
      <c r="K150" s="5">
        <v>277</v>
      </c>
      <c r="L150" s="5" t="s">
        <v>38</v>
      </c>
      <c r="M150" s="5"/>
      <c r="N150" s="13">
        <f>(Posts11[[#This Row],[Likes]]+Posts11[[#This Row],[Shares]]+Posts11[[#This Row],[Comments]])/Posts11[[#This Row],[Impressions]]</f>
        <v>0.20871010638297871</v>
      </c>
    </row>
    <row r="151" spans="1:14">
      <c r="A151" s="11" t="s">
        <v>210</v>
      </c>
      <c r="B151" s="6" t="s">
        <v>35</v>
      </c>
      <c r="C151" s="12">
        <v>45745</v>
      </c>
      <c r="D151" s="6" t="s">
        <v>61</v>
      </c>
      <c r="E151" s="6" t="s">
        <v>107</v>
      </c>
      <c r="F151" s="6">
        <v>305</v>
      </c>
      <c r="G151" s="6">
        <v>187</v>
      </c>
      <c r="H151" s="6">
        <v>243</v>
      </c>
      <c r="I151" s="6">
        <v>4575</v>
      </c>
      <c r="J151" s="6">
        <v>3704</v>
      </c>
      <c r="K151" s="6">
        <v>234</v>
      </c>
      <c r="L151" s="6" t="s">
        <v>38</v>
      </c>
      <c r="M151" s="6" t="s">
        <v>15</v>
      </c>
      <c r="N151" s="14">
        <f>(Posts11[[#This Row],[Likes]]+Posts11[[#This Row],[Shares]]+Posts11[[#This Row],[Comments]])/Posts11[[#This Row],[Impressions]]</f>
        <v>0.16065573770491803</v>
      </c>
    </row>
    <row r="152" spans="1:14">
      <c r="A152" s="9" t="s">
        <v>211</v>
      </c>
      <c r="B152" s="5" t="s">
        <v>46</v>
      </c>
      <c r="C152" s="10">
        <v>45594</v>
      </c>
      <c r="D152" s="5" t="s">
        <v>41</v>
      </c>
      <c r="E152" s="5" t="s">
        <v>92</v>
      </c>
      <c r="F152" s="5">
        <v>2746</v>
      </c>
      <c r="G152" s="5">
        <v>156</v>
      </c>
      <c r="H152" s="5">
        <v>203</v>
      </c>
      <c r="I152" s="5">
        <v>32952</v>
      </c>
      <c r="J152" s="5">
        <v>32147</v>
      </c>
      <c r="K152" s="5">
        <v>147</v>
      </c>
      <c r="L152" s="5" t="s">
        <v>52</v>
      </c>
      <c r="M152" s="5" t="s">
        <v>7</v>
      </c>
      <c r="N152" s="13">
        <f>(Posts11[[#This Row],[Likes]]+Posts11[[#This Row],[Shares]]+Posts11[[#This Row],[Comments]])/Posts11[[#This Row],[Impressions]]</f>
        <v>9.422796795338674E-2</v>
      </c>
    </row>
    <row r="153" spans="1:14">
      <c r="A153" s="11" t="s">
        <v>212</v>
      </c>
      <c r="B153" s="6" t="s">
        <v>55</v>
      </c>
      <c r="C153" s="12">
        <v>45488</v>
      </c>
      <c r="D153" s="6" t="s">
        <v>61</v>
      </c>
      <c r="E153" s="6" t="s">
        <v>66</v>
      </c>
      <c r="F153" s="6">
        <v>2291</v>
      </c>
      <c r="G153" s="6">
        <v>78</v>
      </c>
      <c r="H153" s="6">
        <v>485</v>
      </c>
      <c r="I153" s="6">
        <v>18328</v>
      </c>
      <c r="J153" s="6">
        <v>18101</v>
      </c>
      <c r="K153" s="6">
        <v>10</v>
      </c>
      <c r="L153" s="6" t="s">
        <v>52</v>
      </c>
      <c r="M153" s="6" t="s">
        <v>11</v>
      </c>
      <c r="N153" s="14">
        <f>(Posts11[[#This Row],[Likes]]+Posts11[[#This Row],[Shares]]+Posts11[[#This Row],[Comments]])/Posts11[[#This Row],[Impressions]]</f>
        <v>0.15571802706241816</v>
      </c>
    </row>
    <row r="154" spans="1:14">
      <c r="A154" s="9" t="s">
        <v>212</v>
      </c>
      <c r="B154" s="5" t="s">
        <v>55</v>
      </c>
      <c r="C154" s="10">
        <v>45488</v>
      </c>
      <c r="D154" s="5" t="s">
        <v>61</v>
      </c>
      <c r="E154" s="5" t="s">
        <v>66</v>
      </c>
      <c r="F154" s="5">
        <v>2291</v>
      </c>
      <c r="G154" s="5">
        <v>78</v>
      </c>
      <c r="H154" s="5">
        <v>485</v>
      </c>
      <c r="I154" s="5">
        <v>18328</v>
      </c>
      <c r="J154" s="5">
        <v>18101</v>
      </c>
      <c r="K154" s="5">
        <v>10</v>
      </c>
      <c r="L154" s="5" t="s">
        <v>18</v>
      </c>
      <c r="M154" s="5" t="s">
        <v>11</v>
      </c>
      <c r="N154" s="13">
        <f>(Posts11[[#This Row],[Likes]]+Posts11[[#This Row],[Shares]]+Posts11[[#This Row],[Comments]])/Posts11[[#This Row],[Impressions]]</f>
        <v>0.15571802706241816</v>
      </c>
    </row>
    <row r="155" spans="1:14">
      <c r="A155" s="11" t="s">
        <v>213</v>
      </c>
      <c r="B155" s="6" t="s">
        <v>35</v>
      </c>
      <c r="C155" s="12">
        <v>45535</v>
      </c>
      <c r="D155" s="6" t="s">
        <v>61</v>
      </c>
      <c r="E155" s="6" t="s">
        <v>107</v>
      </c>
      <c r="F155" s="6">
        <v>3170</v>
      </c>
      <c r="G155" s="6">
        <v>857</v>
      </c>
      <c r="H155" s="6">
        <v>379</v>
      </c>
      <c r="I155" s="6">
        <v>19020</v>
      </c>
      <c r="J155" s="6">
        <v>18559</v>
      </c>
      <c r="K155" s="6">
        <v>240</v>
      </c>
      <c r="L155" s="6" t="s">
        <v>38</v>
      </c>
      <c r="M155" s="6"/>
      <c r="N155" s="14">
        <f>(Posts11[[#This Row],[Likes]]+Posts11[[#This Row],[Shares]]+Posts11[[#This Row],[Comments]])/Posts11[[#This Row],[Impressions]]</f>
        <v>0.2316508937960042</v>
      </c>
    </row>
    <row r="156" spans="1:14">
      <c r="A156" s="9" t="s">
        <v>214</v>
      </c>
      <c r="B156" s="5" t="s">
        <v>46</v>
      </c>
      <c r="C156" s="10">
        <v>45741</v>
      </c>
      <c r="D156" s="5" t="s">
        <v>50</v>
      </c>
      <c r="E156" s="5" t="s">
        <v>120</v>
      </c>
      <c r="F156" s="5">
        <v>2070</v>
      </c>
      <c r="G156" s="5">
        <v>275</v>
      </c>
      <c r="H156" s="5">
        <v>386</v>
      </c>
      <c r="I156" s="5">
        <v>39330</v>
      </c>
      <c r="J156" s="5">
        <v>38627</v>
      </c>
      <c r="K156" s="5">
        <v>114</v>
      </c>
      <c r="L156" s="5" t="s">
        <v>38</v>
      </c>
      <c r="M156" s="5" t="s">
        <v>19</v>
      </c>
      <c r="N156" s="13">
        <f>(Posts11[[#This Row],[Likes]]+Posts11[[#This Row],[Shares]]+Posts11[[#This Row],[Comments]])/Posts11[[#This Row],[Impressions]]</f>
        <v>6.9438087973557078E-2</v>
      </c>
    </row>
    <row r="157" spans="1:14">
      <c r="A157" s="11" t="s">
        <v>215</v>
      </c>
      <c r="B157" s="6" t="s">
        <v>46</v>
      </c>
      <c r="C157" s="12">
        <v>45567</v>
      </c>
      <c r="D157" s="6" t="s">
        <v>56</v>
      </c>
      <c r="E157" s="6" t="s">
        <v>71</v>
      </c>
      <c r="F157" s="6">
        <v>80</v>
      </c>
      <c r="G157" s="6">
        <v>362</v>
      </c>
      <c r="H157" s="6">
        <v>80</v>
      </c>
      <c r="I157" s="6">
        <v>1040</v>
      </c>
      <c r="J157" s="6">
        <v>349</v>
      </c>
      <c r="K157" s="6">
        <v>117</v>
      </c>
      <c r="L157" s="6" t="s">
        <v>43</v>
      </c>
      <c r="M157" s="6" t="s">
        <v>15</v>
      </c>
      <c r="N157" s="14">
        <f>(Posts11[[#This Row],[Likes]]+Posts11[[#This Row],[Shares]]+Posts11[[#This Row],[Comments]])/Posts11[[#This Row],[Impressions]]</f>
        <v>0.50192307692307692</v>
      </c>
    </row>
    <row r="158" spans="1:14">
      <c r="A158" s="9" t="s">
        <v>216</v>
      </c>
      <c r="B158" s="5" t="s">
        <v>46</v>
      </c>
      <c r="C158" s="10">
        <v>45593</v>
      </c>
      <c r="D158" s="5" t="s">
        <v>50</v>
      </c>
      <c r="E158" s="5" t="s">
        <v>120</v>
      </c>
      <c r="F158" s="5">
        <v>4929</v>
      </c>
      <c r="G158" s="5">
        <v>749</v>
      </c>
      <c r="H158" s="5">
        <v>452</v>
      </c>
      <c r="I158" s="5">
        <v>93651</v>
      </c>
      <c r="J158" s="5">
        <v>92810</v>
      </c>
      <c r="K158" s="5">
        <v>66</v>
      </c>
      <c r="L158" s="5" t="s">
        <v>52</v>
      </c>
      <c r="M158" s="5" t="s">
        <v>19</v>
      </c>
      <c r="N158" s="13">
        <f>(Posts11[[#This Row],[Likes]]+Posts11[[#This Row],[Shares]]+Posts11[[#This Row],[Comments]])/Posts11[[#This Row],[Impressions]]</f>
        <v>6.5455787978772245E-2</v>
      </c>
    </row>
    <row r="159" spans="1:14">
      <c r="A159" s="11" t="s">
        <v>217</v>
      </c>
      <c r="B159" s="6" t="s">
        <v>49</v>
      </c>
      <c r="C159" s="12">
        <v>45516</v>
      </c>
      <c r="D159" s="6" t="s">
        <v>56</v>
      </c>
      <c r="E159" s="6" t="s">
        <v>84</v>
      </c>
      <c r="F159" s="6">
        <v>1878</v>
      </c>
      <c r="G159" s="6">
        <v>62</v>
      </c>
      <c r="H159" s="6">
        <v>179</v>
      </c>
      <c r="I159" s="6">
        <v>37560</v>
      </c>
      <c r="J159" s="6">
        <v>36874</v>
      </c>
      <c r="K159" s="6">
        <v>142</v>
      </c>
      <c r="L159" s="6" t="s">
        <v>43</v>
      </c>
      <c r="M159" s="6" t="s">
        <v>19</v>
      </c>
      <c r="N159" s="14">
        <f>(Posts11[[#This Row],[Likes]]+Posts11[[#This Row],[Shares]]+Posts11[[#This Row],[Comments]])/Posts11[[#This Row],[Impressions]]</f>
        <v>5.6416400425985093E-2</v>
      </c>
    </row>
    <row r="160" spans="1:14">
      <c r="A160" s="9" t="s">
        <v>218</v>
      </c>
      <c r="B160" s="5" t="s">
        <v>46</v>
      </c>
      <c r="C160" s="10">
        <v>45448</v>
      </c>
      <c r="D160" s="5" t="s">
        <v>36</v>
      </c>
      <c r="E160" s="5" t="s">
        <v>47</v>
      </c>
      <c r="F160" s="5">
        <v>3065</v>
      </c>
      <c r="G160" s="5">
        <v>772</v>
      </c>
      <c r="H160" s="5">
        <v>142</v>
      </c>
      <c r="I160" s="5">
        <v>18390</v>
      </c>
      <c r="J160" s="5">
        <v>17875</v>
      </c>
      <c r="K160" s="5">
        <v>200</v>
      </c>
      <c r="L160" s="5" t="s">
        <v>52</v>
      </c>
      <c r="M160" s="5"/>
      <c r="N160" s="13">
        <f>(Posts11[[#This Row],[Likes]]+Posts11[[#This Row],[Shares]]+Posts11[[#This Row],[Comments]])/Posts11[[#This Row],[Impressions]]</f>
        <v>0.21636759108210984</v>
      </c>
    </row>
    <row r="161" spans="1:14">
      <c r="A161" s="11" t="s">
        <v>218</v>
      </c>
      <c r="B161" s="6" t="s">
        <v>46</v>
      </c>
      <c r="C161" s="12">
        <v>45448</v>
      </c>
      <c r="D161" s="6" t="s">
        <v>36</v>
      </c>
      <c r="E161" s="6" t="s">
        <v>47</v>
      </c>
      <c r="F161" s="6">
        <v>3065</v>
      </c>
      <c r="G161" s="6">
        <v>772</v>
      </c>
      <c r="H161" s="6">
        <v>142</v>
      </c>
      <c r="I161" s="6">
        <v>18390</v>
      </c>
      <c r="J161" s="6">
        <v>17875</v>
      </c>
      <c r="K161" s="6">
        <v>200</v>
      </c>
      <c r="L161" s="6" t="s">
        <v>39</v>
      </c>
      <c r="M161" s="6"/>
      <c r="N161" s="14">
        <f>(Posts11[[#This Row],[Likes]]+Posts11[[#This Row],[Shares]]+Posts11[[#This Row],[Comments]])/Posts11[[#This Row],[Impressions]]</f>
        <v>0.21636759108210984</v>
      </c>
    </row>
    <row r="162" spans="1:14">
      <c r="A162" s="9" t="s">
        <v>219</v>
      </c>
      <c r="B162" s="5" t="s">
        <v>49</v>
      </c>
      <c r="C162" s="10">
        <v>45586</v>
      </c>
      <c r="D162" s="5" t="s">
        <v>36</v>
      </c>
      <c r="E162" s="5" t="s">
        <v>80</v>
      </c>
      <c r="F162" s="5">
        <v>3256</v>
      </c>
      <c r="G162" s="5">
        <v>459</v>
      </c>
      <c r="H162" s="5">
        <v>266</v>
      </c>
      <c r="I162" s="5">
        <v>26048</v>
      </c>
      <c r="J162" s="5">
        <v>25529</v>
      </c>
      <c r="K162" s="5">
        <v>143</v>
      </c>
      <c r="L162" s="5" t="s">
        <v>43</v>
      </c>
      <c r="M162" s="5" t="s">
        <v>11</v>
      </c>
      <c r="N162" s="13">
        <f>(Posts11[[#This Row],[Likes]]+Posts11[[#This Row],[Shares]]+Posts11[[#This Row],[Comments]])/Posts11[[#This Row],[Impressions]]</f>
        <v>0.15283323095823095</v>
      </c>
    </row>
    <row r="163" spans="1:14">
      <c r="A163" s="11" t="s">
        <v>220</v>
      </c>
      <c r="B163" s="6" t="s">
        <v>49</v>
      </c>
      <c r="C163" s="12">
        <v>45762</v>
      </c>
      <c r="D163" s="6" t="s">
        <v>75</v>
      </c>
      <c r="E163" s="6" t="s">
        <v>82</v>
      </c>
      <c r="F163" s="6">
        <v>4133</v>
      </c>
      <c r="G163" s="6">
        <v>466</v>
      </c>
      <c r="H163" s="6">
        <v>327</v>
      </c>
      <c r="I163" s="6">
        <v>24798</v>
      </c>
      <c r="J163" s="6">
        <v>24620</v>
      </c>
      <c r="K163" s="6">
        <v>176</v>
      </c>
      <c r="L163" s="6" t="s">
        <v>52</v>
      </c>
      <c r="M163" s="6" t="s">
        <v>19</v>
      </c>
      <c r="N163" s="14">
        <f>(Posts11[[#This Row],[Likes]]+Posts11[[#This Row],[Shares]]+Posts11[[#This Row],[Comments]])/Posts11[[#This Row],[Impressions]]</f>
        <v>0.19864505202032423</v>
      </c>
    </row>
    <row r="164" spans="1:14">
      <c r="A164" s="9" t="s">
        <v>221</v>
      </c>
      <c r="B164" s="5" t="s">
        <v>35</v>
      </c>
      <c r="C164" s="10">
        <v>45459</v>
      </c>
      <c r="D164" s="5" t="s">
        <v>75</v>
      </c>
      <c r="E164" s="5" t="s">
        <v>114</v>
      </c>
      <c r="F164" s="5">
        <v>1702</v>
      </c>
      <c r="G164" s="5">
        <v>750</v>
      </c>
      <c r="H164" s="5">
        <v>179</v>
      </c>
      <c r="I164" s="5">
        <v>34040</v>
      </c>
      <c r="J164" s="5">
        <v>33174</v>
      </c>
      <c r="K164" s="5">
        <v>76</v>
      </c>
      <c r="L164" s="5" t="s">
        <v>52</v>
      </c>
      <c r="M164" s="5" t="s">
        <v>7</v>
      </c>
      <c r="N164" s="13">
        <f>(Posts11[[#This Row],[Likes]]+Posts11[[#This Row],[Shares]]+Posts11[[#This Row],[Comments]])/Posts11[[#This Row],[Impressions]]</f>
        <v>7.7291421856639245E-2</v>
      </c>
    </row>
    <row r="165" spans="1:14">
      <c r="A165" s="11" t="s">
        <v>222</v>
      </c>
      <c r="B165" s="6" t="s">
        <v>46</v>
      </c>
      <c r="C165" s="12">
        <v>45526</v>
      </c>
      <c r="D165" s="6" t="s">
        <v>56</v>
      </c>
      <c r="E165" s="6" t="s">
        <v>71</v>
      </c>
      <c r="F165" s="6">
        <v>4295</v>
      </c>
      <c r="G165" s="6">
        <v>853</v>
      </c>
      <c r="H165" s="6">
        <v>325</v>
      </c>
      <c r="I165" s="6">
        <v>85900</v>
      </c>
      <c r="J165" s="6">
        <v>85788</v>
      </c>
      <c r="K165" s="6">
        <v>290</v>
      </c>
      <c r="L165" s="6" t="s">
        <v>43</v>
      </c>
      <c r="M165" s="6" t="s">
        <v>19</v>
      </c>
      <c r="N165" s="14">
        <f>(Posts11[[#This Row],[Likes]]+Posts11[[#This Row],[Shares]]+Posts11[[#This Row],[Comments]])/Posts11[[#This Row],[Impressions]]</f>
        <v>6.3713620488940623E-2</v>
      </c>
    </row>
    <row r="166" spans="1:14">
      <c r="A166" s="9" t="s">
        <v>223</v>
      </c>
      <c r="B166" s="5" t="s">
        <v>49</v>
      </c>
      <c r="C166" s="10">
        <v>45499</v>
      </c>
      <c r="D166" s="5" t="s">
        <v>61</v>
      </c>
      <c r="E166" s="5" t="s">
        <v>153</v>
      </c>
      <c r="F166" s="5">
        <v>3559</v>
      </c>
      <c r="G166" s="5">
        <v>59</v>
      </c>
      <c r="H166" s="5">
        <v>289</v>
      </c>
      <c r="I166" s="5">
        <v>35590</v>
      </c>
      <c r="J166" s="5">
        <v>35105</v>
      </c>
      <c r="K166" s="5">
        <v>122</v>
      </c>
      <c r="L166" s="5" t="s">
        <v>52</v>
      </c>
      <c r="M166" s="5" t="s">
        <v>7</v>
      </c>
      <c r="N166" s="13">
        <f>(Posts11[[#This Row],[Likes]]+Posts11[[#This Row],[Shares]]+Posts11[[#This Row],[Comments]])/Posts11[[#This Row],[Impressions]]</f>
        <v>0.10977802753582468</v>
      </c>
    </row>
    <row r="167" spans="1:14">
      <c r="A167" s="11" t="s">
        <v>224</v>
      </c>
      <c r="B167" s="6" t="s">
        <v>55</v>
      </c>
      <c r="C167" s="12">
        <v>45769</v>
      </c>
      <c r="D167" s="6" t="s">
        <v>61</v>
      </c>
      <c r="E167" s="6" t="s">
        <v>66</v>
      </c>
      <c r="F167" s="6">
        <v>4804</v>
      </c>
      <c r="G167" s="6">
        <v>550</v>
      </c>
      <c r="H167" s="6">
        <v>270</v>
      </c>
      <c r="I167" s="6">
        <v>28824</v>
      </c>
      <c r="J167" s="6">
        <v>28370</v>
      </c>
      <c r="K167" s="6">
        <v>47</v>
      </c>
      <c r="L167" s="6" t="s">
        <v>52</v>
      </c>
      <c r="M167" s="6" t="s">
        <v>19</v>
      </c>
      <c r="N167" s="14">
        <f>(Posts11[[#This Row],[Likes]]+Posts11[[#This Row],[Shares]]+Posts11[[#This Row],[Comments]])/Posts11[[#This Row],[Impressions]]</f>
        <v>0.19511518179295032</v>
      </c>
    </row>
    <row r="168" spans="1:14">
      <c r="A168" s="9" t="s">
        <v>225</v>
      </c>
      <c r="B168" s="5" t="s">
        <v>35</v>
      </c>
      <c r="C168" s="10">
        <v>45658</v>
      </c>
      <c r="D168" s="5" t="s">
        <v>75</v>
      </c>
      <c r="E168" s="5" t="s">
        <v>114</v>
      </c>
      <c r="F168" s="5">
        <v>754</v>
      </c>
      <c r="G168" s="5">
        <v>197</v>
      </c>
      <c r="H168" s="5">
        <v>257</v>
      </c>
      <c r="I168" s="5">
        <v>6786</v>
      </c>
      <c r="J168" s="5">
        <v>6221</v>
      </c>
      <c r="K168" s="5">
        <v>212</v>
      </c>
      <c r="L168" s="5" t="s">
        <v>43</v>
      </c>
      <c r="M168" s="5" t="s">
        <v>15</v>
      </c>
      <c r="N168" s="13">
        <f>(Posts11[[#This Row],[Likes]]+Posts11[[#This Row],[Shares]]+Posts11[[#This Row],[Comments]])/Posts11[[#This Row],[Impressions]]</f>
        <v>0.17801355732390214</v>
      </c>
    </row>
    <row r="169" spans="1:14">
      <c r="A169" s="11" t="s">
        <v>226</v>
      </c>
      <c r="B169" s="6" t="s">
        <v>49</v>
      </c>
      <c r="C169" s="12">
        <v>45574</v>
      </c>
      <c r="D169" s="6" t="s">
        <v>56</v>
      </c>
      <c r="E169" s="6" t="s">
        <v>84</v>
      </c>
      <c r="F169" s="6">
        <v>985</v>
      </c>
      <c r="G169" s="6">
        <v>932</v>
      </c>
      <c r="H169" s="6">
        <v>287</v>
      </c>
      <c r="I169" s="6">
        <v>6895</v>
      </c>
      <c r="J169" s="6">
        <v>6757</v>
      </c>
      <c r="K169" s="6">
        <v>64</v>
      </c>
      <c r="L169" s="6" t="s">
        <v>38</v>
      </c>
      <c r="M169" s="6" t="s">
        <v>19</v>
      </c>
      <c r="N169" s="14">
        <f>(Posts11[[#This Row],[Likes]]+Posts11[[#This Row],[Shares]]+Posts11[[#This Row],[Comments]])/Posts11[[#This Row],[Impressions]]</f>
        <v>0.31965192168237855</v>
      </c>
    </row>
    <row r="170" spans="1:14">
      <c r="A170" s="9" t="s">
        <v>227</v>
      </c>
      <c r="B170" s="5" t="s">
        <v>46</v>
      </c>
      <c r="C170" s="10">
        <v>45647</v>
      </c>
      <c r="D170" s="5" t="s">
        <v>61</v>
      </c>
      <c r="E170" s="5" t="s">
        <v>62</v>
      </c>
      <c r="F170" s="5">
        <v>2283</v>
      </c>
      <c r="G170" s="5">
        <v>210</v>
      </c>
      <c r="H170" s="5">
        <v>130</v>
      </c>
      <c r="I170" s="5">
        <v>22830</v>
      </c>
      <c r="J170" s="5">
        <v>22617</v>
      </c>
      <c r="K170" s="5">
        <v>143</v>
      </c>
      <c r="L170" s="5" t="s">
        <v>38</v>
      </c>
      <c r="M170" s="5" t="s">
        <v>11</v>
      </c>
      <c r="N170" s="13">
        <f>(Posts11[[#This Row],[Likes]]+Posts11[[#This Row],[Shares]]+Posts11[[#This Row],[Comments]])/Posts11[[#This Row],[Impressions]]</f>
        <v>0.11489268506351293</v>
      </c>
    </row>
    <row r="171" spans="1:14">
      <c r="A171" s="11" t="s">
        <v>228</v>
      </c>
      <c r="B171" s="6" t="s">
        <v>55</v>
      </c>
      <c r="C171" s="12">
        <v>45587</v>
      </c>
      <c r="D171" s="6" t="s">
        <v>56</v>
      </c>
      <c r="E171" s="6" t="s">
        <v>57</v>
      </c>
      <c r="F171" s="6">
        <v>3352</v>
      </c>
      <c r="G171" s="6">
        <v>941</v>
      </c>
      <c r="H171" s="6">
        <v>482</v>
      </c>
      <c r="I171" s="6">
        <v>43576</v>
      </c>
      <c r="J171" s="6">
        <v>43338</v>
      </c>
      <c r="K171" s="6">
        <v>240</v>
      </c>
      <c r="L171" s="6" t="s">
        <v>38</v>
      </c>
      <c r="M171" s="6" t="s">
        <v>11</v>
      </c>
      <c r="N171" s="14">
        <f>(Posts11[[#This Row],[Likes]]+Posts11[[#This Row],[Shares]]+Posts11[[#This Row],[Comments]])/Posts11[[#This Row],[Impressions]]</f>
        <v>0.1095786671562328</v>
      </c>
    </row>
    <row r="172" spans="1:14">
      <c r="A172" s="9" t="s">
        <v>229</v>
      </c>
      <c r="B172" s="5" t="s">
        <v>46</v>
      </c>
      <c r="C172" s="10">
        <v>45496</v>
      </c>
      <c r="D172" s="5" t="s">
        <v>50</v>
      </c>
      <c r="E172" s="5" t="s">
        <v>120</v>
      </c>
      <c r="F172" s="5">
        <v>4775</v>
      </c>
      <c r="G172" s="5">
        <v>173</v>
      </c>
      <c r="H172" s="5">
        <v>206</v>
      </c>
      <c r="I172" s="5">
        <v>47750</v>
      </c>
      <c r="J172" s="5">
        <v>47544</v>
      </c>
      <c r="K172" s="5">
        <v>187</v>
      </c>
      <c r="L172" s="5" t="s">
        <v>38</v>
      </c>
      <c r="M172" s="5" t="s">
        <v>11</v>
      </c>
      <c r="N172" s="13">
        <f>(Posts11[[#This Row],[Likes]]+Posts11[[#This Row],[Shares]]+Posts11[[#This Row],[Comments]])/Posts11[[#This Row],[Impressions]]</f>
        <v>0.10793717277486911</v>
      </c>
    </row>
    <row r="173" spans="1:14">
      <c r="A173" s="11" t="s">
        <v>230</v>
      </c>
      <c r="B173" s="6" t="s">
        <v>49</v>
      </c>
      <c r="C173" s="12">
        <v>45515</v>
      </c>
      <c r="D173" s="6" t="s">
        <v>50</v>
      </c>
      <c r="E173" s="6" t="s">
        <v>51</v>
      </c>
      <c r="F173" s="6">
        <v>1762</v>
      </c>
      <c r="G173" s="6">
        <v>405</v>
      </c>
      <c r="H173" s="6">
        <v>423</v>
      </c>
      <c r="I173" s="6">
        <v>22906</v>
      </c>
      <c r="J173" s="6">
        <v>21925</v>
      </c>
      <c r="K173" s="6">
        <v>25</v>
      </c>
      <c r="L173" s="6" t="s">
        <v>43</v>
      </c>
      <c r="M173" s="6" t="s">
        <v>7</v>
      </c>
      <c r="N173" s="14">
        <f>(Posts11[[#This Row],[Likes]]+Posts11[[#This Row],[Shares]]+Posts11[[#This Row],[Comments]])/Posts11[[#This Row],[Impressions]]</f>
        <v>0.11307081114118571</v>
      </c>
    </row>
    <row r="174" spans="1:14">
      <c r="A174" s="9" t="s">
        <v>231</v>
      </c>
      <c r="B174" s="5" t="s">
        <v>55</v>
      </c>
      <c r="C174" s="10">
        <v>45621</v>
      </c>
      <c r="D174" s="5" t="s">
        <v>50</v>
      </c>
      <c r="E174" s="5" t="s">
        <v>73</v>
      </c>
      <c r="F174" s="5">
        <v>2120</v>
      </c>
      <c r="G174" s="5">
        <v>158</v>
      </c>
      <c r="H174" s="5">
        <v>488</v>
      </c>
      <c r="I174" s="5">
        <v>12720</v>
      </c>
      <c r="J174" s="5">
        <v>12085</v>
      </c>
      <c r="K174" s="5">
        <v>17</v>
      </c>
      <c r="L174" s="5" t="s">
        <v>38</v>
      </c>
      <c r="M174" s="5" t="s">
        <v>11</v>
      </c>
      <c r="N174" s="13">
        <f>(Posts11[[#This Row],[Likes]]+Posts11[[#This Row],[Shares]]+Posts11[[#This Row],[Comments]])/Posts11[[#This Row],[Impressions]]</f>
        <v>0.21745283018867925</v>
      </c>
    </row>
    <row r="175" spans="1:14">
      <c r="A175" s="11" t="s">
        <v>232</v>
      </c>
      <c r="B175" s="6" t="s">
        <v>35</v>
      </c>
      <c r="C175" s="12">
        <v>45528</v>
      </c>
      <c r="D175" s="6" t="s">
        <v>75</v>
      </c>
      <c r="E175" s="6" t="s">
        <v>114</v>
      </c>
      <c r="F175" s="6">
        <v>1082</v>
      </c>
      <c r="G175" s="6">
        <v>209</v>
      </c>
      <c r="H175" s="6">
        <v>484</v>
      </c>
      <c r="I175" s="6">
        <v>19476</v>
      </c>
      <c r="J175" s="6">
        <v>18654</v>
      </c>
      <c r="K175" s="6">
        <v>20</v>
      </c>
      <c r="L175" s="6" t="s">
        <v>43</v>
      </c>
      <c r="M175" s="6"/>
      <c r="N175" s="14">
        <f>(Posts11[[#This Row],[Likes]]+Posts11[[#This Row],[Shares]]+Posts11[[#This Row],[Comments]])/Posts11[[#This Row],[Impressions]]</f>
        <v>9.1137810638734856E-2</v>
      </c>
    </row>
    <row r="176" spans="1:14">
      <c r="A176" s="9" t="s">
        <v>233</v>
      </c>
      <c r="B176" s="5" t="s">
        <v>35</v>
      </c>
      <c r="C176" s="10">
        <v>45707</v>
      </c>
      <c r="D176" s="5" t="s">
        <v>41</v>
      </c>
      <c r="E176" s="5" t="s">
        <v>42</v>
      </c>
      <c r="F176" s="5">
        <v>4671</v>
      </c>
      <c r="G176" s="5">
        <v>876</v>
      </c>
      <c r="H176" s="5">
        <v>366</v>
      </c>
      <c r="I176" s="5">
        <v>51381</v>
      </c>
      <c r="J176" s="5">
        <v>50565</v>
      </c>
      <c r="K176" s="5">
        <v>245</v>
      </c>
      <c r="L176" s="5" t="s">
        <v>43</v>
      </c>
      <c r="M176" s="5" t="s">
        <v>19</v>
      </c>
      <c r="N176" s="13">
        <f>(Posts11[[#This Row],[Likes]]+Posts11[[#This Row],[Shares]]+Posts11[[#This Row],[Comments]])/Posts11[[#This Row],[Impressions]]</f>
        <v>0.11508145034156594</v>
      </c>
    </row>
    <row r="177" spans="1:14">
      <c r="A177" s="11" t="s">
        <v>234</v>
      </c>
      <c r="B177" s="6" t="s">
        <v>55</v>
      </c>
      <c r="C177" s="12">
        <v>45748</v>
      </c>
      <c r="D177" s="6" t="s">
        <v>50</v>
      </c>
      <c r="E177" s="6" t="s">
        <v>73</v>
      </c>
      <c r="F177" s="6">
        <v>3430</v>
      </c>
      <c r="G177" s="6">
        <v>566</v>
      </c>
      <c r="H177" s="6">
        <v>164</v>
      </c>
      <c r="I177" s="6">
        <v>48020</v>
      </c>
      <c r="J177" s="6">
        <v>47305</v>
      </c>
      <c r="K177" s="6">
        <v>120</v>
      </c>
      <c r="L177" s="6" t="s">
        <v>38</v>
      </c>
      <c r="M177" s="6"/>
      <c r="N177" s="14">
        <f>(Posts11[[#This Row],[Likes]]+Posts11[[#This Row],[Shares]]+Posts11[[#This Row],[Comments]])/Posts11[[#This Row],[Impressions]]</f>
        <v>8.6630570595585168E-2</v>
      </c>
    </row>
    <row r="178" spans="1:14">
      <c r="A178" s="9" t="s">
        <v>235</v>
      </c>
      <c r="B178" s="5" t="s">
        <v>49</v>
      </c>
      <c r="C178" s="10">
        <v>45755</v>
      </c>
      <c r="D178" s="5" t="s">
        <v>61</v>
      </c>
      <c r="E178" s="5" t="s">
        <v>153</v>
      </c>
      <c r="F178" s="5">
        <v>4501</v>
      </c>
      <c r="G178" s="5">
        <v>375</v>
      </c>
      <c r="H178" s="5">
        <v>323</v>
      </c>
      <c r="I178" s="5">
        <v>22505</v>
      </c>
      <c r="J178" s="5">
        <v>21836</v>
      </c>
      <c r="K178" s="5">
        <v>132</v>
      </c>
      <c r="L178" s="5" t="s">
        <v>43</v>
      </c>
      <c r="M178" s="5" t="s">
        <v>11</v>
      </c>
      <c r="N178" s="13">
        <f>(Posts11[[#This Row],[Likes]]+Posts11[[#This Row],[Shares]]+Posts11[[#This Row],[Comments]])/Posts11[[#This Row],[Impressions]]</f>
        <v>0.23101532992668297</v>
      </c>
    </row>
    <row r="179" spans="1:14">
      <c r="A179" s="11" t="s">
        <v>236</v>
      </c>
      <c r="B179" s="6" t="s">
        <v>46</v>
      </c>
      <c r="C179" s="12">
        <v>45715</v>
      </c>
      <c r="D179" s="6" t="s">
        <v>41</v>
      </c>
      <c r="E179" s="6" t="s">
        <v>92</v>
      </c>
      <c r="F179" s="6">
        <v>4934</v>
      </c>
      <c r="G179" s="6">
        <v>971</v>
      </c>
      <c r="H179" s="6">
        <v>156</v>
      </c>
      <c r="I179" s="6">
        <v>39472</v>
      </c>
      <c r="J179" s="6">
        <v>39025</v>
      </c>
      <c r="K179" s="6">
        <v>169</v>
      </c>
      <c r="L179" s="6" t="s">
        <v>43</v>
      </c>
      <c r="M179" s="6" t="s">
        <v>19</v>
      </c>
      <c r="N179" s="14">
        <f>(Posts11[[#This Row],[Likes]]+Posts11[[#This Row],[Shares]]+Posts11[[#This Row],[Comments]])/Posts11[[#This Row],[Impressions]]</f>
        <v>0.15355188488042157</v>
      </c>
    </row>
    <row r="180" spans="1:14">
      <c r="A180" s="9" t="s">
        <v>236</v>
      </c>
      <c r="B180" s="5" t="s">
        <v>46</v>
      </c>
      <c r="C180" s="10">
        <v>45715</v>
      </c>
      <c r="D180" s="5" t="s">
        <v>41</v>
      </c>
      <c r="E180" s="5" t="s">
        <v>92</v>
      </c>
      <c r="F180" s="5">
        <v>4934</v>
      </c>
      <c r="G180" s="5">
        <v>971</v>
      </c>
      <c r="H180" s="5">
        <v>156</v>
      </c>
      <c r="I180" s="5">
        <v>39472</v>
      </c>
      <c r="J180" s="5">
        <v>39025</v>
      </c>
      <c r="K180" s="5">
        <v>169</v>
      </c>
      <c r="L180" s="5" t="s">
        <v>39</v>
      </c>
      <c r="M180" s="5" t="s">
        <v>19</v>
      </c>
      <c r="N180" s="13">
        <f>(Posts11[[#This Row],[Likes]]+Posts11[[#This Row],[Shares]]+Posts11[[#This Row],[Comments]])/Posts11[[#This Row],[Impressions]]</f>
        <v>0.15355188488042157</v>
      </c>
    </row>
    <row r="181" spans="1:14">
      <c r="A181" s="11" t="s">
        <v>237</v>
      </c>
      <c r="B181" s="6" t="s">
        <v>35</v>
      </c>
      <c r="C181" s="12">
        <v>45637</v>
      </c>
      <c r="D181" s="6" t="s">
        <v>41</v>
      </c>
      <c r="E181" s="6" t="s">
        <v>42</v>
      </c>
      <c r="F181" s="6">
        <v>3239</v>
      </c>
      <c r="G181" s="6">
        <v>43</v>
      </c>
      <c r="H181" s="6">
        <v>211</v>
      </c>
      <c r="I181" s="6">
        <v>22673</v>
      </c>
      <c r="J181" s="6">
        <v>22171</v>
      </c>
      <c r="K181" s="6">
        <v>230</v>
      </c>
      <c r="L181" s="6" t="s">
        <v>43</v>
      </c>
      <c r="M181" s="6" t="s">
        <v>11</v>
      </c>
      <c r="N181" s="14">
        <f>(Posts11[[#This Row],[Likes]]+Posts11[[#This Row],[Shares]]+Posts11[[#This Row],[Comments]])/Posts11[[#This Row],[Impressions]]</f>
        <v>0.15405989502933004</v>
      </c>
    </row>
    <row r="182" spans="1:14">
      <c r="A182" s="9" t="s">
        <v>238</v>
      </c>
      <c r="B182" s="5" t="s">
        <v>35</v>
      </c>
      <c r="C182" s="10">
        <v>45704</v>
      </c>
      <c r="D182" s="5" t="s">
        <v>36</v>
      </c>
      <c r="E182" s="5" t="s">
        <v>37</v>
      </c>
      <c r="F182" s="5">
        <v>1076</v>
      </c>
      <c r="G182" s="5">
        <v>313</v>
      </c>
      <c r="H182" s="5">
        <v>306</v>
      </c>
      <c r="I182" s="5">
        <v>11836</v>
      </c>
      <c r="J182" s="5">
        <v>11596</v>
      </c>
      <c r="K182" s="5">
        <v>104</v>
      </c>
      <c r="L182" s="5" t="s">
        <v>38</v>
      </c>
      <c r="M182" s="5" t="s">
        <v>7</v>
      </c>
      <c r="N182" s="13">
        <f>(Posts11[[#This Row],[Likes]]+Posts11[[#This Row],[Shares]]+Posts11[[#This Row],[Comments]])/Posts11[[#This Row],[Impressions]]</f>
        <v>0.14320716458262928</v>
      </c>
    </row>
    <row r="183" spans="1:14">
      <c r="A183" s="11" t="s">
        <v>239</v>
      </c>
      <c r="B183" s="6" t="s">
        <v>49</v>
      </c>
      <c r="C183" s="12">
        <v>45624</v>
      </c>
      <c r="D183" s="6" t="s">
        <v>41</v>
      </c>
      <c r="E183" s="6" t="s">
        <v>97</v>
      </c>
      <c r="F183" s="6">
        <v>4771</v>
      </c>
      <c r="G183" s="6">
        <v>818</v>
      </c>
      <c r="H183" s="6">
        <v>56</v>
      </c>
      <c r="I183" s="6">
        <v>57252</v>
      </c>
      <c r="J183" s="6">
        <v>56378</v>
      </c>
      <c r="K183" s="6">
        <v>150</v>
      </c>
      <c r="L183" s="6" t="s">
        <v>38</v>
      </c>
      <c r="M183" s="6"/>
      <c r="N183" s="14">
        <f>(Posts11[[#This Row],[Likes]]+Posts11[[#This Row],[Shares]]+Posts11[[#This Row],[Comments]])/Posts11[[#This Row],[Impressions]]</f>
        <v>9.859917557465242E-2</v>
      </c>
    </row>
    <row r="184" spans="1:14">
      <c r="A184" s="9" t="s">
        <v>240</v>
      </c>
      <c r="B184" s="5" t="s">
        <v>55</v>
      </c>
      <c r="C184" s="10">
        <v>45608</v>
      </c>
      <c r="D184" s="5" t="s">
        <v>41</v>
      </c>
      <c r="E184" s="5" t="s">
        <v>64</v>
      </c>
      <c r="F184" s="5">
        <v>2418</v>
      </c>
      <c r="G184" s="5">
        <v>754</v>
      </c>
      <c r="H184" s="5">
        <v>54</v>
      </c>
      <c r="I184" s="5">
        <v>43524</v>
      </c>
      <c r="J184" s="5">
        <v>42743</v>
      </c>
      <c r="K184" s="5">
        <v>182</v>
      </c>
      <c r="L184" s="5" t="s">
        <v>52</v>
      </c>
      <c r="M184" s="5" t="s">
        <v>7</v>
      </c>
      <c r="N184" s="13">
        <f>(Posts11[[#This Row],[Likes]]+Posts11[[#This Row],[Shares]]+Posts11[[#This Row],[Comments]])/Posts11[[#This Row],[Impressions]]</f>
        <v>7.412002573292896E-2</v>
      </c>
    </row>
    <row r="185" spans="1:14">
      <c r="A185" s="11" t="s">
        <v>241</v>
      </c>
      <c r="B185" s="6" t="s">
        <v>46</v>
      </c>
      <c r="C185" s="12">
        <v>45629</v>
      </c>
      <c r="D185" s="6" t="s">
        <v>75</v>
      </c>
      <c r="E185" s="6" t="s">
        <v>155</v>
      </c>
      <c r="F185" s="6">
        <v>3809</v>
      </c>
      <c r="G185" s="6">
        <v>273</v>
      </c>
      <c r="H185" s="6">
        <v>200</v>
      </c>
      <c r="I185" s="6">
        <v>34281</v>
      </c>
      <c r="J185" s="6">
        <v>33534</v>
      </c>
      <c r="K185" s="6">
        <v>83</v>
      </c>
      <c r="L185" s="6" t="s">
        <v>52</v>
      </c>
      <c r="M185" s="6" t="s">
        <v>7</v>
      </c>
      <c r="N185" s="14">
        <f>(Posts11[[#This Row],[Likes]]+Posts11[[#This Row],[Shares]]+Posts11[[#This Row],[Comments]])/Posts11[[#This Row],[Impressions]]</f>
        <v>0.12490884163239112</v>
      </c>
    </row>
    <row r="186" spans="1:14">
      <c r="A186" s="9" t="s">
        <v>242</v>
      </c>
      <c r="B186" s="5" t="s">
        <v>35</v>
      </c>
      <c r="C186" s="10">
        <v>45775</v>
      </c>
      <c r="D186" s="5" t="s">
        <v>41</v>
      </c>
      <c r="E186" s="5" t="s">
        <v>42</v>
      </c>
      <c r="F186" s="5">
        <v>3577</v>
      </c>
      <c r="G186" s="5">
        <v>596</v>
      </c>
      <c r="H186" s="5">
        <v>493</v>
      </c>
      <c r="I186" s="5">
        <v>67963</v>
      </c>
      <c r="J186" s="5">
        <v>67839</v>
      </c>
      <c r="K186" s="5">
        <v>53</v>
      </c>
      <c r="L186" s="5" t="s">
        <v>43</v>
      </c>
      <c r="M186" s="5" t="s">
        <v>15</v>
      </c>
      <c r="N186" s="13">
        <f>(Posts11[[#This Row],[Likes]]+Posts11[[#This Row],[Shares]]+Posts11[[#This Row],[Comments]])/Posts11[[#This Row],[Impressions]]</f>
        <v>6.8655003457763777E-2</v>
      </c>
    </row>
    <row r="187" spans="1:14">
      <c r="A187" s="11" t="s">
        <v>243</v>
      </c>
      <c r="B187" s="6" t="s">
        <v>46</v>
      </c>
      <c r="C187" s="12">
        <v>45657</v>
      </c>
      <c r="D187" s="6" t="s">
        <v>75</v>
      </c>
      <c r="E187" s="6" t="s">
        <v>155</v>
      </c>
      <c r="F187" s="6">
        <v>1018</v>
      </c>
      <c r="G187" s="6">
        <v>447</v>
      </c>
      <c r="H187" s="6">
        <v>332</v>
      </c>
      <c r="I187" s="6">
        <v>18324</v>
      </c>
      <c r="J187" s="6">
        <v>18164</v>
      </c>
      <c r="K187" s="6">
        <v>38</v>
      </c>
      <c r="L187" s="6" t="s">
        <v>38</v>
      </c>
      <c r="M187" s="6" t="s">
        <v>11</v>
      </c>
      <c r="N187" s="14">
        <f>(Posts11[[#This Row],[Likes]]+Posts11[[#This Row],[Shares]]+Posts11[[#This Row],[Comments]])/Posts11[[#This Row],[Impressions]]</f>
        <v>9.8068107400130972E-2</v>
      </c>
    </row>
    <row r="188" spans="1:14">
      <c r="A188" s="9" t="s">
        <v>244</v>
      </c>
      <c r="B188" s="5" t="s">
        <v>55</v>
      </c>
      <c r="C188" s="10">
        <v>45518</v>
      </c>
      <c r="D188" s="5" t="s">
        <v>56</v>
      </c>
      <c r="E188" s="5" t="s">
        <v>57</v>
      </c>
      <c r="F188" s="5">
        <v>3073</v>
      </c>
      <c r="G188" s="5">
        <v>553</v>
      </c>
      <c r="H188" s="5">
        <v>174</v>
      </c>
      <c r="I188" s="5">
        <v>52241</v>
      </c>
      <c r="J188" s="5">
        <v>51605</v>
      </c>
      <c r="K188" s="5">
        <v>246</v>
      </c>
      <c r="L188" s="5" t="s">
        <v>52</v>
      </c>
      <c r="M188" s="5" t="s">
        <v>15</v>
      </c>
      <c r="N188" s="13">
        <f>(Posts11[[#This Row],[Likes]]+Posts11[[#This Row],[Shares]]+Posts11[[#This Row],[Comments]])/Posts11[[#This Row],[Impressions]]</f>
        <v>7.2739802071170159E-2</v>
      </c>
    </row>
    <row r="189" spans="1:14">
      <c r="A189" s="11" t="s">
        <v>245</v>
      </c>
      <c r="B189" s="6" t="s">
        <v>35</v>
      </c>
      <c r="C189" s="12">
        <v>45631</v>
      </c>
      <c r="D189" s="6" t="s">
        <v>75</v>
      </c>
      <c r="E189" s="6" t="s">
        <v>114</v>
      </c>
      <c r="F189" s="6">
        <v>1330</v>
      </c>
      <c r="G189" s="6">
        <v>925</v>
      </c>
      <c r="H189" s="6">
        <v>35</v>
      </c>
      <c r="I189" s="6">
        <v>15960</v>
      </c>
      <c r="J189" s="6">
        <v>15379</v>
      </c>
      <c r="K189" s="6">
        <v>229</v>
      </c>
      <c r="L189" s="6" t="s">
        <v>38</v>
      </c>
      <c r="M189" s="6" t="s">
        <v>15</v>
      </c>
      <c r="N189" s="14">
        <f>(Posts11[[#This Row],[Likes]]+Posts11[[#This Row],[Shares]]+Posts11[[#This Row],[Comments]])/Posts11[[#This Row],[Impressions]]</f>
        <v>0.14348370927318296</v>
      </c>
    </row>
    <row r="190" spans="1:14">
      <c r="A190" s="9" t="s">
        <v>246</v>
      </c>
      <c r="B190" s="5" t="s">
        <v>55</v>
      </c>
      <c r="C190" s="10">
        <v>45465</v>
      </c>
      <c r="D190" s="5" t="s">
        <v>41</v>
      </c>
      <c r="E190" s="5" t="s">
        <v>64</v>
      </c>
      <c r="F190" s="5">
        <v>3828</v>
      </c>
      <c r="G190" s="5">
        <v>148</v>
      </c>
      <c r="H190" s="5">
        <v>253</v>
      </c>
      <c r="I190" s="5">
        <v>30624</v>
      </c>
      <c r="J190" s="5">
        <v>30229</v>
      </c>
      <c r="K190" s="5">
        <v>235</v>
      </c>
      <c r="L190" s="5" t="s">
        <v>52</v>
      </c>
      <c r="M190" s="5"/>
      <c r="N190" s="13">
        <f>(Posts11[[#This Row],[Likes]]+Posts11[[#This Row],[Shares]]+Posts11[[#This Row],[Comments]])/Posts11[[#This Row],[Impressions]]</f>
        <v>0.13809430512016718</v>
      </c>
    </row>
    <row r="191" spans="1:14">
      <c r="A191" s="11" t="s">
        <v>247</v>
      </c>
      <c r="B191" s="6" t="s">
        <v>49</v>
      </c>
      <c r="C191" s="12">
        <v>45674</v>
      </c>
      <c r="D191" s="6" t="s">
        <v>36</v>
      </c>
      <c r="E191" s="6" t="s">
        <v>80</v>
      </c>
      <c r="F191" s="6">
        <v>142</v>
      </c>
      <c r="G191" s="6">
        <v>784</v>
      </c>
      <c r="H191" s="6">
        <v>183</v>
      </c>
      <c r="I191" s="6">
        <v>1704</v>
      </c>
      <c r="J191" s="6">
        <v>995</v>
      </c>
      <c r="K191" s="6">
        <v>154</v>
      </c>
      <c r="L191" s="6" t="s">
        <v>38</v>
      </c>
      <c r="M191" s="6" t="s">
        <v>19</v>
      </c>
      <c r="N191" s="14">
        <f>(Posts11[[#This Row],[Likes]]+Posts11[[#This Row],[Shares]]+Posts11[[#This Row],[Comments]])/Posts11[[#This Row],[Impressions]]</f>
        <v>0.6508215962441315</v>
      </c>
    </row>
    <row r="192" spans="1:14">
      <c r="A192" s="9" t="s">
        <v>248</v>
      </c>
      <c r="B192" s="5" t="s">
        <v>55</v>
      </c>
      <c r="C192" s="10">
        <v>45463</v>
      </c>
      <c r="D192" s="5" t="s">
        <v>75</v>
      </c>
      <c r="E192" s="5" t="s">
        <v>76</v>
      </c>
      <c r="F192" s="5">
        <v>3798</v>
      </c>
      <c r="G192" s="5">
        <v>31</v>
      </c>
      <c r="H192" s="5">
        <v>279</v>
      </c>
      <c r="I192" s="5">
        <v>75960</v>
      </c>
      <c r="J192" s="5">
        <v>75813</v>
      </c>
      <c r="K192" s="5">
        <v>266</v>
      </c>
      <c r="L192" s="5" t="s">
        <v>43</v>
      </c>
      <c r="M192" s="5" t="s">
        <v>7</v>
      </c>
      <c r="N192" s="13">
        <f>(Posts11[[#This Row],[Likes]]+Posts11[[#This Row],[Shares]]+Posts11[[#This Row],[Comments]])/Posts11[[#This Row],[Impressions]]</f>
        <v>5.4081095313322801E-2</v>
      </c>
    </row>
    <row r="193" spans="1:14">
      <c r="A193" s="11" t="s">
        <v>249</v>
      </c>
      <c r="B193" s="6" t="s">
        <v>49</v>
      </c>
      <c r="C193" s="12">
        <v>45483</v>
      </c>
      <c r="D193" s="6" t="s">
        <v>56</v>
      </c>
      <c r="E193" s="6" t="s">
        <v>84</v>
      </c>
      <c r="F193" s="6">
        <v>3099</v>
      </c>
      <c r="G193" s="6">
        <v>694</v>
      </c>
      <c r="H193" s="6">
        <v>171</v>
      </c>
      <c r="I193" s="6">
        <v>43386</v>
      </c>
      <c r="J193" s="6">
        <v>42921</v>
      </c>
      <c r="K193" s="6">
        <v>52</v>
      </c>
      <c r="L193" s="6" t="s">
        <v>43</v>
      </c>
      <c r="M193" s="6" t="s">
        <v>15</v>
      </c>
      <c r="N193" s="14">
        <f>(Posts11[[#This Row],[Likes]]+Posts11[[#This Row],[Shares]]+Posts11[[#This Row],[Comments]])/Posts11[[#This Row],[Impressions]]</f>
        <v>9.1365878393951966E-2</v>
      </c>
    </row>
    <row r="194" spans="1:14">
      <c r="A194" s="9" t="s">
        <v>250</v>
      </c>
      <c r="B194" s="5" t="s">
        <v>49</v>
      </c>
      <c r="C194" s="10">
        <v>45603</v>
      </c>
      <c r="D194" s="5" t="s">
        <v>75</v>
      </c>
      <c r="E194" s="5" t="s">
        <v>82</v>
      </c>
      <c r="F194" s="5">
        <v>129</v>
      </c>
      <c r="G194" s="5">
        <v>643</v>
      </c>
      <c r="H194" s="5">
        <v>136</v>
      </c>
      <c r="I194" s="5">
        <v>1290</v>
      </c>
      <c r="J194" s="5">
        <v>839</v>
      </c>
      <c r="K194" s="5">
        <v>238</v>
      </c>
      <c r="L194" s="5" t="s">
        <v>43</v>
      </c>
      <c r="M194" s="5" t="s">
        <v>19</v>
      </c>
      <c r="N194" s="13">
        <f>(Posts11[[#This Row],[Likes]]+Posts11[[#This Row],[Shares]]+Posts11[[#This Row],[Comments]])/Posts11[[#This Row],[Impressions]]</f>
        <v>0.70387596899224802</v>
      </c>
    </row>
    <row r="195" spans="1:14">
      <c r="A195" s="11" t="s">
        <v>251</v>
      </c>
      <c r="B195" s="6" t="s">
        <v>55</v>
      </c>
      <c r="C195" s="12">
        <v>45488</v>
      </c>
      <c r="D195" s="6" t="s">
        <v>56</v>
      </c>
      <c r="E195" s="6" t="s">
        <v>57</v>
      </c>
      <c r="F195" s="6">
        <v>3796</v>
      </c>
      <c r="G195" s="6">
        <v>667</v>
      </c>
      <c r="H195" s="6">
        <v>395</v>
      </c>
      <c r="I195" s="6">
        <v>64532</v>
      </c>
      <c r="J195" s="6">
        <v>63550</v>
      </c>
      <c r="K195" s="6">
        <v>292</v>
      </c>
      <c r="L195" s="6" t="s">
        <v>43</v>
      </c>
      <c r="M195" s="6"/>
      <c r="N195" s="14">
        <f>(Posts11[[#This Row],[Likes]]+Posts11[[#This Row],[Shares]]+Posts11[[#This Row],[Comments]])/Posts11[[#This Row],[Impressions]]</f>
        <v>7.5280481001673588E-2</v>
      </c>
    </row>
    <row r="196" spans="1:14">
      <c r="A196" s="9" t="s">
        <v>252</v>
      </c>
      <c r="B196" s="5" t="s">
        <v>46</v>
      </c>
      <c r="C196" s="10">
        <v>45629</v>
      </c>
      <c r="D196" s="5" t="s">
        <v>41</v>
      </c>
      <c r="E196" s="5" t="s">
        <v>92</v>
      </c>
      <c r="F196" s="5">
        <v>3711</v>
      </c>
      <c r="G196" s="5">
        <v>352</v>
      </c>
      <c r="H196" s="5">
        <v>290</v>
      </c>
      <c r="I196" s="5">
        <v>48243</v>
      </c>
      <c r="J196" s="5">
        <v>47579</v>
      </c>
      <c r="K196" s="5">
        <v>11</v>
      </c>
      <c r="L196" s="5" t="s">
        <v>43</v>
      </c>
      <c r="M196" s="5" t="s">
        <v>7</v>
      </c>
      <c r="N196" s="13">
        <f>(Posts11[[#This Row],[Likes]]+Posts11[[#This Row],[Shares]]+Posts11[[#This Row],[Comments]])/Posts11[[#This Row],[Impressions]]</f>
        <v>9.023070704558174E-2</v>
      </c>
    </row>
    <row r="197" spans="1:14">
      <c r="A197" s="11" t="s">
        <v>253</v>
      </c>
      <c r="B197" s="6" t="s">
        <v>46</v>
      </c>
      <c r="C197" s="12">
        <v>45737</v>
      </c>
      <c r="D197" s="6" t="s">
        <v>61</v>
      </c>
      <c r="E197" s="6" t="s">
        <v>62</v>
      </c>
      <c r="F197" s="6">
        <v>606</v>
      </c>
      <c r="G197" s="6">
        <v>789</v>
      </c>
      <c r="H197" s="6">
        <v>470</v>
      </c>
      <c r="I197" s="6">
        <v>7878</v>
      </c>
      <c r="J197" s="6">
        <v>7389</v>
      </c>
      <c r="K197" s="6">
        <v>239</v>
      </c>
      <c r="L197" s="6" t="s">
        <v>52</v>
      </c>
      <c r="M197" s="6" t="s">
        <v>15</v>
      </c>
      <c r="N197" s="14">
        <f>(Posts11[[#This Row],[Likes]]+Posts11[[#This Row],[Shares]]+Posts11[[#This Row],[Comments]])/Posts11[[#This Row],[Impressions]]</f>
        <v>0.23673521198273673</v>
      </c>
    </row>
    <row r="198" spans="1:14">
      <c r="A198" s="9" t="s">
        <v>254</v>
      </c>
      <c r="B198" s="5" t="s">
        <v>55</v>
      </c>
      <c r="C198" s="10">
        <v>45504</v>
      </c>
      <c r="D198" s="5" t="s">
        <v>61</v>
      </c>
      <c r="E198" s="5" t="s">
        <v>66</v>
      </c>
      <c r="F198" s="5">
        <v>4689</v>
      </c>
      <c r="G198" s="5">
        <v>134</v>
      </c>
      <c r="H198" s="5">
        <v>403</v>
      </c>
      <c r="I198" s="5">
        <v>51579</v>
      </c>
      <c r="J198" s="5">
        <v>50924</v>
      </c>
      <c r="K198" s="5">
        <v>173</v>
      </c>
      <c r="L198" s="5" t="s">
        <v>43</v>
      </c>
      <c r="M198" s="5" t="s">
        <v>19</v>
      </c>
      <c r="N198" s="13">
        <f>(Posts11[[#This Row],[Likes]]+Posts11[[#This Row],[Shares]]+Posts11[[#This Row],[Comments]])/Posts11[[#This Row],[Impressions]]</f>
        <v>0.10132030477519921</v>
      </c>
    </row>
    <row r="199" spans="1:14">
      <c r="A199" s="11" t="s">
        <v>255</v>
      </c>
      <c r="B199" s="6" t="s">
        <v>49</v>
      </c>
      <c r="C199" s="12">
        <v>45643</v>
      </c>
      <c r="D199" s="6" t="s">
        <v>50</v>
      </c>
      <c r="E199" s="6" t="s">
        <v>51</v>
      </c>
      <c r="F199" s="6">
        <v>360</v>
      </c>
      <c r="G199" s="6">
        <v>590</v>
      </c>
      <c r="H199" s="6">
        <v>393</v>
      </c>
      <c r="I199" s="6">
        <v>4680</v>
      </c>
      <c r="J199" s="6">
        <v>4322</v>
      </c>
      <c r="K199" s="6">
        <v>208</v>
      </c>
      <c r="L199" s="6" t="s">
        <v>38</v>
      </c>
      <c r="M199" s="6" t="s">
        <v>11</v>
      </c>
      <c r="N199" s="14">
        <f>(Posts11[[#This Row],[Likes]]+Posts11[[#This Row],[Shares]]+Posts11[[#This Row],[Comments]])/Posts11[[#This Row],[Impressions]]</f>
        <v>0.28696581196581195</v>
      </c>
    </row>
    <row r="200" spans="1:14">
      <c r="A200" s="9" t="s">
        <v>256</v>
      </c>
      <c r="B200" s="5" t="s">
        <v>35</v>
      </c>
      <c r="C200" s="10">
        <v>45501</v>
      </c>
      <c r="D200" s="5" t="s">
        <v>61</v>
      </c>
      <c r="E200" s="5" t="s">
        <v>107</v>
      </c>
      <c r="F200" s="5">
        <v>3215</v>
      </c>
      <c r="G200" s="5">
        <v>960</v>
      </c>
      <c r="H200" s="5">
        <v>202</v>
      </c>
      <c r="I200" s="5">
        <v>32150</v>
      </c>
      <c r="J200" s="5">
        <v>31404</v>
      </c>
      <c r="K200" s="5">
        <v>251</v>
      </c>
      <c r="L200" s="5" t="s">
        <v>52</v>
      </c>
      <c r="M200" s="5" t="s">
        <v>7</v>
      </c>
      <c r="N200" s="13">
        <f>(Posts11[[#This Row],[Likes]]+Posts11[[#This Row],[Shares]]+Posts11[[#This Row],[Comments]])/Posts11[[#This Row],[Impressions]]</f>
        <v>0.13614307931570763</v>
      </c>
    </row>
    <row r="201" spans="1:14">
      <c r="A201" s="11" t="s">
        <v>257</v>
      </c>
      <c r="B201" s="6" t="s">
        <v>49</v>
      </c>
      <c r="C201" s="12">
        <v>45668</v>
      </c>
      <c r="D201" s="6" t="s">
        <v>56</v>
      </c>
      <c r="E201" s="6" t="s">
        <v>84</v>
      </c>
      <c r="F201" s="6">
        <v>4523</v>
      </c>
      <c r="G201" s="6">
        <v>61</v>
      </c>
      <c r="H201" s="6">
        <v>157</v>
      </c>
      <c r="I201" s="6">
        <v>49753</v>
      </c>
      <c r="J201" s="6">
        <v>49329</v>
      </c>
      <c r="K201" s="6">
        <v>71</v>
      </c>
      <c r="L201" s="6" t="s">
        <v>52</v>
      </c>
      <c r="M201" s="6"/>
      <c r="N201" s="14">
        <f>(Posts11[[#This Row],[Likes]]+Posts11[[#This Row],[Shares]]+Posts11[[#This Row],[Comments]])/Posts11[[#This Row],[Impressions]]</f>
        <v>9.5290736237010829E-2</v>
      </c>
    </row>
    <row r="202" spans="1:14">
      <c r="A202" s="9" t="s">
        <v>258</v>
      </c>
      <c r="B202" s="5" t="s">
        <v>55</v>
      </c>
      <c r="C202" s="10">
        <v>45528</v>
      </c>
      <c r="D202" s="5" t="s">
        <v>56</v>
      </c>
      <c r="E202" s="5" t="s">
        <v>57</v>
      </c>
      <c r="F202" s="5">
        <v>4292</v>
      </c>
      <c r="G202" s="5">
        <v>51</v>
      </c>
      <c r="H202" s="5">
        <v>392</v>
      </c>
      <c r="I202" s="5">
        <v>55796</v>
      </c>
      <c r="J202" s="5">
        <v>54826</v>
      </c>
      <c r="K202" s="5">
        <v>264</v>
      </c>
      <c r="L202" s="5" t="s">
        <v>52</v>
      </c>
      <c r="M202" s="5" t="s">
        <v>15</v>
      </c>
      <c r="N202" s="13">
        <f>(Posts11[[#This Row],[Likes]]+Posts11[[#This Row],[Shares]]+Posts11[[#This Row],[Comments]])/Posts11[[#This Row],[Impressions]]</f>
        <v>8.4862714173059003E-2</v>
      </c>
    </row>
    <row r="203" spans="1:14">
      <c r="A203" s="11" t="s">
        <v>259</v>
      </c>
      <c r="B203" s="6" t="s">
        <v>35</v>
      </c>
      <c r="C203" s="12">
        <v>45648</v>
      </c>
      <c r="D203" s="6" t="s">
        <v>36</v>
      </c>
      <c r="E203" s="6" t="s">
        <v>37</v>
      </c>
      <c r="F203" s="6">
        <v>1644</v>
      </c>
      <c r="G203" s="6">
        <v>546</v>
      </c>
      <c r="H203" s="6">
        <v>150</v>
      </c>
      <c r="I203" s="6">
        <v>27948</v>
      </c>
      <c r="J203" s="6">
        <v>27184</v>
      </c>
      <c r="K203" s="6">
        <v>300</v>
      </c>
      <c r="L203" s="6" t="s">
        <v>52</v>
      </c>
      <c r="M203" s="6" t="s">
        <v>15</v>
      </c>
      <c r="N203" s="14">
        <f>(Posts11[[#This Row],[Likes]]+Posts11[[#This Row],[Shares]]+Posts11[[#This Row],[Comments]])/Posts11[[#This Row],[Impressions]]</f>
        <v>8.3726921425504502E-2</v>
      </c>
    </row>
    <row r="204" spans="1:14">
      <c r="A204" s="9" t="s">
        <v>260</v>
      </c>
      <c r="B204" s="5" t="s">
        <v>46</v>
      </c>
      <c r="C204" s="10">
        <v>45449</v>
      </c>
      <c r="D204" s="5" t="s">
        <v>36</v>
      </c>
      <c r="E204" s="5" t="s">
        <v>47</v>
      </c>
      <c r="F204" s="5">
        <v>2728</v>
      </c>
      <c r="G204" s="5">
        <v>533</v>
      </c>
      <c r="H204" s="5">
        <v>215</v>
      </c>
      <c r="I204" s="5">
        <v>40920</v>
      </c>
      <c r="J204" s="5">
        <v>40816</v>
      </c>
      <c r="K204" s="5">
        <v>137</v>
      </c>
      <c r="L204" s="5" t="s">
        <v>38</v>
      </c>
      <c r="M204" s="5" t="s">
        <v>11</v>
      </c>
      <c r="N204" s="13">
        <f>(Posts11[[#This Row],[Likes]]+Posts11[[#This Row],[Shares]]+Posts11[[#This Row],[Comments]])/Posts11[[#This Row],[Impressions]]</f>
        <v>8.4946236559139784E-2</v>
      </c>
    </row>
    <row r="205" spans="1:14">
      <c r="A205" s="11" t="s">
        <v>261</v>
      </c>
      <c r="B205" s="6" t="s">
        <v>55</v>
      </c>
      <c r="C205" s="12">
        <v>45740</v>
      </c>
      <c r="D205" s="6" t="s">
        <v>36</v>
      </c>
      <c r="E205" s="6" t="s">
        <v>69</v>
      </c>
      <c r="F205" s="6">
        <v>3360</v>
      </c>
      <c r="G205" s="6">
        <v>525</v>
      </c>
      <c r="H205" s="6">
        <v>500</v>
      </c>
      <c r="I205" s="6">
        <v>60480</v>
      </c>
      <c r="J205" s="6">
        <v>59610</v>
      </c>
      <c r="K205" s="6">
        <v>192</v>
      </c>
      <c r="L205" s="6" t="s">
        <v>43</v>
      </c>
      <c r="M205" s="6" t="s">
        <v>7</v>
      </c>
      <c r="N205" s="14">
        <f>(Posts11[[#This Row],[Likes]]+Posts11[[#This Row],[Shares]]+Posts11[[#This Row],[Comments]])/Posts11[[#This Row],[Impressions]]</f>
        <v>7.2503306878306875E-2</v>
      </c>
    </row>
    <row r="206" spans="1:14">
      <c r="A206" s="9" t="s">
        <v>262</v>
      </c>
      <c r="B206" s="5" t="s">
        <v>46</v>
      </c>
      <c r="C206" s="10">
        <v>45569</v>
      </c>
      <c r="D206" s="5" t="s">
        <v>41</v>
      </c>
      <c r="E206" s="5" t="s">
        <v>92</v>
      </c>
      <c r="F206" s="5">
        <v>1963</v>
      </c>
      <c r="G206" s="5">
        <v>213</v>
      </c>
      <c r="H206" s="5">
        <v>19</v>
      </c>
      <c r="I206" s="5">
        <v>39260</v>
      </c>
      <c r="J206" s="5">
        <v>38771</v>
      </c>
      <c r="K206" s="5">
        <v>145</v>
      </c>
      <c r="L206" s="5" t="s">
        <v>38</v>
      </c>
      <c r="M206" s="5"/>
      <c r="N206" s="13">
        <f>(Posts11[[#This Row],[Likes]]+Posts11[[#This Row],[Shares]]+Posts11[[#This Row],[Comments]])/Posts11[[#This Row],[Impressions]]</f>
        <v>5.5909322465613857E-2</v>
      </c>
    </row>
    <row r="207" spans="1:14">
      <c r="A207" s="11" t="s">
        <v>263</v>
      </c>
      <c r="B207" s="6" t="s">
        <v>46</v>
      </c>
      <c r="C207" s="12">
        <v>45629</v>
      </c>
      <c r="D207" s="6" t="s">
        <v>50</v>
      </c>
      <c r="E207" s="6" t="s">
        <v>120</v>
      </c>
      <c r="F207" s="6">
        <v>4285</v>
      </c>
      <c r="G207" s="6">
        <v>886</v>
      </c>
      <c r="H207" s="6">
        <v>376</v>
      </c>
      <c r="I207" s="6">
        <v>55705</v>
      </c>
      <c r="J207" s="6">
        <v>55556</v>
      </c>
      <c r="K207" s="6">
        <v>51</v>
      </c>
      <c r="L207" s="6" t="s">
        <v>38</v>
      </c>
      <c r="M207" s="6" t="s">
        <v>15</v>
      </c>
      <c r="N207" s="14">
        <f>(Posts11[[#This Row],[Likes]]+Posts11[[#This Row],[Shares]]+Posts11[[#This Row],[Comments]])/Posts11[[#This Row],[Impressions]]</f>
        <v>9.9578134817341346E-2</v>
      </c>
    </row>
    <row r="208" spans="1:14">
      <c r="A208" s="9" t="s">
        <v>264</v>
      </c>
      <c r="B208" s="5" t="s">
        <v>49</v>
      </c>
      <c r="C208" s="10">
        <v>45625</v>
      </c>
      <c r="D208" s="5" t="s">
        <v>75</v>
      </c>
      <c r="E208" s="5" t="s">
        <v>82</v>
      </c>
      <c r="F208" s="5">
        <v>1176</v>
      </c>
      <c r="G208" s="5">
        <v>464</v>
      </c>
      <c r="H208" s="5">
        <v>394</v>
      </c>
      <c r="I208" s="5">
        <v>14112</v>
      </c>
      <c r="J208" s="5">
        <v>13588</v>
      </c>
      <c r="K208" s="5">
        <v>272</v>
      </c>
      <c r="L208" s="5" t="s">
        <v>52</v>
      </c>
      <c r="M208" s="5"/>
      <c r="N208" s="13">
        <f>(Posts11[[#This Row],[Likes]]+Posts11[[#This Row],[Shares]]+Posts11[[#This Row],[Comments]])/Posts11[[#This Row],[Impressions]]</f>
        <v>0.1441326530612245</v>
      </c>
    </row>
    <row r="209" spans="1:14">
      <c r="A209" s="11" t="s">
        <v>265</v>
      </c>
      <c r="B209" s="6" t="s">
        <v>35</v>
      </c>
      <c r="C209" s="12">
        <v>45546</v>
      </c>
      <c r="D209" s="6" t="s">
        <v>61</v>
      </c>
      <c r="E209" s="6" t="s">
        <v>107</v>
      </c>
      <c r="F209" s="6">
        <v>4858</v>
      </c>
      <c r="G209" s="6">
        <v>317</v>
      </c>
      <c r="H209" s="6">
        <v>129</v>
      </c>
      <c r="I209" s="6">
        <v>53438</v>
      </c>
      <c r="J209" s="6">
        <v>52687</v>
      </c>
      <c r="K209" s="6">
        <v>223</v>
      </c>
      <c r="L209" s="6" t="s">
        <v>52</v>
      </c>
      <c r="M209" s="6" t="s">
        <v>15</v>
      </c>
      <c r="N209" s="14">
        <f>(Posts11[[#This Row],[Likes]]+Posts11[[#This Row],[Shares]]+Posts11[[#This Row],[Comments]])/Posts11[[#This Row],[Impressions]]</f>
        <v>9.9255211647142488E-2</v>
      </c>
    </row>
    <row r="210" spans="1:14">
      <c r="A210" s="9" t="s">
        <v>266</v>
      </c>
      <c r="B210" s="5" t="s">
        <v>46</v>
      </c>
      <c r="C210" s="10">
        <v>45567</v>
      </c>
      <c r="D210" s="5" t="s">
        <v>50</v>
      </c>
      <c r="E210" s="5" t="s">
        <v>120</v>
      </c>
      <c r="F210" s="5">
        <v>4350</v>
      </c>
      <c r="G210" s="5">
        <v>771</v>
      </c>
      <c r="H210" s="5">
        <v>7</v>
      </c>
      <c r="I210" s="5">
        <v>60900</v>
      </c>
      <c r="J210" s="5">
        <v>60592</v>
      </c>
      <c r="K210" s="5">
        <v>195</v>
      </c>
      <c r="L210" s="5" t="s">
        <v>52</v>
      </c>
      <c r="M210" s="5" t="s">
        <v>7</v>
      </c>
      <c r="N210" s="13">
        <f>(Posts11[[#This Row],[Likes]]+Posts11[[#This Row],[Shares]]+Posts11[[#This Row],[Comments]])/Posts11[[#This Row],[Impressions]]</f>
        <v>8.4203612479474554E-2</v>
      </c>
    </row>
    <row r="211" spans="1:14">
      <c r="A211" s="11" t="s">
        <v>267</v>
      </c>
      <c r="B211" s="6" t="s">
        <v>49</v>
      </c>
      <c r="C211" s="12">
        <v>45519</v>
      </c>
      <c r="D211" s="6" t="s">
        <v>56</v>
      </c>
      <c r="E211" s="6" t="s">
        <v>84</v>
      </c>
      <c r="F211" s="6">
        <v>914</v>
      </c>
      <c r="G211" s="6">
        <v>464</v>
      </c>
      <c r="H211" s="6">
        <v>246</v>
      </c>
      <c r="I211" s="6">
        <v>11882</v>
      </c>
      <c r="J211" s="6">
        <v>11500</v>
      </c>
      <c r="K211" s="6">
        <v>282</v>
      </c>
      <c r="L211" s="6" t="s">
        <v>38</v>
      </c>
      <c r="M211" s="6" t="s">
        <v>19</v>
      </c>
      <c r="N211" s="14">
        <f>(Posts11[[#This Row],[Likes]]+Posts11[[#This Row],[Shares]]+Posts11[[#This Row],[Comments]])/Posts11[[#This Row],[Impressions]]</f>
        <v>0.13667732704931829</v>
      </c>
    </row>
    <row r="212" spans="1:14">
      <c r="A212" s="9" t="s">
        <v>267</v>
      </c>
      <c r="B212" s="5" t="s">
        <v>49</v>
      </c>
      <c r="C212" s="10">
        <v>45519</v>
      </c>
      <c r="D212" s="5" t="s">
        <v>56</v>
      </c>
      <c r="E212" s="5" t="s">
        <v>84</v>
      </c>
      <c r="F212" s="5">
        <v>914</v>
      </c>
      <c r="G212" s="5">
        <v>464</v>
      </c>
      <c r="H212" s="5">
        <v>246</v>
      </c>
      <c r="I212" s="5">
        <v>11882</v>
      </c>
      <c r="J212" s="5">
        <v>11500</v>
      </c>
      <c r="K212" s="5">
        <v>282</v>
      </c>
      <c r="L212" s="5" t="s">
        <v>43</v>
      </c>
      <c r="M212" s="5" t="s">
        <v>19</v>
      </c>
      <c r="N212" s="13">
        <f>(Posts11[[#This Row],[Likes]]+Posts11[[#This Row],[Shares]]+Posts11[[#This Row],[Comments]])/Posts11[[#This Row],[Impressions]]</f>
        <v>0.13667732704931829</v>
      </c>
    </row>
    <row r="213" spans="1:14">
      <c r="A213" s="11" t="s">
        <v>267</v>
      </c>
      <c r="B213" s="6" t="s">
        <v>49</v>
      </c>
      <c r="C213" s="12">
        <v>45519</v>
      </c>
      <c r="D213" s="6" t="s">
        <v>56</v>
      </c>
      <c r="E213" s="6" t="s">
        <v>84</v>
      </c>
      <c r="F213" s="6">
        <v>914</v>
      </c>
      <c r="G213" s="6">
        <v>464</v>
      </c>
      <c r="H213" s="6">
        <v>246</v>
      </c>
      <c r="I213" s="6">
        <v>11882</v>
      </c>
      <c r="J213" s="6">
        <v>11500</v>
      </c>
      <c r="K213" s="6">
        <v>282</v>
      </c>
      <c r="L213" s="6" t="s">
        <v>39</v>
      </c>
      <c r="M213" s="6" t="s">
        <v>19</v>
      </c>
      <c r="N213" s="14">
        <f>(Posts11[[#This Row],[Likes]]+Posts11[[#This Row],[Shares]]+Posts11[[#This Row],[Comments]])/Posts11[[#This Row],[Impressions]]</f>
        <v>0.13667732704931829</v>
      </c>
    </row>
    <row r="214" spans="1:14">
      <c r="A214" s="9" t="s">
        <v>268</v>
      </c>
      <c r="B214" s="5" t="s">
        <v>49</v>
      </c>
      <c r="C214" s="10">
        <v>45645</v>
      </c>
      <c r="D214" s="5" t="s">
        <v>41</v>
      </c>
      <c r="E214" s="5" t="s">
        <v>97</v>
      </c>
      <c r="F214" s="5">
        <v>1813</v>
      </c>
      <c r="G214" s="5">
        <v>623</v>
      </c>
      <c r="H214" s="5">
        <v>72</v>
      </c>
      <c r="I214" s="5">
        <v>19943</v>
      </c>
      <c r="J214" s="5">
        <v>18959</v>
      </c>
      <c r="K214" s="5">
        <v>85</v>
      </c>
      <c r="L214" s="5" t="s">
        <v>52</v>
      </c>
      <c r="M214" s="5" t="s">
        <v>15</v>
      </c>
      <c r="N214" s="13">
        <f>(Posts11[[#This Row],[Likes]]+Posts11[[#This Row],[Shares]]+Posts11[[#This Row],[Comments]])/Posts11[[#This Row],[Impressions]]</f>
        <v>0.12575841147269717</v>
      </c>
    </row>
    <row r="215" spans="1:14">
      <c r="A215" s="11" t="s">
        <v>269</v>
      </c>
      <c r="B215" s="6" t="s">
        <v>35</v>
      </c>
      <c r="C215" s="12">
        <v>45587</v>
      </c>
      <c r="D215" s="6" t="s">
        <v>36</v>
      </c>
      <c r="E215" s="6" t="s">
        <v>37</v>
      </c>
      <c r="F215" s="6">
        <v>4782</v>
      </c>
      <c r="G215" s="6">
        <v>721</v>
      </c>
      <c r="H215" s="6">
        <v>82</v>
      </c>
      <c r="I215" s="6">
        <v>86076</v>
      </c>
      <c r="J215" s="6">
        <v>85339</v>
      </c>
      <c r="K215" s="6">
        <v>19</v>
      </c>
      <c r="L215" s="6" t="s">
        <v>52</v>
      </c>
      <c r="M215" s="6" t="s">
        <v>7</v>
      </c>
      <c r="N215" s="14">
        <f>(Posts11[[#This Row],[Likes]]+Posts11[[#This Row],[Shares]]+Posts11[[#This Row],[Comments]])/Posts11[[#This Row],[Impressions]]</f>
        <v>6.4884520656164318E-2</v>
      </c>
    </row>
    <row r="216" spans="1:14">
      <c r="A216" s="9" t="s">
        <v>270</v>
      </c>
      <c r="B216" s="5" t="s">
        <v>35</v>
      </c>
      <c r="C216" s="10">
        <v>45549</v>
      </c>
      <c r="D216" s="5" t="s">
        <v>61</v>
      </c>
      <c r="E216" s="5" t="s">
        <v>107</v>
      </c>
      <c r="F216" s="5">
        <v>1048</v>
      </c>
      <c r="G216" s="5">
        <v>374</v>
      </c>
      <c r="H216" s="5">
        <v>450</v>
      </c>
      <c r="I216" s="5">
        <v>9432</v>
      </c>
      <c r="J216" s="5">
        <v>8882</v>
      </c>
      <c r="K216" s="5">
        <v>158</v>
      </c>
      <c r="L216" s="5" t="s">
        <v>43</v>
      </c>
      <c r="M216" s="5" t="s">
        <v>15</v>
      </c>
      <c r="N216" s="13">
        <f>(Posts11[[#This Row],[Likes]]+Posts11[[#This Row],[Shares]]+Posts11[[#This Row],[Comments]])/Posts11[[#This Row],[Impressions]]</f>
        <v>0.19847328244274809</v>
      </c>
    </row>
    <row r="217" spans="1:14">
      <c r="A217" s="11" t="s">
        <v>271</v>
      </c>
      <c r="B217" s="6" t="s">
        <v>46</v>
      </c>
      <c r="C217" s="12">
        <v>45626</v>
      </c>
      <c r="D217" s="6" t="s">
        <v>56</v>
      </c>
      <c r="E217" s="6" t="s">
        <v>71</v>
      </c>
      <c r="F217" s="6">
        <v>2509</v>
      </c>
      <c r="G217" s="6">
        <v>324</v>
      </c>
      <c r="H217" s="6">
        <v>171</v>
      </c>
      <c r="I217" s="6">
        <v>35126</v>
      </c>
      <c r="J217" s="6">
        <v>34685</v>
      </c>
      <c r="K217" s="6">
        <v>277</v>
      </c>
      <c r="L217" s="6" t="s">
        <v>43</v>
      </c>
      <c r="M217" s="6" t="s">
        <v>11</v>
      </c>
      <c r="N217" s="14">
        <f>(Posts11[[#This Row],[Likes]]+Posts11[[#This Row],[Shares]]+Posts11[[#This Row],[Comments]])/Posts11[[#This Row],[Impressions]]</f>
        <v>8.5520696919660646E-2</v>
      </c>
    </row>
    <row r="218" spans="1:14">
      <c r="A218" s="9" t="s">
        <v>272</v>
      </c>
      <c r="B218" s="5" t="s">
        <v>55</v>
      </c>
      <c r="C218" s="10">
        <v>45754</v>
      </c>
      <c r="D218" s="5" t="s">
        <v>36</v>
      </c>
      <c r="E218" s="5" t="s">
        <v>69</v>
      </c>
      <c r="F218" s="5">
        <v>3718</v>
      </c>
      <c r="G218" s="5">
        <v>385</v>
      </c>
      <c r="H218" s="5">
        <v>310</v>
      </c>
      <c r="I218" s="5">
        <v>70642</v>
      </c>
      <c r="J218" s="5">
        <v>69749</v>
      </c>
      <c r="K218" s="5">
        <v>233</v>
      </c>
      <c r="L218" s="5" t="s">
        <v>43</v>
      </c>
      <c r="M218" s="5" t="s">
        <v>11</v>
      </c>
      <c r="N218" s="13">
        <f>(Posts11[[#This Row],[Likes]]+Posts11[[#This Row],[Shares]]+Posts11[[#This Row],[Comments]])/Posts11[[#This Row],[Impressions]]</f>
        <v>6.246991874522239E-2</v>
      </c>
    </row>
    <row r="219" spans="1:14">
      <c r="A219" s="11" t="s">
        <v>273</v>
      </c>
      <c r="B219" s="6" t="s">
        <v>35</v>
      </c>
      <c r="C219" s="12">
        <v>45672</v>
      </c>
      <c r="D219" s="6" t="s">
        <v>36</v>
      </c>
      <c r="E219" s="6" t="s">
        <v>37</v>
      </c>
      <c r="F219" s="6">
        <v>802</v>
      </c>
      <c r="G219" s="6">
        <v>262</v>
      </c>
      <c r="H219" s="6">
        <v>244</v>
      </c>
      <c r="I219" s="6">
        <v>14436</v>
      </c>
      <c r="J219" s="6">
        <v>14280</v>
      </c>
      <c r="K219" s="6">
        <v>49</v>
      </c>
      <c r="L219" s="6" t="s">
        <v>52</v>
      </c>
      <c r="M219" s="6" t="s">
        <v>7</v>
      </c>
      <c r="N219" s="14">
        <f>(Posts11[[#This Row],[Likes]]+Posts11[[#This Row],[Shares]]+Posts11[[#This Row],[Comments]])/Posts11[[#This Row],[Impressions]]</f>
        <v>9.0606816292601824E-2</v>
      </c>
    </row>
    <row r="220" spans="1:14">
      <c r="A220" s="9" t="s">
        <v>274</v>
      </c>
      <c r="B220" s="5" t="s">
        <v>55</v>
      </c>
      <c r="C220" s="10">
        <v>45445</v>
      </c>
      <c r="D220" s="5" t="s">
        <v>61</v>
      </c>
      <c r="E220" s="5" t="s">
        <v>66</v>
      </c>
      <c r="F220" s="5">
        <v>1871</v>
      </c>
      <c r="G220" s="5">
        <v>252</v>
      </c>
      <c r="H220" s="5">
        <v>335</v>
      </c>
      <c r="I220" s="5">
        <v>29936</v>
      </c>
      <c r="J220" s="5">
        <v>29576</v>
      </c>
      <c r="K220" s="5">
        <v>288</v>
      </c>
      <c r="L220" s="5" t="s">
        <v>52</v>
      </c>
      <c r="M220" s="5" t="s">
        <v>15</v>
      </c>
      <c r="N220" s="13">
        <f>(Posts11[[#This Row],[Likes]]+Posts11[[#This Row],[Shares]]+Posts11[[#This Row],[Comments]])/Posts11[[#This Row],[Impressions]]</f>
        <v>8.2108498129342594E-2</v>
      </c>
    </row>
    <row r="221" spans="1:14">
      <c r="A221" s="11" t="s">
        <v>275</v>
      </c>
      <c r="B221" s="6" t="s">
        <v>49</v>
      </c>
      <c r="C221" s="12">
        <v>45617</v>
      </c>
      <c r="D221" s="6" t="s">
        <v>56</v>
      </c>
      <c r="E221" s="6" t="s">
        <v>84</v>
      </c>
      <c r="F221" s="6">
        <v>3773</v>
      </c>
      <c r="G221" s="6">
        <v>299</v>
      </c>
      <c r="H221" s="6">
        <v>38</v>
      </c>
      <c r="I221" s="6">
        <v>71687</v>
      </c>
      <c r="J221" s="6">
        <v>71447</v>
      </c>
      <c r="K221" s="6">
        <v>286</v>
      </c>
      <c r="L221" s="6" t="s">
        <v>38</v>
      </c>
      <c r="M221" s="6" t="s">
        <v>7</v>
      </c>
      <c r="N221" s="14">
        <f>(Posts11[[#This Row],[Likes]]+Posts11[[#This Row],[Shares]]+Posts11[[#This Row],[Comments]])/Posts11[[#This Row],[Impressions]]</f>
        <v>5.7332570758993957E-2</v>
      </c>
    </row>
    <row r="222" spans="1:14">
      <c r="A222" s="9" t="s">
        <v>276</v>
      </c>
      <c r="B222" s="5" t="s">
        <v>49</v>
      </c>
      <c r="C222" s="10">
        <v>45658</v>
      </c>
      <c r="D222" s="5" t="s">
        <v>56</v>
      </c>
      <c r="E222" s="5" t="s">
        <v>84</v>
      </c>
      <c r="F222" s="5">
        <v>2234</v>
      </c>
      <c r="G222" s="5">
        <v>653</v>
      </c>
      <c r="H222" s="5">
        <v>432</v>
      </c>
      <c r="I222" s="5">
        <v>11170</v>
      </c>
      <c r="J222" s="5">
        <v>10569</v>
      </c>
      <c r="K222" s="5">
        <v>198</v>
      </c>
      <c r="L222" s="5" t="s">
        <v>38</v>
      </c>
      <c r="M222" s="5" t="s">
        <v>15</v>
      </c>
      <c r="N222" s="13">
        <f>(Posts11[[#This Row],[Likes]]+Posts11[[#This Row],[Shares]]+Posts11[[#This Row],[Comments]])/Posts11[[#This Row],[Impressions]]</f>
        <v>0.29713518352730528</v>
      </c>
    </row>
    <row r="223" spans="1:14">
      <c r="A223" s="11" t="s">
        <v>277</v>
      </c>
      <c r="B223" s="6" t="s">
        <v>35</v>
      </c>
      <c r="C223" s="12">
        <v>45771</v>
      </c>
      <c r="D223" s="6" t="s">
        <v>75</v>
      </c>
      <c r="E223" s="6" t="s">
        <v>114</v>
      </c>
      <c r="F223" s="6">
        <v>3820</v>
      </c>
      <c r="G223" s="6">
        <v>697</v>
      </c>
      <c r="H223" s="6">
        <v>268</v>
      </c>
      <c r="I223" s="6">
        <v>45840</v>
      </c>
      <c r="J223" s="6">
        <v>45631</v>
      </c>
      <c r="K223" s="6">
        <v>171</v>
      </c>
      <c r="L223" s="6" t="s">
        <v>43</v>
      </c>
      <c r="M223" s="6" t="s">
        <v>19</v>
      </c>
      <c r="N223" s="14">
        <f>(Posts11[[#This Row],[Likes]]+Posts11[[#This Row],[Shares]]+Posts11[[#This Row],[Comments]])/Posts11[[#This Row],[Impressions]]</f>
        <v>0.1043848167539267</v>
      </c>
    </row>
    <row r="224" spans="1:14">
      <c r="A224" s="9" t="s">
        <v>277</v>
      </c>
      <c r="B224" s="5" t="s">
        <v>35</v>
      </c>
      <c r="C224" s="10">
        <v>45771</v>
      </c>
      <c r="D224" s="5" t="s">
        <v>75</v>
      </c>
      <c r="E224" s="5" t="s">
        <v>114</v>
      </c>
      <c r="F224" s="5">
        <v>3820</v>
      </c>
      <c r="G224" s="5">
        <v>697</v>
      </c>
      <c r="H224" s="5">
        <v>268</v>
      </c>
      <c r="I224" s="5">
        <v>45840</v>
      </c>
      <c r="J224" s="5">
        <v>45631</v>
      </c>
      <c r="K224" s="5">
        <v>171</v>
      </c>
      <c r="L224" s="5" t="s">
        <v>18</v>
      </c>
      <c r="M224" s="5" t="s">
        <v>19</v>
      </c>
      <c r="N224" s="13">
        <f>(Posts11[[#This Row],[Likes]]+Posts11[[#This Row],[Shares]]+Posts11[[#This Row],[Comments]])/Posts11[[#This Row],[Impressions]]</f>
        <v>0.1043848167539267</v>
      </c>
    </row>
    <row r="225" spans="1:14">
      <c r="A225" s="11" t="s">
        <v>278</v>
      </c>
      <c r="B225" s="6" t="s">
        <v>35</v>
      </c>
      <c r="C225" s="12">
        <v>45467</v>
      </c>
      <c r="D225" s="6" t="s">
        <v>41</v>
      </c>
      <c r="E225" s="6" t="s">
        <v>42</v>
      </c>
      <c r="F225" s="6">
        <v>941</v>
      </c>
      <c r="G225" s="6">
        <v>121</v>
      </c>
      <c r="H225" s="6">
        <v>458</v>
      </c>
      <c r="I225" s="6">
        <v>14115</v>
      </c>
      <c r="J225" s="6">
        <v>13838</v>
      </c>
      <c r="K225" s="6">
        <v>87</v>
      </c>
      <c r="L225" s="6" t="s">
        <v>52</v>
      </c>
      <c r="M225" s="6" t="s">
        <v>7</v>
      </c>
      <c r="N225" s="14">
        <f>(Posts11[[#This Row],[Likes]]+Posts11[[#This Row],[Shares]]+Posts11[[#This Row],[Comments]])/Posts11[[#This Row],[Impressions]]</f>
        <v>0.10768685795253277</v>
      </c>
    </row>
    <row r="226" spans="1:14">
      <c r="A226" s="9" t="s">
        <v>279</v>
      </c>
      <c r="B226" s="5" t="s">
        <v>35</v>
      </c>
      <c r="C226" s="10">
        <v>45655</v>
      </c>
      <c r="D226" s="5" t="s">
        <v>56</v>
      </c>
      <c r="E226" s="5" t="s">
        <v>59</v>
      </c>
      <c r="F226" s="5">
        <v>4274</v>
      </c>
      <c r="G226" s="5">
        <v>340</v>
      </c>
      <c r="H226" s="5">
        <v>281</v>
      </c>
      <c r="I226" s="5">
        <v>34192</v>
      </c>
      <c r="J226" s="5">
        <v>33446</v>
      </c>
      <c r="K226" s="5">
        <v>129</v>
      </c>
      <c r="L226" s="5" t="s">
        <v>43</v>
      </c>
      <c r="M226" s="5" t="s">
        <v>15</v>
      </c>
      <c r="N226" s="13">
        <f>(Posts11[[#This Row],[Likes]]+Posts11[[#This Row],[Shares]]+Posts11[[#This Row],[Comments]])/Posts11[[#This Row],[Impressions]]</f>
        <v>0.14316214319138981</v>
      </c>
    </row>
    <row r="227" spans="1:14">
      <c r="A227" s="11" t="s">
        <v>279</v>
      </c>
      <c r="B227" s="6" t="s">
        <v>35</v>
      </c>
      <c r="C227" s="12">
        <v>45655</v>
      </c>
      <c r="D227" s="6" t="s">
        <v>56</v>
      </c>
      <c r="E227" s="6" t="s">
        <v>59</v>
      </c>
      <c r="F227" s="6">
        <v>4274</v>
      </c>
      <c r="G227" s="6">
        <v>340</v>
      </c>
      <c r="H227" s="6">
        <v>281</v>
      </c>
      <c r="I227" s="6">
        <v>34192</v>
      </c>
      <c r="J227" s="6">
        <v>33446</v>
      </c>
      <c r="K227" s="6">
        <v>129</v>
      </c>
      <c r="L227" s="6" t="s">
        <v>18</v>
      </c>
      <c r="M227" s="6" t="s">
        <v>15</v>
      </c>
      <c r="N227" s="14">
        <f>(Posts11[[#This Row],[Likes]]+Posts11[[#This Row],[Shares]]+Posts11[[#This Row],[Comments]])/Posts11[[#This Row],[Impressions]]</f>
        <v>0.14316214319138981</v>
      </c>
    </row>
    <row r="228" spans="1:14">
      <c r="A228" s="9" t="s">
        <v>280</v>
      </c>
      <c r="B228" s="5" t="s">
        <v>46</v>
      </c>
      <c r="C228" s="10">
        <v>45467</v>
      </c>
      <c r="D228" s="5" t="s">
        <v>75</v>
      </c>
      <c r="E228" s="5" t="s">
        <v>155</v>
      </c>
      <c r="F228" s="5">
        <v>2949</v>
      </c>
      <c r="G228" s="5">
        <v>476</v>
      </c>
      <c r="H228" s="5">
        <v>403</v>
      </c>
      <c r="I228" s="5">
        <v>44235</v>
      </c>
      <c r="J228" s="5">
        <v>43705</v>
      </c>
      <c r="K228" s="5">
        <v>135</v>
      </c>
      <c r="L228" s="5" t="s">
        <v>43</v>
      </c>
      <c r="M228" s="5" t="s">
        <v>11</v>
      </c>
      <c r="N228" s="13">
        <f>(Posts11[[#This Row],[Likes]]+Posts11[[#This Row],[Shares]]+Posts11[[#This Row],[Comments]])/Posts11[[#This Row],[Impressions]]</f>
        <v>8.6537809426924378E-2</v>
      </c>
    </row>
    <row r="229" spans="1:14">
      <c r="A229" s="11" t="s">
        <v>281</v>
      </c>
      <c r="B229" s="6" t="s">
        <v>35</v>
      </c>
      <c r="C229" s="12">
        <v>45735</v>
      </c>
      <c r="D229" s="6" t="s">
        <v>75</v>
      </c>
      <c r="E229" s="6" t="s">
        <v>114</v>
      </c>
      <c r="F229" s="6">
        <v>3160</v>
      </c>
      <c r="G229" s="6">
        <v>204</v>
      </c>
      <c r="H229" s="6">
        <v>297</v>
      </c>
      <c r="I229" s="6">
        <v>44240</v>
      </c>
      <c r="J229" s="6">
        <v>43666</v>
      </c>
      <c r="K229" s="6">
        <v>49</v>
      </c>
      <c r="L229" s="6" t="s">
        <v>38</v>
      </c>
      <c r="M229" s="6" t="s">
        <v>19</v>
      </c>
      <c r="N229" s="14">
        <f>(Posts11[[#This Row],[Likes]]+Posts11[[#This Row],[Shares]]+Posts11[[#This Row],[Comments]])/Posts11[[#This Row],[Impressions]]</f>
        <v>8.2753164556962022E-2</v>
      </c>
    </row>
    <row r="230" spans="1:14">
      <c r="A230" s="9" t="s">
        <v>281</v>
      </c>
      <c r="B230" s="5" t="s">
        <v>35</v>
      </c>
      <c r="C230" s="10">
        <v>45735</v>
      </c>
      <c r="D230" s="5" t="s">
        <v>75</v>
      </c>
      <c r="E230" s="5" t="s">
        <v>114</v>
      </c>
      <c r="F230" s="5">
        <v>3160</v>
      </c>
      <c r="G230" s="5">
        <v>204</v>
      </c>
      <c r="H230" s="5">
        <v>297</v>
      </c>
      <c r="I230" s="5">
        <v>44240</v>
      </c>
      <c r="J230" s="5">
        <v>43666</v>
      </c>
      <c r="K230" s="5">
        <v>49</v>
      </c>
      <c r="L230" s="5" t="s">
        <v>39</v>
      </c>
      <c r="M230" s="5" t="s">
        <v>19</v>
      </c>
      <c r="N230" s="13">
        <f>(Posts11[[#This Row],[Likes]]+Posts11[[#This Row],[Shares]]+Posts11[[#This Row],[Comments]])/Posts11[[#This Row],[Impressions]]</f>
        <v>8.2753164556962022E-2</v>
      </c>
    </row>
    <row r="231" spans="1:14">
      <c r="A231" s="11" t="s">
        <v>282</v>
      </c>
      <c r="B231" s="6" t="s">
        <v>46</v>
      </c>
      <c r="C231" s="12">
        <v>45707</v>
      </c>
      <c r="D231" s="6" t="s">
        <v>61</v>
      </c>
      <c r="E231" s="6" t="s">
        <v>62</v>
      </c>
      <c r="F231" s="6">
        <v>257</v>
      </c>
      <c r="G231" s="6">
        <v>966</v>
      </c>
      <c r="H231" s="6">
        <v>398</v>
      </c>
      <c r="I231" s="6">
        <v>3341</v>
      </c>
      <c r="J231" s="6">
        <v>2753</v>
      </c>
      <c r="K231" s="6">
        <v>287</v>
      </c>
      <c r="L231" s="6" t="s">
        <v>38</v>
      </c>
      <c r="M231" s="6" t="s">
        <v>7</v>
      </c>
      <c r="N231" s="14">
        <f>(Posts11[[#This Row],[Likes]]+Posts11[[#This Row],[Shares]]+Posts11[[#This Row],[Comments]])/Posts11[[#This Row],[Impressions]]</f>
        <v>0.48518407662376534</v>
      </c>
    </row>
    <row r="232" spans="1:14">
      <c r="A232" s="9" t="s">
        <v>283</v>
      </c>
      <c r="B232" s="5" t="s">
        <v>35</v>
      </c>
      <c r="C232" s="10">
        <v>45491</v>
      </c>
      <c r="D232" s="5" t="s">
        <v>56</v>
      </c>
      <c r="E232" s="5" t="s">
        <v>59</v>
      </c>
      <c r="F232" s="5">
        <v>2120</v>
      </c>
      <c r="G232" s="5">
        <v>38</v>
      </c>
      <c r="H232" s="5">
        <v>212</v>
      </c>
      <c r="I232" s="5">
        <v>12720</v>
      </c>
      <c r="J232" s="5">
        <v>12564</v>
      </c>
      <c r="K232" s="5">
        <v>21</v>
      </c>
      <c r="L232" s="5" t="s">
        <v>38</v>
      </c>
      <c r="M232" s="5" t="s">
        <v>19</v>
      </c>
      <c r="N232" s="13">
        <f>(Posts11[[#This Row],[Likes]]+Posts11[[#This Row],[Shares]]+Posts11[[#This Row],[Comments]])/Posts11[[#This Row],[Impressions]]</f>
        <v>0.18632075471698112</v>
      </c>
    </row>
    <row r="233" spans="1:14">
      <c r="A233" s="11" t="s">
        <v>284</v>
      </c>
      <c r="B233" s="6" t="s">
        <v>46</v>
      </c>
      <c r="C233" s="12">
        <v>45719</v>
      </c>
      <c r="D233" s="6" t="s">
        <v>75</v>
      </c>
      <c r="E233" s="6" t="s">
        <v>155</v>
      </c>
      <c r="F233" s="6">
        <v>3874</v>
      </c>
      <c r="G233" s="6">
        <v>884</v>
      </c>
      <c r="H233" s="6">
        <v>19</v>
      </c>
      <c r="I233" s="6">
        <v>38740</v>
      </c>
      <c r="J233" s="6">
        <v>38552</v>
      </c>
      <c r="K233" s="6">
        <v>219</v>
      </c>
      <c r="L233" s="6" t="s">
        <v>43</v>
      </c>
      <c r="M233" s="6" t="s">
        <v>11</v>
      </c>
      <c r="N233" s="14">
        <f>(Posts11[[#This Row],[Likes]]+Posts11[[#This Row],[Shares]]+Posts11[[#This Row],[Comments]])/Posts11[[#This Row],[Impressions]]</f>
        <v>0.123309241094476</v>
      </c>
    </row>
    <row r="234" spans="1:14">
      <c r="A234" s="9" t="s">
        <v>285</v>
      </c>
      <c r="B234" s="5" t="s">
        <v>55</v>
      </c>
      <c r="C234" s="10">
        <v>45778</v>
      </c>
      <c r="D234" s="5" t="s">
        <v>56</v>
      </c>
      <c r="E234" s="5" t="s">
        <v>57</v>
      </c>
      <c r="F234" s="5">
        <v>2696</v>
      </c>
      <c r="G234" s="5">
        <v>628</v>
      </c>
      <c r="H234" s="5">
        <v>443</v>
      </c>
      <c r="I234" s="5">
        <v>45832</v>
      </c>
      <c r="J234" s="5">
        <v>45632</v>
      </c>
      <c r="K234" s="5">
        <v>248</v>
      </c>
      <c r="L234" s="5" t="s">
        <v>52</v>
      </c>
      <c r="M234" s="5" t="s">
        <v>19</v>
      </c>
      <c r="N234" s="13">
        <f>(Posts11[[#This Row],[Likes]]+Posts11[[#This Row],[Shares]]+Posts11[[#This Row],[Comments]])/Posts11[[#This Row],[Impressions]]</f>
        <v>8.21914819340199E-2</v>
      </c>
    </row>
    <row r="235" spans="1:14">
      <c r="A235" s="11" t="s">
        <v>286</v>
      </c>
      <c r="B235" s="6" t="s">
        <v>49</v>
      </c>
      <c r="C235" s="12">
        <v>45649</v>
      </c>
      <c r="D235" s="6" t="s">
        <v>61</v>
      </c>
      <c r="E235" s="6" t="s">
        <v>153</v>
      </c>
      <c r="F235" s="6">
        <v>521</v>
      </c>
      <c r="G235" s="6">
        <v>746</v>
      </c>
      <c r="H235" s="6">
        <v>315</v>
      </c>
      <c r="I235" s="6">
        <v>4168</v>
      </c>
      <c r="J235" s="6">
        <v>3399</v>
      </c>
      <c r="K235" s="6">
        <v>282</v>
      </c>
      <c r="L235" s="6" t="s">
        <v>38</v>
      </c>
      <c r="M235" s="6" t="s">
        <v>11</v>
      </c>
      <c r="N235" s="14">
        <f>(Posts11[[#This Row],[Likes]]+Posts11[[#This Row],[Shares]]+Posts11[[#This Row],[Comments]])/Posts11[[#This Row],[Impressions]]</f>
        <v>0.37955854126679461</v>
      </c>
    </row>
    <row r="236" spans="1:14">
      <c r="A236" s="9" t="s">
        <v>287</v>
      </c>
      <c r="B236" s="5" t="s">
        <v>55</v>
      </c>
      <c r="C236" s="10">
        <v>45783</v>
      </c>
      <c r="D236" s="5" t="s">
        <v>61</v>
      </c>
      <c r="E236" s="5" t="s">
        <v>66</v>
      </c>
      <c r="F236" s="5">
        <v>4872</v>
      </c>
      <c r="G236" s="5">
        <v>925</v>
      </c>
      <c r="H236" s="5">
        <v>176</v>
      </c>
      <c r="I236" s="5">
        <v>82824</v>
      </c>
      <c r="J236" s="5">
        <v>82543</v>
      </c>
      <c r="K236" s="5">
        <v>89</v>
      </c>
      <c r="L236" s="5" t="s">
        <v>52</v>
      </c>
      <c r="M236" s="5" t="s">
        <v>11</v>
      </c>
      <c r="N236" s="13">
        <f>(Posts11[[#This Row],[Likes]]+Posts11[[#This Row],[Shares]]+Posts11[[#This Row],[Comments]])/Posts11[[#This Row],[Impressions]]</f>
        <v>7.2116777745580993E-2</v>
      </c>
    </row>
    <row r="237" spans="1:14">
      <c r="A237" s="11" t="s">
        <v>288</v>
      </c>
      <c r="B237" s="6" t="s">
        <v>46</v>
      </c>
      <c r="C237" s="12">
        <v>45502</v>
      </c>
      <c r="D237" s="6" t="s">
        <v>50</v>
      </c>
      <c r="E237" s="6" t="s">
        <v>120</v>
      </c>
      <c r="F237" s="6">
        <v>1509</v>
      </c>
      <c r="G237" s="6">
        <v>88</v>
      </c>
      <c r="H237" s="6">
        <v>163</v>
      </c>
      <c r="I237" s="6">
        <v>30180</v>
      </c>
      <c r="J237" s="6">
        <v>29689</v>
      </c>
      <c r="K237" s="6">
        <v>119</v>
      </c>
      <c r="L237" s="6" t="s">
        <v>52</v>
      </c>
      <c r="M237" s="6" t="s">
        <v>11</v>
      </c>
      <c r="N237" s="14">
        <f>(Posts11[[#This Row],[Likes]]+Posts11[[#This Row],[Shares]]+Posts11[[#This Row],[Comments]])/Posts11[[#This Row],[Impressions]]</f>
        <v>5.8316766070245198E-2</v>
      </c>
    </row>
    <row r="238" spans="1:14">
      <c r="A238" s="9" t="s">
        <v>289</v>
      </c>
      <c r="B238" s="5" t="s">
        <v>55</v>
      </c>
      <c r="C238" s="10">
        <v>45629</v>
      </c>
      <c r="D238" s="5" t="s">
        <v>61</v>
      </c>
      <c r="E238" s="5" t="s">
        <v>66</v>
      </c>
      <c r="F238" s="5">
        <v>4606</v>
      </c>
      <c r="G238" s="5">
        <v>931</v>
      </c>
      <c r="H238" s="5">
        <v>230</v>
      </c>
      <c r="I238" s="5">
        <v>92120</v>
      </c>
      <c r="J238" s="5">
        <v>91440</v>
      </c>
      <c r="K238" s="5">
        <v>56</v>
      </c>
      <c r="L238" s="5" t="s">
        <v>43</v>
      </c>
      <c r="M238" s="5"/>
      <c r="N238" s="13">
        <f>(Posts11[[#This Row],[Likes]]+Posts11[[#This Row],[Shares]]+Posts11[[#This Row],[Comments]])/Posts11[[#This Row],[Impressions]]</f>
        <v>6.2603126356925748E-2</v>
      </c>
    </row>
    <row r="239" spans="1:14">
      <c r="A239" s="11" t="s">
        <v>290</v>
      </c>
      <c r="B239" s="6" t="s">
        <v>55</v>
      </c>
      <c r="C239" s="12">
        <v>45454</v>
      </c>
      <c r="D239" s="6" t="s">
        <v>56</v>
      </c>
      <c r="E239" s="6" t="s">
        <v>57</v>
      </c>
      <c r="F239" s="6">
        <v>1869</v>
      </c>
      <c r="G239" s="6">
        <v>453</v>
      </c>
      <c r="H239" s="6">
        <v>490</v>
      </c>
      <c r="I239" s="6">
        <v>14952</v>
      </c>
      <c r="J239" s="6">
        <v>14309</v>
      </c>
      <c r="K239" s="6">
        <v>275</v>
      </c>
      <c r="L239" s="6" t="s">
        <v>43</v>
      </c>
      <c r="M239" s="6" t="s">
        <v>19</v>
      </c>
      <c r="N239" s="14">
        <f>(Posts11[[#This Row],[Likes]]+Posts11[[#This Row],[Shares]]+Posts11[[#This Row],[Comments]])/Posts11[[#This Row],[Impressions]]</f>
        <v>0.18806848582129482</v>
      </c>
    </row>
    <row r="240" spans="1:14">
      <c r="A240" s="9" t="s">
        <v>291</v>
      </c>
      <c r="B240" s="5" t="s">
        <v>35</v>
      </c>
      <c r="C240" s="10">
        <v>45685</v>
      </c>
      <c r="D240" s="5" t="s">
        <v>36</v>
      </c>
      <c r="E240" s="5" t="s">
        <v>37</v>
      </c>
      <c r="F240" s="5">
        <v>1188</v>
      </c>
      <c r="G240" s="5">
        <v>470</v>
      </c>
      <c r="H240" s="5">
        <v>174</v>
      </c>
      <c r="I240" s="5">
        <v>7128</v>
      </c>
      <c r="J240" s="5">
        <v>6145</v>
      </c>
      <c r="K240" s="5">
        <v>270</v>
      </c>
      <c r="L240" s="5" t="s">
        <v>43</v>
      </c>
      <c r="M240" s="5" t="s">
        <v>19</v>
      </c>
      <c r="N240" s="13">
        <f>(Posts11[[#This Row],[Likes]]+Posts11[[#This Row],[Shares]]+Posts11[[#This Row],[Comments]])/Posts11[[#This Row],[Impressions]]</f>
        <v>0.25701459034792368</v>
      </c>
    </row>
    <row r="241" spans="1:14">
      <c r="A241" s="11" t="s">
        <v>292</v>
      </c>
      <c r="B241" s="6" t="s">
        <v>49</v>
      </c>
      <c r="C241" s="12">
        <v>45445</v>
      </c>
      <c r="D241" s="6" t="s">
        <v>50</v>
      </c>
      <c r="E241" s="6" t="s">
        <v>51</v>
      </c>
      <c r="F241" s="6">
        <v>84</v>
      </c>
      <c r="G241" s="6">
        <v>897</v>
      </c>
      <c r="H241" s="6">
        <v>85</v>
      </c>
      <c r="I241" s="6">
        <v>588</v>
      </c>
      <c r="J241" s="6">
        <v>8</v>
      </c>
      <c r="K241" s="6">
        <v>12</v>
      </c>
      <c r="L241" s="6" t="s">
        <v>52</v>
      </c>
      <c r="M241" s="6"/>
      <c r="N241" s="14">
        <f>(Posts11[[#This Row],[Likes]]+Posts11[[#This Row],[Shares]]+Posts11[[#This Row],[Comments]])/Posts11[[#This Row],[Impressions]]</f>
        <v>1.8129251700680271</v>
      </c>
    </row>
    <row r="242" spans="1:14">
      <c r="A242" s="9" t="s">
        <v>293</v>
      </c>
      <c r="B242" s="5" t="s">
        <v>55</v>
      </c>
      <c r="C242" s="10">
        <v>45739</v>
      </c>
      <c r="D242" s="5" t="s">
        <v>75</v>
      </c>
      <c r="E242" s="5" t="s">
        <v>76</v>
      </c>
      <c r="F242" s="5">
        <v>4453</v>
      </c>
      <c r="G242" s="5">
        <v>111</v>
      </c>
      <c r="H242" s="5">
        <v>420</v>
      </c>
      <c r="I242" s="5">
        <v>31171</v>
      </c>
      <c r="J242" s="5">
        <v>30565</v>
      </c>
      <c r="K242" s="5">
        <v>23</v>
      </c>
      <c r="L242" s="5" t="s">
        <v>43</v>
      </c>
      <c r="M242" s="5"/>
      <c r="N242" s="13">
        <f>(Posts11[[#This Row],[Likes]]+Posts11[[#This Row],[Shares]]+Posts11[[#This Row],[Comments]])/Posts11[[#This Row],[Impressions]]</f>
        <v>0.15989220750056141</v>
      </c>
    </row>
    <row r="243" spans="1:14">
      <c r="A243" s="11" t="s">
        <v>294</v>
      </c>
      <c r="B243" s="6" t="s">
        <v>55</v>
      </c>
      <c r="C243" s="12">
        <v>45573</v>
      </c>
      <c r="D243" s="6" t="s">
        <v>36</v>
      </c>
      <c r="E243" s="6" t="s">
        <v>69</v>
      </c>
      <c r="F243" s="6">
        <v>1814</v>
      </c>
      <c r="G243" s="6">
        <v>653</v>
      </c>
      <c r="H243" s="6">
        <v>363</v>
      </c>
      <c r="I243" s="6">
        <v>25396</v>
      </c>
      <c r="J243" s="6">
        <v>25286</v>
      </c>
      <c r="K243" s="6">
        <v>39</v>
      </c>
      <c r="L243" s="6" t="s">
        <v>38</v>
      </c>
      <c r="M243" s="6" t="s">
        <v>7</v>
      </c>
      <c r="N243" s="14">
        <f>(Posts11[[#This Row],[Likes]]+Posts11[[#This Row],[Shares]]+Posts11[[#This Row],[Comments]])/Posts11[[#This Row],[Impressions]]</f>
        <v>0.11143487163332809</v>
      </c>
    </row>
    <row r="244" spans="1:14">
      <c r="A244" s="9" t="s">
        <v>294</v>
      </c>
      <c r="B244" s="5" t="s">
        <v>55</v>
      </c>
      <c r="C244" s="10">
        <v>45573</v>
      </c>
      <c r="D244" s="5" t="s">
        <v>36</v>
      </c>
      <c r="E244" s="5" t="s">
        <v>69</v>
      </c>
      <c r="F244" s="5">
        <v>1814</v>
      </c>
      <c r="G244" s="5">
        <v>653</v>
      </c>
      <c r="H244" s="5">
        <v>363</v>
      </c>
      <c r="I244" s="5">
        <v>25396</v>
      </c>
      <c r="J244" s="5">
        <v>25286</v>
      </c>
      <c r="K244" s="5">
        <v>39</v>
      </c>
      <c r="L244" s="5" t="s">
        <v>18</v>
      </c>
      <c r="M244" s="5" t="s">
        <v>7</v>
      </c>
      <c r="N244" s="13">
        <f>(Posts11[[#This Row],[Likes]]+Posts11[[#This Row],[Shares]]+Posts11[[#This Row],[Comments]])/Posts11[[#This Row],[Impressions]]</f>
        <v>0.11143487163332809</v>
      </c>
    </row>
    <row r="245" spans="1:14">
      <c r="A245" s="11" t="s">
        <v>295</v>
      </c>
      <c r="B245" s="6" t="s">
        <v>35</v>
      </c>
      <c r="C245" s="12">
        <v>45608</v>
      </c>
      <c r="D245" s="6" t="s">
        <v>61</v>
      </c>
      <c r="E245" s="6" t="s">
        <v>107</v>
      </c>
      <c r="F245" s="6">
        <v>3338</v>
      </c>
      <c r="G245" s="6">
        <v>277</v>
      </c>
      <c r="H245" s="6">
        <v>118</v>
      </c>
      <c r="I245" s="6">
        <v>60084</v>
      </c>
      <c r="J245" s="6">
        <v>59842</v>
      </c>
      <c r="K245" s="6">
        <v>252</v>
      </c>
      <c r="L245" s="6" t="s">
        <v>43</v>
      </c>
      <c r="M245" s="6"/>
      <c r="N245" s="14">
        <f>(Posts11[[#This Row],[Likes]]+Posts11[[#This Row],[Shares]]+Posts11[[#This Row],[Comments]])/Posts11[[#This Row],[Impressions]]</f>
        <v>6.2129685107516146E-2</v>
      </c>
    </row>
    <row r="246" spans="1:14">
      <c r="A246" s="9" t="s">
        <v>296</v>
      </c>
      <c r="B246" s="5" t="s">
        <v>55</v>
      </c>
      <c r="C246" s="10">
        <v>45790</v>
      </c>
      <c r="D246" s="5" t="s">
        <v>61</v>
      </c>
      <c r="E246" s="5" t="s">
        <v>66</v>
      </c>
      <c r="F246" s="5">
        <v>602</v>
      </c>
      <c r="G246" s="5">
        <v>594</v>
      </c>
      <c r="H246" s="5">
        <v>156</v>
      </c>
      <c r="I246" s="5">
        <v>4214</v>
      </c>
      <c r="J246" s="5">
        <v>3363</v>
      </c>
      <c r="K246" s="5">
        <v>164</v>
      </c>
      <c r="L246" s="5" t="s">
        <v>43</v>
      </c>
      <c r="M246" s="5" t="s">
        <v>15</v>
      </c>
      <c r="N246" s="13">
        <f>(Posts11[[#This Row],[Likes]]+Posts11[[#This Row],[Shares]]+Posts11[[#This Row],[Comments]])/Posts11[[#This Row],[Impressions]]</f>
        <v>0.32083531086853345</v>
      </c>
    </row>
    <row r="247" spans="1:14">
      <c r="A247" s="11" t="s">
        <v>297</v>
      </c>
      <c r="B247" s="6" t="s">
        <v>35</v>
      </c>
      <c r="C247" s="12">
        <v>45463</v>
      </c>
      <c r="D247" s="6" t="s">
        <v>56</v>
      </c>
      <c r="E247" s="6" t="s">
        <v>59</v>
      </c>
      <c r="F247" s="6">
        <v>4672</v>
      </c>
      <c r="G247" s="6">
        <v>325</v>
      </c>
      <c r="H247" s="6">
        <v>32</v>
      </c>
      <c r="I247" s="6">
        <v>88768</v>
      </c>
      <c r="J247" s="6">
        <v>87833</v>
      </c>
      <c r="K247" s="6">
        <v>118</v>
      </c>
      <c r="L247" s="6" t="s">
        <v>52</v>
      </c>
      <c r="M247" s="6"/>
      <c r="N247" s="14">
        <f>(Posts11[[#This Row],[Likes]]+Posts11[[#This Row],[Shares]]+Posts11[[#This Row],[Comments]])/Posts11[[#This Row],[Impressions]]</f>
        <v>5.6653298485940883E-2</v>
      </c>
    </row>
    <row r="248" spans="1:14">
      <c r="A248" s="9" t="s">
        <v>298</v>
      </c>
      <c r="B248" s="5" t="s">
        <v>49</v>
      </c>
      <c r="C248" s="10">
        <v>45511</v>
      </c>
      <c r="D248" s="5" t="s">
        <v>56</v>
      </c>
      <c r="E248" s="5" t="s">
        <v>84</v>
      </c>
      <c r="F248" s="5">
        <v>1741</v>
      </c>
      <c r="G248" s="5">
        <v>164</v>
      </c>
      <c r="H248" s="5">
        <v>318</v>
      </c>
      <c r="I248" s="5">
        <v>8705</v>
      </c>
      <c r="J248" s="5">
        <v>8272</v>
      </c>
      <c r="K248" s="5">
        <v>121</v>
      </c>
      <c r="L248" s="5" t="s">
        <v>43</v>
      </c>
      <c r="M248" s="5"/>
      <c r="N248" s="13">
        <f>(Posts11[[#This Row],[Likes]]+Posts11[[#This Row],[Shares]]+Posts11[[#This Row],[Comments]])/Posts11[[#This Row],[Impressions]]</f>
        <v>0.25537047673750718</v>
      </c>
    </row>
    <row r="249" spans="1:14">
      <c r="A249" s="11" t="s">
        <v>299</v>
      </c>
      <c r="B249" s="6" t="s">
        <v>49</v>
      </c>
      <c r="C249" s="12">
        <v>45455</v>
      </c>
      <c r="D249" s="6" t="s">
        <v>41</v>
      </c>
      <c r="E249" s="6" t="s">
        <v>97</v>
      </c>
      <c r="F249" s="6">
        <v>246</v>
      </c>
      <c r="G249" s="6">
        <v>149</v>
      </c>
      <c r="H249" s="6">
        <v>130</v>
      </c>
      <c r="I249" s="6">
        <v>4674</v>
      </c>
      <c r="J249" s="6">
        <v>4390</v>
      </c>
      <c r="K249" s="6">
        <v>217</v>
      </c>
      <c r="L249" s="6" t="s">
        <v>38</v>
      </c>
      <c r="M249" s="6" t="s">
        <v>15</v>
      </c>
      <c r="N249" s="14">
        <f>(Posts11[[#This Row],[Likes]]+Posts11[[#This Row],[Shares]]+Posts11[[#This Row],[Comments]])/Posts11[[#This Row],[Impressions]]</f>
        <v>0.11232349165596919</v>
      </c>
    </row>
    <row r="250" spans="1:14">
      <c r="A250" s="9" t="s">
        <v>300</v>
      </c>
      <c r="B250" s="5" t="s">
        <v>49</v>
      </c>
      <c r="C250" s="10">
        <v>45474</v>
      </c>
      <c r="D250" s="5" t="s">
        <v>50</v>
      </c>
      <c r="E250" s="5" t="s">
        <v>51</v>
      </c>
      <c r="F250" s="5">
        <v>4808</v>
      </c>
      <c r="G250" s="5">
        <v>772</v>
      </c>
      <c r="H250" s="5">
        <v>320</v>
      </c>
      <c r="I250" s="5">
        <v>72120</v>
      </c>
      <c r="J250" s="5">
        <v>71696</v>
      </c>
      <c r="K250" s="5">
        <v>195</v>
      </c>
      <c r="L250" s="5" t="s">
        <v>52</v>
      </c>
      <c r="M250" s="5" t="s">
        <v>7</v>
      </c>
      <c r="N250" s="13">
        <f>(Posts11[[#This Row],[Likes]]+Posts11[[#This Row],[Shares]]+Posts11[[#This Row],[Comments]])/Posts11[[#This Row],[Impressions]]</f>
        <v>8.1808097615085965E-2</v>
      </c>
    </row>
    <row r="251" spans="1:14">
      <c r="A251" s="11" t="s">
        <v>301</v>
      </c>
      <c r="B251" s="6" t="s">
        <v>49</v>
      </c>
      <c r="C251" s="12">
        <v>45476</v>
      </c>
      <c r="D251" s="6" t="s">
        <v>56</v>
      </c>
      <c r="E251" s="6" t="s">
        <v>84</v>
      </c>
      <c r="F251" s="6">
        <v>4799</v>
      </c>
      <c r="G251" s="6">
        <v>694</v>
      </c>
      <c r="H251" s="6">
        <v>289</v>
      </c>
      <c r="I251" s="6">
        <v>43191</v>
      </c>
      <c r="J251" s="6">
        <v>42228</v>
      </c>
      <c r="K251" s="6">
        <v>118</v>
      </c>
      <c r="L251" s="6" t="s">
        <v>43</v>
      </c>
      <c r="M251" s="6"/>
      <c r="N251" s="14">
        <f>(Posts11[[#This Row],[Likes]]+Posts11[[#This Row],[Shares]]+Posts11[[#This Row],[Comments]])/Posts11[[#This Row],[Impressions]]</f>
        <v>0.13387048227640017</v>
      </c>
    </row>
    <row r="252" spans="1:14">
      <c r="A252" s="9" t="s">
        <v>302</v>
      </c>
      <c r="B252" s="5" t="s">
        <v>55</v>
      </c>
      <c r="C252" s="10">
        <v>45488</v>
      </c>
      <c r="D252" s="5" t="s">
        <v>36</v>
      </c>
      <c r="E252" s="5" t="s">
        <v>69</v>
      </c>
      <c r="F252" s="5">
        <v>3663</v>
      </c>
      <c r="G252" s="5">
        <v>17</v>
      </c>
      <c r="H252" s="5">
        <v>295</v>
      </c>
      <c r="I252" s="5">
        <v>51282</v>
      </c>
      <c r="J252" s="5">
        <v>50567</v>
      </c>
      <c r="K252" s="5">
        <v>84</v>
      </c>
      <c r="L252" s="5" t="s">
        <v>52</v>
      </c>
      <c r="M252" s="5" t="s">
        <v>15</v>
      </c>
      <c r="N252" s="13">
        <f>(Posts11[[#This Row],[Likes]]+Posts11[[#This Row],[Shares]]+Posts11[[#This Row],[Comments]])/Posts11[[#This Row],[Impressions]]</f>
        <v>7.7512577512577507E-2</v>
      </c>
    </row>
    <row r="253" spans="1:14">
      <c r="A253" s="11" t="s">
        <v>303</v>
      </c>
      <c r="B253" s="6" t="s">
        <v>49</v>
      </c>
      <c r="C253" s="12">
        <v>45778</v>
      </c>
      <c r="D253" s="6" t="s">
        <v>41</v>
      </c>
      <c r="E253" s="6" t="s">
        <v>97</v>
      </c>
      <c r="F253" s="6">
        <v>1430</v>
      </c>
      <c r="G253" s="6">
        <v>376</v>
      </c>
      <c r="H253" s="6">
        <v>33</v>
      </c>
      <c r="I253" s="6">
        <v>21450</v>
      </c>
      <c r="J253" s="6">
        <v>20509</v>
      </c>
      <c r="K253" s="6">
        <v>251</v>
      </c>
      <c r="L253" s="6" t="s">
        <v>38</v>
      </c>
      <c r="M253" s="6" t="s">
        <v>7</v>
      </c>
      <c r="N253" s="14">
        <f>(Posts11[[#This Row],[Likes]]+Posts11[[#This Row],[Shares]]+Posts11[[#This Row],[Comments]])/Posts11[[#This Row],[Impressions]]</f>
        <v>8.5734265734265735E-2</v>
      </c>
    </row>
    <row r="254" spans="1:14">
      <c r="A254" s="9" t="s">
        <v>304</v>
      </c>
      <c r="B254" s="5" t="s">
        <v>35</v>
      </c>
      <c r="C254" s="10">
        <v>45776</v>
      </c>
      <c r="D254" s="5" t="s">
        <v>50</v>
      </c>
      <c r="E254" s="5" t="s">
        <v>117</v>
      </c>
      <c r="F254" s="5">
        <v>249</v>
      </c>
      <c r="G254" s="5">
        <v>592</v>
      </c>
      <c r="H254" s="5">
        <v>230</v>
      </c>
      <c r="I254" s="5">
        <v>1494</v>
      </c>
      <c r="J254" s="5">
        <v>1044</v>
      </c>
      <c r="K254" s="5">
        <v>201</v>
      </c>
      <c r="L254" s="5" t="s">
        <v>52</v>
      </c>
      <c r="M254" s="5" t="s">
        <v>19</v>
      </c>
      <c r="N254" s="13">
        <f>(Posts11[[#This Row],[Likes]]+Posts11[[#This Row],[Shares]]+Posts11[[#This Row],[Comments]])/Posts11[[#This Row],[Impressions]]</f>
        <v>0.7168674698795181</v>
      </c>
    </row>
    <row r="255" spans="1:14">
      <c r="A255" s="11" t="s">
        <v>305</v>
      </c>
      <c r="B255" s="6" t="s">
        <v>55</v>
      </c>
      <c r="C255" s="12">
        <v>45724</v>
      </c>
      <c r="D255" s="6" t="s">
        <v>61</v>
      </c>
      <c r="E255" s="6" t="s">
        <v>66</v>
      </c>
      <c r="F255" s="6">
        <v>2382</v>
      </c>
      <c r="G255" s="6">
        <v>265</v>
      </c>
      <c r="H255" s="6">
        <v>134</v>
      </c>
      <c r="I255" s="6">
        <v>38112</v>
      </c>
      <c r="J255" s="6">
        <v>37437</v>
      </c>
      <c r="K255" s="6">
        <v>249</v>
      </c>
      <c r="L255" s="6" t="s">
        <v>38</v>
      </c>
      <c r="M255" s="6" t="s">
        <v>19</v>
      </c>
      <c r="N255" s="14">
        <f>(Posts11[[#This Row],[Likes]]+Posts11[[#This Row],[Shares]]+Posts11[[#This Row],[Comments]])/Posts11[[#This Row],[Impressions]]</f>
        <v>7.2969143576826198E-2</v>
      </c>
    </row>
    <row r="256" spans="1:14">
      <c r="A256" s="9" t="s">
        <v>306</v>
      </c>
      <c r="B256" s="5" t="s">
        <v>55</v>
      </c>
      <c r="C256" s="10">
        <v>45444</v>
      </c>
      <c r="D256" s="5" t="s">
        <v>41</v>
      </c>
      <c r="E256" s="5" t="s">
        <v>64</v>
      </c>
      <c r="F256" s="5">
        <v>1272</v>
      </c>
      <c r="G256" s="5">
        <v>465</v>
      </c>
      <c r="H256" s="5">
        <v>99</v>
      </c>
      <c r="I256" s="5">
        <v>24168</v>
      </c>
      <c r="J256" s="5">
        <v>23719</v>
      </c>
      <c r="K256" s="5">
        <v>42</v>
      </c>
      <c r="L256" s="5" t="s">
        <v>43</v>
      </c>
      <c r="M256" s="5"/>
      <c r="N256" s="13">
        <f>(Posts11[[#This Row],[Likes]]+Posts11[[#This Row],[Shares]]+Posts11[[#This Row],[Comments]])/Posts11[[#This Row],[Impressions]]</f>
        <v>7.5968222442899705E-2</v>
      </c>
    </row>
    <row r="257" spans="1:14">
      <c r="A257" s="11" t="s">
        <v>307</v>
      </c>
      <c r="B257" s="6" t="s">
        <v>55</v>
      </c>
      <c r="C257" s="12">
        <v>45648</v>
      </c>
      <c r="D257" s="6" t="s">
        <v>61</v>
      </c>
      <c r="E257" s="6" t="s">
        <v>66</v>
      </c>
      <c r="F257" s="6">
        <v>3196</v>
      </c>
      <c r="G257" s="6">
        <v>941</v>
      </c>
      <c r="H257" s="6">
        <v>376</v>
      </c>
      <c r="I257" s="6">
        <v>35156</v>
      </c>
      <c r="J257" s="6">
        <v>34444</v>
      </c>
      <c r="K257" s="6">
        <v>241</v>
      </c>
      <c r="L257" s="6" t="s">
        <v>43</v>
      </c>
      <c r="M257" s="6" t="s">
        <v>15</v>
      </c>
      <c r="N257" s="14">
        <f>(Posts11[[#This Row],[Likes]]+Posts11[[#This Row],[Shares]]+Posts11[[#This Row],[Comments]])/Posts11[[#This Row],[Impressions]]</f>
        <v>0.1283706906360223</v>
      </c>
    </row>
    <row r="258" spans="1:14">
      <c r="A258" s="9" t="s">
        <v>308</v>
      </c>
      <c r="B258" s="5" t="s">
        <v>55</v>
      </c>
      <c r="C258" s="10">
        <v>45523</v>
      </c>
      <c r="D258" s="5" t="s">
        <v>41</v>
      </c>
      <c r="E258" s="5" t="s">
        <v>64</v>
      </c>
      <c r="F258" s="5">
        <v>1257</v>
      </c>
      <c r="G258" s="5">
        <v>19</v>
      </c>
      <c r="H258" s="5">
        <v>351</v>
      </c>
      <c r="I258" s="5">
        <v>12570</v>
      </c>
      <c r="J258" s="5">
        <v>11660</v>
      </c>
      <c r="K258" s="5">
        <v>194</v>
      </c>
      <c r="L258" s="5" t="s">
        <v>38</v>
      </c>
      <c r="M258" s="5" t="s">
        <v>11</v>
      </c>
      <c r="N258" s="13">
        <f>(Posts11[[#This Row],[Likes]]+Posts11[[#This Row],[Shares]]+Posts11[[#This Row],[Comments]])/Posts11[[#This Row],[Impressions]]</f>
        <v>0.12943516308671441</v>
      </c>
    </row>
    <row r="259" spans="1:14">
      <c r="A259" s="11" t="s">
        <v>308</v>
      </c>
      <c r="B259" s="6" t="s">
        <v>55</v>
      </c>
      <c r="C259" s="12">
        <v>45523</v>
      </c>
      <c r="D259" s="6" t="s">
        <v>41</v>
      </c>
      <c r="E259" s="6" t="s">
        <v>64</v>
      </c>
      <c r="F259" s="6">
        <v>1257</v>
      </c>
      <c r="G259" s="6">
        <v>19</v>
      </c>
      <c r="H259" s="6">
        <v>351</v>
      </c>
      <c r="I259" s="6">
        <v>12570</v>
      </c>
      <c r="J259" s="6">
        <v>11660</v>
      </c>
      <c r="K259" s="6">
        <v>194</v>
      </c>
      <c r="L259" s="6" t="s">
        <v>39</v>
      </c>
      <c r="M259" s="6" t="s">
        <v>11</v>
      </c>
      <c r="N259" s="14">
        <f>(Posts11[[#This Row],[Likes]]+Posts11[[#This Row],[Shares]]+Posts11[[#This Row],[Comments]])/Posts11[[#This Row],[Impressions]]</f>
        <v>0.12943516308671441</v>
      </c>
    </row>
    <row r="260" spans="1:14">
      <c r="A260" s="9" t="s">
        <v>308</v>
      </c>
      <c r="B260" s="5" t="s">
        <v>55</v>
      </c>
      <c r="C260" s="10">
        <v>45523</v>
      </c>
      <c r="D260" s="5" t="s">
        <v>41</v>
      </c>
      <c r="E260" s="5" t="s">
        <v>64</v>
      </c>
      <c r="F260" s="5">
        <v>1257</v>
      </c>
      <c r="G260" s="5">
        <v>19</v>
      </c>
      <c r="H260" s="5">
        <v>351</v>
      </c>
      <c r="I260" s="5">
        <v>12570</v>
      </c>
      <c r="J260" s="5">
        <v>11660</v>
      </c>
      <c r="K260" s="5">
        <v>194</v>
      </c>
      <c r="L260" s="5" t="s">
        <v>52</v>
      </c>
      <c r="M260" s="5" t="s">
        <v>11</v>
      </c>
      <c r="N260" s="13">
        <f>(Posts11[[#This Row],[Likes]]+Posts11[[#This Row],[Shares]]+Posts11[[#This Row],[Comments]])/Posts11[[#This Row],[Impressions]]</f>
        <v>0.12943516308671441</v>
      </c>
    </row>
    <row r="261" spans="1:14">
      <c r="A261" s="11" t="s">
        <v>309</v>
      </c>
      <c r="B261" s="6" t="s">
        <v>49</v>
      </c>
      <c r="C261" s="12">
        <v>45587</v>
      </c>
      <c r="D261" s="6" t="s">
        <v>50</v>
      </c>
      <c r="E261" s="6" t="s">
        <v>51</v>
      </c>
      <c r="F261" s="6">
        <v>3770</v>
      </c>
      <c r="G261" s="6">
        <v>917</v>
      </c>
      <c r="H261" s="6">
        <v>129</v>
      </c>
      <c r="I261" s="6">
        <v>71630</v>
      </c>
      <c r="J261" s="6">
        <v>71322</v>
      </c>
      <c r="K261" s="6">
        <v>76</v>
      </c>
      <c r="L261" s="6" t="s">
        <v>38</v>
      </c>
      <c r="M261" s="6" t="s">
        <v>7</v>
      </c>
      <c r="N261" s="14">
        <f>(Posts11[[#This Row],[Likes]]+Posts11[[#This Row],[Shares]]+Posts11[[#This Row],[Comments]])/Posts11[[#This Row],[Impressions]]</f>
        <v>6.7234398994834563E-2</v>
      </c>
    </row>
    <row r="262" spans="1:14">
      <c r="A262" s="9" t="s">
        <v>310</v>
      </c>
      <c r="B262" s="5" t="s">
        <v>35</v>
      </c>
      <c r="C262" s="10">
        <v>45489</v>
      </c>
      <c r="D262" s="5" t="s">
        <v>41</v>
      </c>
      <c r="E262" s="5" t="s">
        <v>42</v>
      </c>
      <c r="F262" s="5">
        <v>4725</v>
      </c>
      <c r="G262" s="5">
        <v>400</v>
      </c>
      <c r="H262" s="5">
        <v>362</v>
      </c>
      <c r="I262" s="5">
        <v>75600</v>
      </c>
      <c r="J262" s="5">
        <v>74927</v>
      </c>
      <c r="K262" s="5">
        <v>43</v>
      </c>
      <c r="L262" s="5" t="s">
        <v>38</v>
      </c>
      <c r="M262" s="5" t="s">
        <v>19</v>
      </c>
      <c r="N262" s="13">
        <f>(Posts11[[#This Row],[Likes]]+Posts11[[#This Row],[Shares]]+Posts11[[#This Row],[Comments]])/Posts11[[#This Row],[Impressions]]</f>
        <v>7.2579365079365077E-2</v>
      </c>
    </row>
    <row r="263" spans="1:14">
      <c r="A263" s="11" t="s">
        <v>311</v>
      </c>
      <c r="B263" s="6" t="s">
        <v>46</v>
      </c>
      <c r="C263" s="12">
        <v>45712</v>
      </c>
      <c r="D263" s="6" t="s">
        <v>41</v>
      </c>
      <c r="E263" s="6" t="s">
        <v>92</v>
      </c>
      <c r="F263" s="6">
        <v>4188</v>
      </c>
      <c r="G263" s="6">
        <v>942</v>
      </c>
      <c r="H263" s="6">
        <v>118</v>
      </c>
      <c r="I263" s="6">
        <v>20940</v>
      </c>
      <c r="J263" s="6">
        <v>20471</v>
      </c>
      <c r="K263" s="6">
        <v>102</v>
      </c>
      <c r="L263" s="6" t="s">
        <v>38</v>
      </c>
      <c r="M263" s="6"/>
      <c r="N263" s="14">
        <f>(Posts11[[#This Row],[Likes]]+Posts11[[#This Row],[Shares]]+Posts11[[#This Row],[Comments]])/Posts11[[#This Row],[Impressions]]</f>
        <v>0.25062082139446035</v>
      </c>
    </row>
    <row r="264" spans="1:14">
      <c r="A264" s="9" t="s">
        <v>312</v>
      </c>
      <c r="B264" s="5" t="s">
        <v>35</v>
      </c>
      <c r="C264" s="10">
        <v>45530</v>
      </c>
      <c r="D264" s="5" t="s">
        <v>56</v>
      </c>
      <c r="E264" s="5" t="s">
        <v>59</v>
      </c>
      <c r="F264" s="5">
        <v>929</v>
      </c>
      <c r="G264" s="5">
        <v>192</v>
      </c>
      <c r="H264" s="5">
        <v>322</v>
      </c>
      <c r="I264" s="5">
        <v>16722</v>
      </c>
      <c r="J264" s="5">
        <v>15996</v>
      </c>
      <c r="K264" s="5">
        <v>145</v>
      </c>
      <c r="L264" s="5" t="s">
        <v>52</v>
      </c>
      <c r="M264" s="5" t="s">
        <v>15</v>
      </c>
      <c r="N264" s="13">
        <f>(Posts11[[#This Row],[Likes]]+Posts11[[#This Row],[Shares]]+Posts11[[#This Row],[Comments]])/Posts11[[#This Row],[Impressions]]</f>
        <v>8.6293505561535699E-2</v>
      </c>
    </row>
    <row r="265" spans="1:14">
      <c r="A265" s="11" t="s">
        <v>312</v>
      </c>
      <c r="B265" s="6" t="s">
        <v>35</v>
      </c>
      <c r="C265" s="12">
        <v>45530</v>
      </c>
      <c r="D265" s="6" t="s">
        <v>56</v>
      </c>
      <c r="E265" s="6" t="s">
        <v>59</v>
      </c>
      <c r="F265" s="6">
        <v>929</v>
      </c>
      <c r="G265" s="6">
        <v>192</v>
      </c>
      <c r="H265" s="6">
        <v>322</v>
      </c>
      <c r="I265" s="6">
        <v>16722</v>
      </c>
      <c r="J265" s="6">
        <v>15996</v>
      </c>
      <c r="K265" s="6">
        <v>145</v>
      </c>
      <c r="L265" s="6" t="s">
        <v>43</v>
      </c>
      <c r="M265" s="6" t="s">
        <v>15</v>
      </c>
      <c r="N265" s="14">
        <f>(Posts11[[#This Row],[Likes]]+Posts11[[#This Row],[Shares]]+Posts11[[#This Row],[Comments]])/Posts11[[#This Row],[Impressions]]</f>
        <v>8.6293505561535699E-2</v>
      </c>
    </row>
    <row r="266" spans="1:14">
      <c r="A266" s="9" t="s">
        <v>312</v>
      </c>
      <c r="B266" s="5" t="s">
        <v>35</v>
      </c>
      <c r="C266" s="10">
        <v>45530</v>
      </c>
      <c r="D266" s="5" t="s">
        <v>56</v>
      </c>
      <c r="E266" s="5" t="s">
        <v>59</v>
      </c>
      <c r="F266" s="5">
        <v>929</v>
      </c>
      <c r="G266" s="5">
        <v>192</v>
      </c>
      <c r="H266" s="5">
        <v>322</v>
      </c>
      <c r="I266" s="5">
        <v>16722</v>
      </c>
      <c r="J266" s="5">
        <v>15996</v>
      </c>
      <c r="K266" s="5">
        <v>145</v>
      </c>
      <c r="L266" s="5" t="s">
        <v>39</v>
      </c>
      <c r="M266" s="5" t="s">
        <v>15</v>
      </c>
      <c r="N266" s="13">
        <f>(Posts11[[#This Row],[Likes]]+Posts11[[#This Row],[Shares]]+Posts11[[#This Row],[Comments]])/Posts11[[#This Row],[Impressions]]</f>
        <v>8.6293505561535699E-2</v>
      </c>
    </row>
    <row r="267" spans="1:14">
      <c r="A267" s="11" t="s">
        <v>313</v>
      </c>
      <c r="B267" s="6" t="s">
        <v>55</v>
      </c>
      <c r="C267" s="12">
        <v>45675</v>
      </c>
      <c r="D267" s="6" t="s">
        <v>50</v>
      </c>
      <c r="E267" s="6" t="s">
        <v>73</v>
      </c>
      <c r="F267" s="6">
        <v>4321</v>
      </c>
      <c r="G267" s="6">
        <v>874</v>
      </c>
      <c r="H267" s="6">
        <v>172</v>
      </c>
      <c r="I267" s="6">
        <v>30247</v>
      </c>
      <c r="J267" s="6">
        <v>29254</v>
      </c>
      <c r="K267" s="6">
        <v>122</v>
      </c>
      <c r="L267" s="6" t="s">
        <v>43</v>
      </c>
      <c r="M267" s="6" t="s">
        <v>19</v>
      </c>
      <c r="N267" s="14">
        <f>(Posts11[[#This Row],[Likes]]+Posts11[[#This Row],[Shares]]+Posts11[[#This Row],[Comments]])/Posts11[[#This Row],[Impressions]]</f>
        <v>0.17743908486792079</v>
      </c>
    </row>
    <row r="268" spans="1:14">
      <c r="A268" s="9" t="s">
        <v>314</v>
      </c>
      <c r="B268" s="5" t="s">
        <v>55</v>
      </c>
      <c r="C268" s="10">
        <v>45480</v>
      </c>
      <c r="D268" s="5" t="s">
        <v>36</v>
      </c>
      <c r="E268" s="5" t="s">
        <v>69</v>
      </c>
      <c r="F268" s="5">
        <v>4767</v>
      </c>
      <c r="G268" s="5">
        <v>190</v>
      </c>
      <c r="H268" s="5">
        <v>340</v>
      </c>
      <c r="I268" s="5">
        <v>28602</v>
      </c>
      <c r="J268" s="5">
        <v>28044</v>
      </c>
      <c r="K268" s="5">
        <v>210</v>
      </c>
      <c r="L268" s="5" t="s">
        <v>52</v>
      </c>
      <c r="M268" s="5" t="s">
        <v>15</v>
      </c>
      <c r="N268" s="13">
        <f>(Posts11[[#This Row],[Likes]]+Posts11[[#This Row],[Shares]]+Posts11[[#This Row],[Comments]])/Posts11[[#This Row],[Impressions]]</f>
        <v>0.18519683938186141</v>
      </c>
    </row>
    <row r="269" spans="1:14">
      <c r="A269" s="11" t="s">
        <v>315</v>
      </c>
      <c r="B269" s="6" t="s">
        <v>35</v>
      </c>
      <c r="C269" s="12">
        <v>45722</v>
      </c>
      <c r="D269" s="6" t="s">
        <v>61</v>
      </c>
      <c r="E269" s="6" t="s">
        <v>107</v>
      </c>
      <c r="F269" s="6">
        <v>3592</v>
      </c>
      <c r="G269" s="6">
        <v>911</v>
      </c>
      <c r="H269" s="6">
        <v>375</v>
      </c>
      <c r="I269" s="6">
        <v>50288</v>
      </c>
      <c r="J269" s="6">
        <v>49490</v>
      </c>
      <c r="K269" s="6">
        <v>32</v>
      </c>
      <c r="L269" s="6" t="s">
        <v>38</v>
      </c>
      <c r="M269" s="6" t="s">
        <v>19</v>
      </c>
      <c r="N269" s="14">
        <f>(Posts11[[#This Row],[Likes]]+Posts11[[#This Row],[Shares]]+Posts11[[#This Row],[Comments]])/Posts11[[#This Row],[Impressions]]</f>
        <v>9.7001272669424113E-2</v>
      </c>
    </row>
    <row r="270" spans="1:14">
      <c r="A270" s="9" t="s">
        <v>316</v>
      </c>
      <c r="B270" s="5" t="s">
        <v>46</v>
      </c>
      <c r="C270" s="10">
        <v>45590</v>
      </c>
      <c r="D270" s="5" t="s">
        <v>75</v>
      </c>
      <c r="E270" s="5" t="s">
        <v>155</v>
      </c>
      <c r="F270" s="5">
        <v>4661</v>
      </c>
      <c r="G270" s="5">
        <v>935</v>
      </c>
      <c r="H270" s="5">
        <v>433</v>
      </c>
      <c r="I270" s="5">
        <v>23305</v>
      </c>
      <c r="J270" s="5">
        <v>22583</v>
      </c>
      <c r="K270" s="5">
        <v>63</v>
      </c>
      <c r="L270" s="5" t="s">
        <v>38</v>
      </c>
      <c r="M270" s="5" t="s">
        <v>15</v>
      </c>
      <c r="N270" s="13">
        <f>(Posts11[[#This Row],[Likes]]+Posts11[[#This Row],[Shares]]+Posts11[[#This Row],[Comments]])/Posts11[[#This Row],[Impressions]]</f>
        <v>0.25869984981763572</v>
      </c>
    </row>
    <row r="271" spans="1:14">
      <c r="A271" s="11" t="s">
        <v>317</v>
      </c>
      <c r="B271" s="6" t="s">
        <v>55</v>
      </c>
      <c r="C271" s="12">
        <v>45669</v>
      </c>
      <c r="D271" s="6" t="s">
        <v>36</v>
      </c>
      <c r="E271" s="6" t="s">
        <v>69</v>
      </c>
      <c r="F271" s="6">
        <v>4134</v>
      </c>
      <c r="G271" s="6">
        <v>824</v>
      </c>
      <c r="H271" s="6">
        <v>99</v>
      </c>
      <c r="I271" s="6">
        <v>41340</v>
      </c>
      <c r="J271" s="6">
        <v>41050</v>
      </c>
      <c r="K271" s="6">
        <v>177</v>
      </c>
      <c r="L271" s="6" t="s">
        <v>52</v>
      </c>
      <c r="M271" s="6" t="s">
        <v>7</v>
      </c>
      <c r="N271" s="14">
        <f>(Posts11[[#This Row],[Likes]]+Posts11[[#This Row],[Shares]]+Posts11[[#This Row],[Comments]])/Posts11[[#This Row],[Impressions]]</f>
        <v>0.12232704402515723</v>
      </c>
    </row>
    <row r="272" spans="1:14">
      <c r="A272" s="9" t="s">
        <v>318</v>
      </c>
      <c r="B272" s="5" t="s">
        <v>55</v>
      </c>
      <c r="C272" s="10">
        <v>45576</v>
      </c>
      <c r="D272" s="5" t="s">
        <v>61</v>
      </c>
      <c r="E272" s="5" t="s">
        <v>66</v>
      </c>
      <c r="F272" s="5">
        <v>400</v>
      </c>
      <c r="G272" s="5">
        <v>680</v>
      </c>
      <c r="H272" s="5">
        <v>434</v>
      </c>
      <c r="I272" s="5">
        <v>6400</v>
      </c>
      <c r="J272" s="5">
        <v>5472</v>
      </c>
      <c r="K272" s="5">
        <v>160</v>
      </c>
      <c r="L272" s="5" t="s">
        <v>38</v>
      </c>
      <c r="M272" s="5" t="s">
        <v>11</v>
      </c>
      <c r="N272" s="13">
        <f>(Posts11[[#This Row],[Likes]]+Posts11[[#This Row],[Shares]]+Posts11[[#This Row],[Comments]])/Posts11[[#This Row],[Impressions]]</f>
        <v>0.23656250000000001</v>
      </c>
    </row>
    <row r="273" spans="1:14">
      <c r="A273" s="11" t="s">
        <v>319</v>
      </c>
      <c r="B273" s="6" t="s">
        <v>55</v>
      </c>
      <c r="C273" s="12">
        <v>45531</v>
      </c>
      <c r="D273" s="6" t="s">
        <v>36</v>
      </c>
      <c r="E273" s="6" t="s">
        <v>69</v>
      </c>
      <c r="F273" s="6">
        <v>3960</v>
      </c>
      <c r="G273" s="6">
        <v>266</v>
      </c>
      <c r="H273" s="6">
        <v>8</v>
      </c>
      <c r="I273" s="6">
        <v>35640</v>
      </c>
      <c r="J273" s="6">
        <v>34850</v>
      </c>
      <c r="K273" s="6">
        <v>208</v>
      </c>
      <c r="L273" s="6" t="s">
        <v>38</v>
      </c>
      <c r="M273" s="6"/>
      <c r="N273" s="14">
        <f>(Posts11[[#This Row],[Likes]]+Posts11[[#This Row],[Shares]]+Posts11[[#This Row],[Comments]])/Posts11[[#This Row],[Impressions]]</f>
        <v>0.11879910213243547</v>
      </c>
    </row>
    <row r="274" spans="1:14">
      <c r="A274" s="9" t="s">
        <v>319</v>
      </c>
      <c r="B274" s="5" t="s">
        <v>55</v>
      </c>
      <c r="C274" s="10">
        <v>45531</v>
      </c>
      <c r="D274" s="5" t="s">
        <v>36</v>
      </c>
      <c r="E274" s="5" t="s">
        <v>69</v>
      </c>
      <c r="F274" s="5">
        <v>3960</v>
      </c>
      <c r="G274" s="5">
        <v>266</v>
      </c>
      <c r="H274" s="5">
        <v>8</v>
      </c>
      <c r="I274" s="5">
        <v>35640</v>
      </c>
      <c r="J274" s="5">
        <v>34850</v>
      </c>
      <c r="K274" s="5">
        <v>208</v>
      </c>
      <c r="L274" s="5" t="s">
        <v>52</v>
      </c>
      <c r="M274" s="5"/>
      <c r="N274" s="13">
        <f>(Posts11[[#This Row],[Likes]]+Posts11[[#This Row],[Shares]]+Posts11[[#This Row],[Comments]])/Posts11[[#This Row],[Impressions]]</f>
        <v>0.11879910213243547</v>
      </c>
    </row>
    <row r="275" spans="1:14">
      <c r="A275" s="11" t="s">
        <v>319</v>
      </c>
      <c r="B275" s="6" t="s">
        <v>55</v>
      </c>
      <c r="C275" s="12">
        <v>45531</v>
      </c>
      <c r="D275" s="6" t="s">
        <v>36</v>
      </c>
      <c r="E275" s="6" t="s">
        <v>69</v>
      </c>
      <c r="F275" s="6">
        <v>3960</v>
      </c>
      <c r="G275" s="6">
        <v>266</v>
      </c>
      <c r="H275" s="6">
        <v>8</v>
      </c>
      <c r="I275" s="6">
        <v>35640</v>
      </c>
      <c r="J275" s="6">
        <v>34850</v>
      </c>
      <c r="K275" s="6">
        <v>208</v>
      </c>
      <c r="L275" s="6" t="s">
        <v>44</v>
      </c>
      <c r="M275" s="6"/>
      <c r="N275" s="14">
        <f>(Posts11[[#This Row],[Likes]]+Posts11[[#This Row],[Shares]]+Posts11[[#This Row],[Comments]])/Posts11[[#This Row],[Impressions]]</f>
        <v>0.11879910213243547</v>
      </c>
    </row>
    <row r="276" spans="1:14">
      <c r="A276" s="9" t="s">
        <v>320</v>
      </c>
      <c r="B276" s="5" t="s">
        <v>55</v>
      </c>
      <c r="C276" s="10">
        <v>45690</v>
      </c>
      <c r="D276" s="5" t="s">
        <v>50</v>
      </c>
      <c r="E276" s="5" t="s">
        <v>73</v>
      </c>
      <c r="F276" s="5">
        <v>886</v>
      </c>
      <c r="G276" s="5">
        <v>126</v>
      </c>
      <c r="H276" s="5">
        <v>153</v>
      </c>
      <c r="I276" s="5">
        <v>4430</v>
      </c>
      <c r="J276" s="5">
        <v>4037</v>
      </c>
      <c r="K276" s="5">
        <v>212</v>
      </c>
      <c r="L276" s="5" t="s">
        <v>52</v>
      </c>
      <c r="M276" s="5"/>
      <c r="N276" s="13">
        <f>(Posts11[[#This Row],[Likes]]+Posts11[[#This Row],[Shares]]+Posts11[[#This Row],[Comments]])/Posts11[[#This Row],[Impressions]]</f>
        <v>0.26297968397291194</v>
      </c>
    </row>
    <row r="277" spans="1:14">
      <c r="A277" s="11" t="s">
        <v>321</v>
      </c>
      <c r="B277" s="6" t="s">
        <v>35</v>
      </c>
      <c r="C277" s="12">
        <v>45491</v>
      </c>
      <c r="D277" s="6" t="s">
        <v>61</v>
      </c>
      <c r="E277" s="6" t="s">
        <v>107</v>
      </c>
      <c r="F277" s="6">
        <v>827</v>
      </c>
      <c r="G277" s="6">
        <v>77</v>
      </c>
      <c r="H277" s="6">
        <v>402</v>
      </c>
      <c r="I277" s="6">
        <v>14886</v>
      </c>
      <c r="J277" s="6">
        <v>14129</v>
      </c>
      <c r="K277" s="6">
        <v>254</v>
      </c>
      <c r="L277" s="6" t="s">
        <v>52</v>
      </c>
      <c r="M277" s="6" t="s">
        <v>11</v>
      </c>
      <c r="N277" s="14">
        <f>(Posts11[[#This Row],[Likes]]+Posts11[[#This Row],[Shares]]+Posts11[[#This Row],[Comments]])/Posts11[[#This Row],[Impressions]]</f>
        <v>8.7733440816874911E-2</v>
      </c>
    </row>
    <row r="278" spans="1:14">
      <c r="A278" s="9" t="s">
        <v>322</v>
      </c>
      <c r="B278" s="5" t="s">
        <v>55</v>
      </c>
      <c r="C278" s="10">
        <v>45465</v>
      </c>
      <c r="D278" s="5" t="s">
        <v>36</v>
      </c>
      <c r="E278" s="5" t="s">
        <v>69</v>
      </c>
      <c r="F278" s="5">
        <v>3813</v>
      </c>
      <c r="G278" s="5">
        <v>935</v>
      </c>
      <c r="H278" s="5">
        <v>274</v>
      </c>
      <c r="I278" s="5">
        <v>68634</v>
      </c>
      <c r="J278" s="5">
        <v>68488</v>
      </c>
      <c r="K278" s="5">
        <v>251</v>
      </c>
      <c r="L278" s="5" t="s">
        <v>38</v>
      </c>
      <c r="M278" s="5"/>
      <c r="N278" s="13">
        <f>(Posts11[[#This Row],[Likes]]+Posts11[[#This Row],[Shares]]+Posts11[[#This Row],[Comments]])/Posts11[[#This Row],[Impressions]]</f>
        <v>7.3170731707317069E-2</v>
      </c>
    </row>
    <row r="279" spans="1:14">
      <c r="A279" s="11" t="s">
        <v>323</v>
      </c>
      <c r="B279" s="6" t="s">
        <v>49</v>
      </c>
      <c r="C279" s="12">
        <v>45743</v>
      </c>
      <c r="D279" s="6" t="s">
        <v>56</v>
      </c>
      <c r="E279" s="6" t="s">
        <v>84</v>
      </c>
      <c r="F279" s="6">
        <v>1377</v>
      </c>
      <c r="G279" s="6">
        <v>796</v>
      </c>
      <c r="H279" s="6">
        <v>387</v>
      </c>
      <c r="I279" s="6">
        <v>22032</v>
      </c>
      <c r="J279" s="6">
        <v>21869</v>
      </c>
      <c r="K279" s="6">
        <v>189</v>
      </c>
      <c r="L279" s="6" t="s">
        <v>38</v>
      </c>
      <c r="M279" s="6"/>
      <c r="N279" s="14">
        <f>(Posts11[[#This Row],[Likes]]+Posts11[[#This Row],[Shares]]+Posts11[[#This Row],[Comments]])/Posts11[[#This Row],[Impressions]]</f>
        <v>0.11619462599854757</v>
      </c>
    </row>
    <row r="280" spans="1:14">
      <c r="A280" s="9" t="s">
        <v>324</v>
      </c>
      <c r="B280" s="5" t="s">
        <v>55</v>
      </c>
      <c r="C280" s="10">
        <v>45775</v>
      </c>
      <c r="D280" s="5" t="s">
        <v>56</v>
      </c>
      <c r="E280" s="5" t="s">
        <v>57</v>
      </c>
      <c r="F280" s="5">
        <v>2089</v>
      </c>
      <c r="G280" s="5">
        <v>476</v>
      </c>
      <c r="H280" s="5">
        <v>69</v>
      </c>
      <c r="I280" s="5">
        <v>16712</v>
      </c>
      <c r="J280" s="5">
        <v>16309</v>
      </c>
      <c r="K280" s="5">
        <v>64</v>
      </c>
      <c r="L280" s="5" t="s">
        <v>38</v>
      </c>
      <c r="M280" s="5" t="s">
        <v>15</v>
      </c>
      <c r="N280" s="13">
        <f>(Posts11[[#This Row],[Likes]]+Posts11[[#This Row],[Shares]]+Posts11[[#This Row],[Comments]])/Posts11[[#This Row],[Impressions]]</f>
        <v>0.15761129727142173</v>
      </c>
    </row>
    <row r="281" spans="1:14">
      <c r="A281" s="11" t="s">
        <v>325</v>
      </c>
      <c r="B281" s="6" t="s">
        <v>35</v>
      </c>
      <c r="C281" s="12">
        <v>45507</v>
      </c>
      <c r="D281" s="6" t="s">
        <v>36</v>
      </c>
      <c r="E281" s="6" t="s">
        <v>37</v>
      </c>
      <c r="F281" s="6">
        <v>3791</v>
      </c>
      <c r="G281" s="6">
        <v>593</v>
      </c>
      <c r="H281" s="6">
        <v>228</v>
      </c>
      <c r="I281" s="6">
        <v>53074</v>
      </c>
      <c r="J281" s="6">
        <v>52613</v>
      </c>
      <c r="K281" s="6">
        <v>205</v>
      </c>
      <c r="L281" s="6" t="s">
        <v>52</v>
      </c>
      <c r="M281" s="6"/>
      <c r="N281" s="14">
        <f>(Posts11[[#This Row],[Likes]]+Posts11[[#This Row],[Shares]]+Posts11[[#This Row],[Comments]])/Posts11[[#This Row],[Impressions]]</f>
        <v>8.6897539284772202E-2</v>
      </c>
    </row>
    <row r="282" spans="1:14">
      <c r="A282" s="9" t="s">
        <v>326</v>
      </c>
      <c r="B282" s="5" t="s">
        <v>35</v>
      </c>
      <c r="C282" s="10">
        <v>45671</v>
      </c>
      <c r="D282" s="5" t="s">
        <v>61</v>
      </c>
      <c r="E282" s="5" t="s">
        <v>107</v>
      </c>
      <c r="F282" s="5">
        <v>2692</v>
      </c>
      <c r="G282" s="5">
        <v>115</v>
      </c>
      <c r="H282" s="5">
        <v>64</v>
      </c>
      <c r="I282" s="5">
        <v>21536</v>
      </c>
      <c r="J282" s="5">
        <v>21120</v>
      </c>
      <c r="K282" s="5">
        <v>224</v>
      </c>
      <c r="L282" s="5" t="s">
        <v>38</v>
      </c>
      <c r="M282" s="5" t="s">
        <v>11</v>
      </c>
      <c r="N282" s="13">
        <f>(Posts11[[#This Row],[Likes]]+Posts11[[#This Row],[Shares]]+Posts11[[#This Row],[Comments]])/Posts11[[#This Row],[Impressions]]</f>
        <v>0.13331166419019316</v>
      </c>
    </row>
    <row r="283" spans="1:14">
      <c r="A283" s="11" t="s">
        <v>327</v>
      </c>
      <c r="B283" s="6" t="s">
        <v>55</v>
      </c>
      <c r="C283" s="12">
        <v>45750</v>
      </c>
      <c r="D283" s="6" t="s">
        <v>50</v>
      </c>
      <c r="E283" s="6" t="s">
        <v>73</v>
      </c>
      <c r="F283" s="6">
        <v>3767</v>
      </c>
      <c r="G283" s="6">
        <v>514</v>
      </c>
      <c r="H283" s="6">
        <v>238</v>
      </c>
      <c r="I283" s="6">
        <v>37670</v>
      </c>
      <c r="J283" s="6">
        <v>36807</v>
      </c>
      <c r="K283" s="6">
        <v>226</v>
      </c>
      <c r="L283" s="6" t="s">
        <v>38</v>
      </c>
      <c r="M283" s="6" t="s">
        <v>19</v>
      </c>
      <c r="N283" s="14">
        <f>(Posts11[[#This Row],[Likes]]+Posts11[[#This Row],[Shares]]+Posts11[[#This Row],[Comments]])/Posts11[[#This Row],[Impressions]]</f>
        <v>0.11996283514733209</v>
      </c>
    </row>
    <row r="284" spans="1:14">
      <c r="A284" s="9" t="s">
        <v>328</v>
      </c>
      <c r="B284" s="5" t="s">
        <v>46</v>
      </c>
      <c r="C284" s="10">
        <v>45553</v>
      </c>
      <c r="D284" s="5" t="s">
        <v>56</v>
      </c>
      <c r="E284" s="5" t="s">
        <v>71</v>
      </c>
      <c r="F284" s="5">
        <v>2143</v>
      </c>
      <c r="G284" s="5">
        <v>12</v>
      </c>
      <c r="H284" s="5">
        <v>204</v>
      </c>
      <c r="I284" s="5">
        <v>40717</v>
      </c>
      <c r="J284" s="5">
        <v>40125</v>
      </c>
      <c r="K284" s="5">
        <v>248</v>
      </c>
      <c r="L284" s="5" t="s">
        <v>52</v>
      </c>
      <c r="M284" s="5" t="s">
        <v>11</v>
      </c>
      <c r="N284" s="13">
        <f>(Posts11[[#This Row],[Likes]]+Posts11[[#This Row],[Shares]]+Posts11[[#This Row],[Comments]])/Posts11[[#This Row],[Impressions]]</f>
        <v>5.7936488444630008E-2</v>
      </c>
    </row>
    <row r="285" spans="1:14">
      <c r="A285" s="11" t="s">
        <v>329</v>
      </c>
      <c r="B285" s="6" t="s">
        <v>55</v>
      </c>
      <c r="C285" s="12">
        <v>45753</v>
      </c>
      <c r="D285" s="6" t="s">
        <v>61</v>
      </c>
      <c r="E285" s="6" t="s">
        <v>66</v>
      </c>
      <c r="F285" s="6">
        <v>3090</v>
      </c>
      <c r="G285" s="6">
        <v>697</v>
      </c>
      <c r="H285" s="6">
        <v>164</v>
      </c>
      <c r="I285" s="6">
        <v>49440</v>
      </c>
      <c r="J285" s="6">
        <v>48524</v>
      </c>
      <c r="K285" s="6">
        <v>25</v>
      </c>
      <c r="L285" s="6" t="s">
        <v>52</v>
      </c>
      <c r="M285" s="6" t="s">
        <v>11</v>
      </c>
      <c r="N285" s="14">
        <f>(Posts11[[#This Row],[Likes]]+Posts11[[#This Row],[Shares]]+Posts11[[#This Row],[Comments]])/Posts11[[#This Row],[Impressions]]</f>
        <v>7.9915048543689318E-2</v>
      </c>
    </row>
    <row r="286" spans="1:14">
      <c r="A286" s="9" t="s">
        <v>329</v>
      </c>
      <c r="B286" s="5" t="s">
        <v>55</v>
      </c>
      <c r="C286" s="10">
        <v>45753</v>
      </c>
      <c r="D286" s="5" t="s">
        <v>61</v>
      </c>
      <c r="E286" s="5" t="s">
        <v>66</v>
      </c>
      <c r="F286" s="5">
        <v>3090</v>
      </c>
      <c r="G286" s="5">
        <v>697</v>
      </c>
      <c r="H286" s="5">
        <v>164</v>
      </c>
      <c r="I286" s="5">
        <v>49440</v>
      </c>
      <c r="J286" s="5">
        <v>48524</v>
      </c>
      <c r="K286" s="5">
        <v>25</v>
      </c>
      <c r="L286" s="5" t="s">
        <v>52</v>
      </c>
      <c r="M286" s="5" t="s">
        <v>11</v>
      </c>
      <c r="N286" s="13">
        <f>(Posts11[[#This Row],[Likes]]+Posts11[[#This Row],[Shares]]+Posts11[[#This Row],[Comments]])/Posts11[[#This Row],[Impressions]]</f>
        <v>7.9915048543689318E-2</v>
      </c>
    </row>
    <row r="287" spans="1:14">
      <c r="A287" s="11" t="s">
        <v>329</v>
      </c>
      <c r="B287" s="6" t="s">
        <v>55</v>
      </c>
      <c r="C287" s="12">
        <v>45753</v>
      </c>
      <c r="D287" s="6" t="s">
        <v>61</v>
      </c>
      <c r="E287" s="6" t="s">
        <v>66</v>
      </c>
      <c r="F287" s="6">
        <v>3090</v>
      </c>
      <c r="G287" s="6">
        <v>697</v>
      </c>
      <c r="H287" s="6">
        <v>164</v>
      </c>
      <c r="I287" s="6">
        <v>49440</v>
      </c>
      <c r="J287" s="6">
        <v>48524</v>
      </c>
      <c r="K287" s="6">
        <v>25</v>
      </c>
      <c r="L287" s="6" t="s">
        <v>44</v>
      </c>
      <c r="M287" s="6" t="s">
        <v>11</v>
      </c>
      <c r="N287" s="14">
        <f>(Posts11[[#This Row],[Likes]]+Posts11[[#This Row],[Shares]]+Posts11[[#This Row],[Comments]])/Posts11[[#This Row],[Impressions]]</f>
        <v>7.9915048543689318E-2</v>
      </c>
    </row>
    <row r="288" spans="1:14">
      <c r="A288" s="9" t="s">
        <v>330</v>
      </c>
      <c r="B288" s="5" t="s">
        <v>49</v>
      </c>
      <c r="C288" s="10">
        <v>45509</v>
      </c>
      <c r="D288" s="5" t="s">
        <v>50</v>
      </c>
      <c r="E288" s="5" t="s">
        <v>51</v>
      </c>
      <c r="F288" s="5">
        <v>3601</v>
      </c>
      <c r="G288" s="5">
        <v>695</v>
      </c>
      <c r="H288" s="5">
        <v>75</v>
      </c>
      <c r="I288" s="5">
        <v>21606</v>
      </c>
      <c r="J288" s="5">
        <v>21454</v>
      </c>
      <c r="K288" s="5">
        <v>172</v>
      </c>
      <c r="L288" s="5" t="s">
        <v>52</v>
      </c>
      <c r="M288" s="5" t="s">
        <v>11</v>
      </c>
      <c r="N288" s="13">
        <f>(Posts11[[#This Row],[Likes]]+Posts11[[#This Row],[Shares]]+Posts11[[#This Row],[Comments]])/Posts11[[#This Row],[Impressions]]</f>
        <v>0.2023049153013052</v>
      </c>
    </row>
    <row r="289" spans="1:14">
      <c r="A289" s="11" t="s">
        <v>331</v>
      </c>
      <c r="B289" s="6" t="s">
        <v>55</v>
      </c>
      <c r="C289" s="12">
        <v>45698</v>
      </c>
      <c r="D289" s="6" t="s">
        <v>41</v>
      </c>
      <c r="E289" s="6" t="s">
        <v>64</v>
      </c>
      <c r="F289" s="6">
        <v>562</v>
      </c>
      <c r="G289" s="6">
        <v>158</v>
      </c>
      <c r="H289" s="6">
        <v>149</v>
      </c>
      <c r="I289" s="6">
        <v>3372</v>
      </c>
      <c r="J289" s="6">
        <v>2940</v>
      </c>
      <c r="K289" s="6">
        <v>93</v>
      </c>
      <c r="L289" s="6" t="s">
        <v>43</v>
      </c>
      <c r="M289" s="6" t="s">
        <v>7</v>
      </c>
      <c r="N289" s="14">
        <f>(Posts11[[#This Row],[Likes]]+Posts11[[#This Row],[Shares]]+Posts11[[#This Row],[Comments]])/Posts11[[#This Row],[Impressions]]</f>
        <v>0.25771055753262156</v>
      </c>
    </row>
    <row r="290" spans="1:14">
      <c r="A290" s="9" t="s">
        <v>332</v>
      </c>
      <c r="B290" s="5" t="s">
        <v>49</v>
      </c>
      <c r="C290" s="10">
        <v>45700</v>
      </c>
      <c r="D290" s="5" t="s">
        <v>50</v>
      </c>
      <c r="E290" s="5" t="s">
        <v>51</v>
      </c>
      <c r="F290" s="5">
        <v>4332</v>
      </c>
      <c r="G290" s="5">
        <v>771</v>
      </c>
      <c r="H290" s="5">
        <v>219</v>
      </c>
      <c r="I290" s="5">
        <v>60648</v>
      </c>
      <c r="J290" s="5">
        <v>60397</v>
      </c>
      <c r="K290" s="5">
        <v>10</v>
      </c>
      <c r="L290" s="5" t="s">
        <v>43</v>
      </c>
      <c r="M290" s="5" t="s">
        <v>15</v>
      </c>
      <c r="N290" s="13">
        <f>(Posts11[[#This Row],[Likes]]+Posts11[[#This Row],[Shares]]+Posts11[[#This Row],[Comments]])/Posts11[[#This Row],[Impressions]]</f>
        <v>8.7752275425405618E-2</v>
      </c>
    </row>
    <row r="291" spans="1:14">
      <c r="A291" s="11" t="s">
        <v>332</v>
      </c>
      <c r="B291" s="6" t="s">
        <v>49</v>
      </c>
      <c r="C291" s="12">
        <v>45700</v>
      </c>
      <c r="D291" s="6" t="s">
        <v>50</v>
      </c>
      <c r="E291" s="6" t="s">
        <v>51</v>
      </c>
      <c r="F291" s="6">
        <v>4332</v>
      </c>
      <c r="G291" s="6">
        <v>771</v>
      </c>
      <c r="H291" s="6">
        <v>219</v>
      </c>
      <c r="I291" s="6">
        <v>60648</v>
      </c>
      <c r="J291" s="6">
        <v>60397</v>
      </c>
      <c r="K291" s="6">
        <v>10</v>
      </c>
      <c r="L291" s="6" t="s">
        <v>52</v>
      </c>
      <c r="M291" s="6" t="s">
        <v>15</v>
      </c>
      <c r="N291" s="14">
        <f>(Posts11[[#This Row],[Likes]]+Posts11[[#This Row],[Shares]]+Posts11[[#This Row],[Comments]])/Posts11[[#This Row],[Impressions]]</f>
        <v>8.7752275425405618E-2</v>
      </c>
    </row>
    <row r="292" spans="1:14">
      <c r="A292" s="9" t="s">
        <v>332</v>
      </c>
      <c r="B292" s="5" t="s">
        <v>49</v>
      </c>
      <c r="C292" s="10">
        <v>45700</v>
      </c>
      <c r="D292" s="5" t="s">
        <v>50</v>
      </c>
      <c r="E292" s="5" t="s">
        <v>51</v>
      </c>
      <c r="F292" s="5">
        <v>4332</v>
      </c>
      <c r="G292" s="5">
        <v>771</v>
      </c>
      <c r="H292" s="5">
        <v>219</v>
      </c>
      <c r="I292" s="5">
        <v>60648</v>
      </c>
      <c r="J292" s="5">
        <v>60397</v>
      </c>
      <c r="K292" s="5">
        <v>10</v>
      </c>
      <c r="L292" s="5" t="s">
        <v>44</v>
      </c>
      <c r="M292" s="5" t="s">
        <v>15</v>
      </c>
      <c r="N292" s="13">
        <f>(Posts11[[#This Row],[Likes]]+Posts11[[#This Row],[Shares]]+Posts11[[#This Row],[Comments]])/Posts11[[#This Row],[Impressions]]</f>
        <v>8.7752275425405618E-2</v>
      </c>
    </row>
    <row r="293" spans="1:14">
      <c r="A293" s="11" t="s">
        <v>333</v>
      </c>
      <c r="B293" s="6" t="s">
        <v>49</v>
      </c>
      <c r="C293" s="12">
        <v>45592</v>
      </c>
      <c r="D293" s="6" t="s">
        <v>61</v>
      </c>
      <c r="E293" s="6" t="s">
        <v>153</v>
      </c>
      <c r="F293" s="6">
        <v>4853</v>
      </c>
      <c r="G293" s="6">
        <v>837</v>
      </c>
      <c r="H293" s="6">
        <v>340</v>
      </c>
      <c r="I293" s="6">
        <v>72795</v>
      </c>
      <c r="J293" s="6">
        <v>72237</v>
      </c>
      <c r="K293" s="6">
        <v>170</v>
      </c>
      <c r="L293" s="6" t="s">
        <v>52</v>
      </c>
      <c r="M293" s="6" t="s">
        <v>7</v>
      </c>
      <c r="N293" s="14">
        <f>(Posts11[[#This Row],[Likes]]+Posts11[[#This Row],[Shares]]+Posts11[[#This Row],[Comments]])/Posts11[[#This Row],[Impressions]]</f>
        <v>8.2835359571399134E-2</v>
      </c>
    </row>
    <row r="294" spans="1:14">
      <c r="A294" s="9" t="s">
        <v>334</v>
      </c>
      <c r="B294" s="5" t="s">
        <v>46</v>
      </c>
      <c r="C294" s="10">
        <v>45675</v>
      </c>
      <c r="D294" s="5" t="s">
        <v>61</v>
      </c>
      <c r="E294" s="5" t="s">
        <v>62</v>
      </c>
      <c r="F294" s="5">
        <v>1206</v>
      </c>
      <c r="G294" s="5">
        <v>238</v>
      </c>
      <c r="H294" s="5">
        <v>36</v>
      </c>
      <c r="I294" s="5">
        <v>9648</v>
      </c>
      <c r="J294" s="5">
        <v>9417</v>
      </c>
      <c r="K294" s="5">
        <v>237</v>
      </c>
      <c r="L294" s="5" t="s">
        <v>43</v>
      </c>
      <c r="M294" s="5"/>
      <c r="N294" s="13">
        <f>(Posts11[[#This Row],[Likes]]+Posts11[[#This Row],[Shares]]+Posts11[[#This Row],[Comments]])/Posts11[[#This Row],[Impressions]]</f>
        <v>0.15339966832504145</v>
      </c>
    </row>
    <row r="295" spans="1:14">
      <c r="A295" s="11" t="s">
        <v>335</v>
      </c>
      <c r="B295" s="6" t="s">
        <v>49</v>
      </c>
      <c r="C295" s="12">
        <v>45524</v>
      </c>
      <c r="D295" s="6" t="s">
        <v>36</v>
      </c>
      <c r="E295" s="6" t="s">
        <v>80</v>
      </c>
      <c r="F295" s="6">
        <v>2603</v>
      </c>
      <c r="G295" s="6">
        <v>690</v>
      </c>
      <c r="H295" s="6">
        <v>205</v>
      </c>
      <c r="I295" s="6">
        <v>13015</v>
      </c>
      <c r="J295" s="6">
        <v>12130</v>
      </c>
      <c r="K295" s="6">
        <v>20</v>
      </c>
      <c r="L295" s="6" t="s">
        <v>38</v>
      </c>
      <c r="M295" s="6" t="s">
        <v>11</v>
      </c>
      <c r="N295" s="14">
        <f>(Posts11[[#This Row],[Likes]]+Posts11[[#This Row],[Shares]]+Posts11[[#This Row],[Comments]])/Posts11[[#This Row],[Impressions]]</f>
        <v>0.26876680752977333</v>
      </c>
    </row>
    <row r="296" spans="1:14">
      <c r="A296" s="9" t="s">
        <v>336</v>
      </c>
      <c r="B296" s="5" t="s">
        <v>35</v>
      </c>
      <c r="C296" s="10">
        <v>45687</v>
      </c>
      <c r="D296" s="5" t="s">
        <v>61</v>
      </c>
      <c r="E296" s="5" t="s">
        <v>107</v>
      </c>
      <c r="F296" s="5">
        <v>59</v>
      </c>
      <c r="G296" s="5">
        <v>163</v>
      </c>
      <c r="H296" s="5">
        <v>93</v>
      </c>
      <c r="I296" s="5">
        <v>590</v>
      </c>
      <c r="J296" s="5">
        <v>475</v>
      </c>
      <c r="K296" s="5">
        <v>293</v>
      </c>
      <c r="L296" s="5" t="s">
        <v>43</v>
      </c>
      <c r="M296" s="5" t="s">
        <v>11</v>
      </c>
      <c r="N296" s="13">
        <f>(Posts11[[#This Row],[Likes]]+Posts11[[#This Row],[Shares]]+Posts11[[#This Row],[Comments]])/Posts11[[#This Row],[Impressions]]</f>
        <v>0.53389830508474578</v>
      </c>
    </row>
    <row r="297" spans="1:14">
      <c r="A297" s="11" t="s">
        <v>337</v>
      </c>
      <c r="B297" s="6" t="s">
        <v>35</v>
      </c>
      <c r="C297" s="12">
        <v>45708</v>
      </c>
      <c r="D297" s="6" t="s">
        <v>56</v>
      </c>
      <c r="E297" s="6" t="s">
        <v>59</v>
      </c>
      <c r="F297" s="6">
        <v>1877</v>
      </c>
      <c r="G297" s="6">
        <v>745</v>
      </c>
      <c r="H297" s="6">
        <v>225</v>
      </c>
      <c r="I297" s="6">
        <v>11262</v>
      </c>
      <c r="J297" s="6">
        <v>10967</v>
      </c>
      <c r="K297" s="6">
        <v>41</v>
      </c>
      <c r="L297" s="6" t="s">
        <v>52</v>
      </c>
      <c r="M297" s="6" t="s">
        <v>19</v>
      </c>
      <c r="N297" s="14">
        <f>(Posts11[[#This Row],[Likes]]+Posts11[[#This Row],[Shares]]+Posts11[[#This Row],[Comments]])/Posts11[[#This Row],[Impressions]]</f>
        <v>0.25279701651571657</v>
      </c>
    </row>
    <row r="298" spans="1:14">
      <c r="A298" s="9" t="s">
        <v>338</v>
      </c>
      <c r="B298" s="5" t="s">
        <v>55</v>
      </c>
      <c r="C298" s="10">
        <v>45621</v>
      </c>
      <c r="D298" s="5" t="s">
        <v>50</v>
      </c>
      <c r="E298" s="5" t="s">
        <v>73</v>
      </c>
      <c r="F298" s="5">
        <v>4182</v>
      </c>
      <c r="G298" s="5">
        <v>640</v>
      </c>
      <c r="H298" s="5">
        <v>240</v>
      </c>
      <c r="I298" s="5">
        <v>50184</v>
      </c>
      <c r="J298" s="5">
        <v>49351</v>
      </c>
      <c r="K298" s="5">
        <v>10</v>
      </c>
      <c r="L298" s="5" t="s">
        <v>43</v>
      </c>
      <c r="M298" s="5" t="s">
        <v>15</v>
      </c>
      <c r="N298" s="13">
        <f>(Posts11[[#This Row],[Likes]]+Posts11[[#This Row],[Shares]]+Posts11[[#This Row],[Comments]])/Posts11[[#This Row],[Impressions]]</f>
        <v>0.10086880280567512</v>
      </c>
    </row>
    <row r="299" spans="1:14">
      <c r="A299" s="11" t="s">
        <v>339</v>
      </c>
      <c r="B299" s="6" t="s">
        <v>35</v>
      </c>
      <c r="C299" s="12">
        <v>45569</v>
      </c>
      <c r="D299" s="6" t="s">
        <v>36</v>
      </c>
      <c r="E299" s="6" t="s">
        <v>37</v>
      </c>
      <c r="F299" s="6">
        <v>4187</v>
      </c>
      <c r="G299" s="6">
        <v>66</v>
      </c>
      <c r="H299" s="6">
        <v>31</v>
      </c>
      <c r="I299" s="6">
        <v>66992</v>
      </c>
      <c r="J299" s="6">
        <v>66614</v>
      </c>
      <c r="K299" s="6">
        <v>62</v>
      </c>
      <c r="L299" s="6" t="s">
        <v>38</v>
      </c>
      <c r="M299" s="6"/>
      <c r="N299" s="14">
        <f>(Posts11[[#This Row],[Likes]]+Posts11[[#This Row],[Shares]]+Posts11[[#This Row],[Comments]])/Posts11[[#This Row],[Impressions]]</f>
        <v>6.3947934081681396E-2</v>
      </c>
    </row>
    <row r="300" spans="1:14">
      <c r="A300" s="9" t="s">
        <v>340</v>
      </c>
      <c r="B300" s="5" t="s">
        <v>49</v>
      </c>
      <c r="C300" s="10">
        <v>45760</v>
      </c>
      <c r="D300" s="5" t="s">
        <v>36</v>
      </c>
      <c r="E300" s="5" t="s">
        <v>80</v>
      </c>
      <c r="F300" s="5">
        <v>4579</v>
      </c>
      <c r="G300" s="5">
        <v>125</v>
      </c>
      <c r="H300" s="5">
        <v>300</v>
      </c>
      <c r="I300" s="5">
        <v>59527</v>
      </c>
      <c r="J300" s="5">
        <v>59400</v>
      </c>
      <c r="K300" s="5">
        <v>269</v>
      </c>
      <c r="L300" s="5" t="s">
        <v>52</v>
      </c>
      <c r="M300" s="5" t="s">
        <v>7</v>
      </c>
      <c r="N300" s="13">
        <f>(Posts11[[#This Row],[Likes]]+Posts11[[#This Row],[Shares]]+Posts11[[#This Row],[Comments]])/Posts11[[#This Row],[Impressions]]</f>
        <v>8.4062694239588759E-2</v>
      </c>
    </row>
    <row r="301" spans="1:14">
      <c r="A301" s="11" t="s">
        <v>341</v>
      </c>
      <c r="B301" s="6" t="s">
        <v>49</v>
      </c>
      <c r="C301" s="12">
        <v>45601</v>
      </c>
      <c r="D301" s="6" t="s">
        <v>75</v>
      </c>
      <c r="E301" s="6" t="s">
        <v>82</v>
      </c>
      <c r="F301" s="6">
        <v>4561</v>
      </c>
      <c r="G301" s="6">
        <v>51</v>
      </c>
      <c r="H301" s="6">
        <v>441</v>
      </c>
      <c r="I301" s="6">
        <v>22805</v>
      </c>
      <c r="J301" s="6">
        <v>21890</v>
      </c>
      <c r="K301" s="6">
        <v>45</v>
      </c>
      <c r="L301" s="6" t="s">
        <v>43</v>
      </c>
      <c r="M301" s="6" t="s">
        <v>11</v>
      </c>
      <c r="N301" s="14">
        <f>(Posts11[[#This Row],[Likes]]+Posts11[[#This Row],[Shares]]+Posts11[[#This Row],[Comments]])/Posts11[[#This Row],[Impressions]]</f>
        <v>0.22157421618066214</v>
      </c>
    </row>
    <row r="302" spans="1:14">
      <c r="A302" s="9" t="s">
        <v>342</v>
      </c>
      <c r="B302" s="5" t="s">
        <v>46</v>
      </c>
      <c r="C302" s="10">
        <v>45672</v>
      </c>
      <c r="D302" s="5" t="s">
        <v>36</v>
      </c>
      <c r="E302" s="5" t="s">
        <v>47</v>
      </c>
      <c r="F302" s="5">
        <v>3774</v>
      </c>
      <c r="G302" s="5">
        <v>239</v>
      </c>
      <c r="H302" s="5">
        <v>39</v>
      </c>
      <c r="I302" s="5">
        <v>60384</v>
      </c>
      <c r="J302" s="5">
        <v>59490</v>
      </c>
      <c r="K302" s="5">
        <v>241</v>
      </c>
      <c r="L302" s="5" t="s">
        <v>43</v>
      </c>
      <c r="M302" s="5" t="s">
        <v>15</v>
      </c>
      <c r="N302" s="13">
        <f>(Posts11[[#This Row],[Likes]]+Posts11[[#This Row],[Shares]]+Posts11[[#This Row],[Comments]])/Posts11[[#This Row],[Impressions]]</f>
        <v>6.7103868574456813E-2</v>
      </c>
    </row>
    <row r="303" spans="1:14">
      <c r="A303" s="11" t="s">
        <v>343</v>
      </c>
      <c r="B303" s="6" t="s">
        <v>49</v>
      </c>
      <c r="C303" s="12">
        <v>45582</v>
      </c>
      <c r="D303" s="6" t="s">
        <v>75</v>
      </c>
      <c r="E303" s="6" t="s">
        <v>82</v>
      </c>
      <c r="F303" s="6">
        <v>3575</v>
      </c>
      <c r="G303" s="6">
        <v>749</v>
      </c>
      <c r="H303" s="6">
        <v>111</v>
      </c>
      <c r="I303" s="6">
        <v>21450</v>
      </c>
      <c r="J303" s="6">
        <v>20785</v>
      </c>
      <c r="K303" s="6">
        <v>195</v>
      </c>
      <c r="L303" s="6" t="s">
        <v>52</v>
      </c>
      <c r="M303" s="6" t="s">
        <v>11</v>
      </c>
      <c r="N303" s="14">
        <f>(Posts11[[#This Row],[Likes]]+Posts11[[#This Row],[Shares]]+Posts11[[#This Row],[Comments]])/Posts11[[#This Row],[Impressions]]</f>
        <v>0.20675990675990677</v>
      </c>
    </row>
    <row r="304" spans="1:14">
      <c r="A304" s="9" t="s">
        <v>344</v>
      </c>
      <c r="B304" s="5" t="s">
        <v>49</v>
      </c>
      <c r="C304" s="10">
        <v>45743</v>
      </c>
      <c r="D304" s="5" t="s">
        <v>41</v>
      </c>
      <c r="E304" s="5" t="s">
        <v>97</v>
      </c>
      <c r="F304" s="5">
        <v>4941</v>
      </c>
      <c r="G304" s="5">
        <v>414</v>
      </c>
      <c r="H304" s="5">
        <v>266</v>
      </c>
      <c r="I304" s="5">
        <v>39528</v>
      </c>
      <c r="J304" s="5">
        <v>39154</v>
      </c>
      <c r="K304" s="5">
        <v>217</v>
      </c>
      <c r="L304" s="5" t="s">
        <v>43</v>
      </c>
      <c r="M304" s="5" t="s">
        <v>15</v>
      </c>
      <c r="N304" s="13">
        <f>(Posts11[[#This Row],[Likes]]+Posts11[[#This Row],[Shares]]+Posts11[[#This Row],[Comments]])/Posts11[[#This Row],[Impressions]]</f>
        <v>0.14220299534507186</v>
      </c>
    </row>
    <row r="305" spans="1:14">
      <c r="A305" s="11" t="s">
        <v>345</v>
      </c>
      <c r="B305" s="6" t="s">
        <v>46</v>
      </c>
      <c r="C305" s="12">
        <v>45577</v>
      </c>
      <c r="D305" s="6" t="s">
        <v>50</v>
      </c>
      <c r="E305" s="6" t="s">
        <v>120</v>
      </c>
      <c r="F305" s="6">
        <v>3641</v>
      </c>
      <c r="G305" s="6">
        <v>226</v>
      </c>
      <c r="H305" s="6">
        <v>46</v>
      </c>
      <c r="I305" s="6">
        <v>40051</v>
      </c>
      <c r="J305" s="6">
        <v>39319</v>
      </c>
      <c r="K305" s="6">
        <v>296</v>
      </c>
      <c r="L305" s="6" t="s">
        <v>52</v>
      </c>
      <c r="M305" s="6" t="s">
        <v>19</v>
      </c>
      <c r="N305" s="14">
        <f>(Posts11[[#This Row],[Likes]]+Posts11[[#This Row],[Shares]]+Posts11[[#This Row],[Comments]])/Posts11[[#This Row],[Impressions]]</f>
        <v>9.7700431949264685E-2</v>
      </c>
    </row>
    <row r="306" spans="1:14">
      <c r="A306" s="9" t="s">
        <v>346</v>
      </c>
      <c r="B306" s="5" t="s">
        <v>35</v>
      </c>
      <c r="C306" s="10">
        <v>45658</v>
      </c>
      <c r="D306" s="5" t="s">
        <v>56</v>
      </c>
      <c r="E306" s="5" t="s">
        <v>59</v>
      </c>
      <c r="F306" s="5">
        <v>3535</v>
      </c>
      <c r="G306" s="5">
        <v>494</v>
      </c>
      <c r="H306" s="5">
        <v>152</v>
      </c>
      <c r="I306" s="5">
        <v>53025</v>
      </c>
      <c r="J306" s="5">
        <v>52791</v>
      </c>
      <c r="K306" s="5">
        <v>44</v>
      </c>
      <c r="L306" s="5" t="s">
        <v>43</v>
      </c>
      <c r="M306" s="5" t="s">
        <v>19</v>
      </c>
      <c r="N306" s="13">
        <f>(Posts11[[#This Row],[Likes]]+Posts11[[#This Row],[Shares]]+Posts11[[#This Row],[Comments]])/Posts11[[#This Row],[Impressions]]</f>
        <v>7.8849599245638849E-2</v>
      </c>
    </row>
    <row r="307" spans="1:14">
      <c r="A307" s="11" t="s">
        <v>347</v>
      </c>
      <c r="B307" s="6" t="s">
        <v>55</v>
      </c>
      <c r="C307" s="12">
        <v>45509</v>
      </c>
      <c r="D307" s="6" t="s">
        <v>36</v>
      </c>
      <c r="E307" s="6" t="s">
        <v>69</v>
      </c>
      <c r="F307" s="6">
        <v>1741</v>
      </c>
      <c r="G307" s="6">
        <v>831</v>
      </c>
      <c r="H307" s="6">
        <v>345</v>
      </c>
      <c r="I307" s="6">
        <v>17410</v>
      </c>
      <c r="J307" s="6">
        <v>16844</v>
      </c>
      <c r="K307" s="6">
        <v>58</v>
      </c>
      <c r="L307" s="6" t="s">
        <v>52</v>
      </c>
      <c r="M307" s="6" t="s">
        <v>15</v>
      </c>
      <c r="N307" s="14">
        <f>(Posts11[[#This Row],[Likes]]+Posts11[[#This Row],[Shares]]+Posts11[[#This Row],[Comments]])/Posts11[[#This Row],[Impressions]]</f>
        <v>0.16754738655944859</v>
      </c>
    </row>
    <row r="308" spans="1:14">
      <c r="A308" s="9" t="s">
        <v>348</v>
      </c>
      <c r="B308" s="5" t="s">
        <v>35</v>
      </c>
      <c r="C308" s="10">
        <v>45450</v>
      </c>
      <c r="D308" s="5" t="s">
        <v>56</v>
      </c>
      <c r="E308" s="5" t="s">
        <v>59</v>
      </c>
      <c r="F308" s="5">
        <v>1556</v>
      </c>
      <c r="G308" s="5">
        <v>195</v>
      </c>
      <c r="H308" s="5">
        <v>131</v>
      </c>
      <c r="I308" s="5">
        <v>9336</v>
      </c>
      <c r="J308" s="5">
        <v>8875</v>
      </c>
      <c r="K308" s="5">
        <v>137</v>
      </c>
      <c r="L308" s="5" t="s">
        <v>43</v>
      </c>
      <c r="M308" s="5" t="s">
        <v>11</v>
      </c>
      <c r="N308" s="13">
        <f>(Posts11[[#This Row],[Likes]]+Posts11[[#This Row],[Shares]]+Posts11[[#This Row],[Comments]])/Posts11[[#This Row],[Impressions]]</f>
        <v>0.2015852613538989</v>
      </c>
    </row>
    <row r="309" spans="1:14">
      <c r="A309" s="11" t="s">
        <v>349</v>
      </c>
      <c r="B309" s="6" t="s">
        <v>55</v>
      </c>
      <c r="C309" s="12">
        <v>45753</v>
      </c>
      <c r="D309" s="6" t="s">
        <v>61</v>
      </c>
      <c r="E309" s="6" t="s">
        <v>66</v>
      </c>
      <c r="F309" s="6">
        <v>4236</v>
      </c>
      <c r="G309" s="6">
        <v>711</v>
      </c>
      <c r="H309" s="6">
        <v>298</v>
      </c>
      <c r="I309" s="6">
        <v>21180</v>
      </c>
      <c r="J309" s="6">
        <v>20516</v>
      </c>
      <c r="K309" s="6">
        <v>238</v>
      </c>
      <c r="L309" s="6" t="s">
        <v>38</v>
      </c>
      <c r="M309" s="6" t="s">
        <v>7</v>
      </c>
      <c r="N309" s="14">
        <f>(Posts11[[#This Row],[Likes]]+Posts11[[#This Row],[Shares]]+Posts11[[#This Row],[Comments]])/Posts11[[#This Row],[Impressions]]</f>
        <v>0.24763928234183191</v>
      </c>
    </row>
    <row r="310" spans="1:14">
      <c r="A310" s="9" t="s">
        <v>350</v>
      </c>
      <c r="B310" s="5" t="s">
        <v>35</v>
      </c>
      <c r="C310" s="10">
        <v>45622</v>
      </c>
      <c r="D310" s="5" t="s">
        <v>41</v>
      </c>
      <c r="E310" s="5" t="s">
        <v>42</v>
      </c>
      <c r="F310" s="5">
        <v>4516</v>
      </c>
      <c r="G310" s="5">
        <v>836</v>
      </c>
      <c r="H310" s="5">
        <v>169</v>
      </c>
      <c r="I310" s="5">
        <v>49676</v>
      </c>
      <c r="J310" s="5">
        <v>49257</v>
      </c>
      <c r="K310" s="5">
        <v>282</v>
      </c>
      <c r="L310" s="5" t="s">
        <v>52</v>
      </c>
      <c r="M310" s="5" t="s">
        <v>19</v>
      </c>
      <c r="N310" s="13">
        <f>(Posts11[[#This Row],[Likes]]+Posts11[[#This Row],[Shares]]+Posts11[[#This Row],[Comments]])/Posts11[[#This Row],[Impressions]]</f>
        <v>0.11114018842096787</v>
      </c>
    </row>
    <row r="311" spans="1:14">
      <c r="A311" s="11" t="s">
        <v>351</v>
      </c>
      <c r="B311" s="6" t="s">
        <v>46</v>
      </c>
      <c r="C311" s="12">
        <v>45537</v>
      </c>
      <c r="D311" s="6" t="s">
        <v>61</v>
      </c>
      <c r="E311" s="6" t="s">
        <v>62</v>
      </c>
      <c r="F311" s="6">
        <v>4905</v>
      </c>
      <c r="G311" s="6">
        <v>845</v>
      </c>
      <c r="H311" s="6">
        <v>129</v>
      </c>
      <c r="I311" s="6">
        <v>98100</v>
      </c>
      <c r="J311" s="6">
        <v>97772</v>
      </c>
      <c r="K311" s="6">
        <v>279</v>
      </c>
      <c r="L311" s="6" t="s">
        <v>43</v>
      </c>
      <c r="M311" s="6" t="s">
        <v>11</v>
      </c>
      <c r="N311" s="14">
        <f>(Posts11[[#This Row],[Likes]]+Posts11[[#This Row],[Shares]]+Posts11[[#This Row],[Comments]])/Posts11[[#This Row],[Impressions]]</f>
        <v>5.9928644240570844E-2</v>
      </c>
    </row>
    <row r="312" spans="1:14">
      <c r="A312" s="9" t="s">
        <v>352</v>
      </c>
      <c r="B312" s="5" t="s">
        <v>46</v>
      </c>
      <c r="C312" s="10">
        <v>45586</v>
      </c>
      <c r="D312" s="5" t="s">
        <v>75</v>
      </c>
      <c r="E312" s="5" t="s">
        <v>155</v>
      </c>
      <c r="F312" s="5">
        <v>4275</v>
      </c>
      <c r="G312" s="5">
        <v>680</v>
      </c>
      <c r="H312" s="5">
        <v>385</v>
      </c>
      <c r="I312" s="5">
        <v>64125</v>
      </c>
      <c r="J312" s="5">
        <v>63650</v>
      </c>
      <c r="K312" s="5">
        <v>104</v>
      </c>
      <c r="L312" s="5" t="s">
        <v>52</v>
      </c>
      <c r="M312" s="5" t="s">
        <v>19</v>
      </c>
      <c r="N312" s="13">
        <f>(Posts11[[#This Row],[Likes]]+Posts11[[#This Row],[Shares]]+Posts11[[#This Row],[Comments]])/Posts11[[#This Row],[Impressions]]</f>
        <v>8.3274853801169585E-2</v>
      </c>
    </row>
    <row r="313" spans="1:14">
      <c r="A313" s="11" t="s">
        <v>352</v>
      </c>
      <c r="B313" s="6" t="s">
        <v>46</v>
      </c>
      <c r="C313" s="12">
        <v>45586</v>
      </c>
      <c r="D313" s="6" t="s">
        <v>75</v>
      </c>
      <c r="E313" s="6" t="s">
        <v>155</v>
      </c>
      <c r="F313" s="6">
        <v>4275</v>
      </c>
      <c r="G313" s="6">
        <v>680</v>
      </c>
      <c r="H313" s="6">
        <v>385</v>
      </c>
      <c r="I313" s="6">
        <v>64125</v>
      </c>
      <c r="J313" s="6">
        <v>63650</v>
      </c>
      <c r="K313" s="6">
        <v>104</v>
      </c>
      <c r="L313" s="6" t="s">
        <v>43</v>
      </c>
      <c r="M313" s="6" t="s">
        <v>19</v>
      </c>
      <c r="N313" s="14">
        <f>(Posts11[[#This Row],[Likes]]+Posts11[[#This Row],[Shares]]+Posts11[[#This Row],[Comments]])/Posts11[[#This Row],[Impressions]]</f>
        <v>8.3274853801169585E-2</v>
      </c>
    </row>
    <row r="314" spans="1:14">
      <c r="A314" s="9" t="s">
        <v>352</v>
      </c>
      <c r="B314" s="5" t="s">
        <v>46</v>
      </c>
      <c r="C314" s="10">
        <v>45586</v>
      </c>
      <c r="D314" s="5" t="s">
        <v>75</v>
      </c>
      <c r="E314" s="5" t="s">
        <v>155</v>
      </c>
      <c r="F314" s="5">
        <v>4275</v>
      </c>
      <c r="G314" s="5">
        <v>680</v>
      </c>
      <c r="H314" s="5">
        <v>385</v>
      </c>
      <c r="I314" s="5">
        <v>64125</v>
      </c>
      <c r="J314" s="5">
        <v>63650</v>
      </c>
      <c r="K314" s="5">
        <v>104</v>
      </c>
      <c r="L314" s="5" t="s">
        <v>39</v>
      </c>
      <c r="M314" s="5" t="s">
        <v>19</v>
      </c>
      <c r="N314" s="13">
        <f>(Posts11[[#This Row],[Likes]]+Posts11[[#This Row],[Shares]]+Posts11[[#This Row],[Comments]])/Posts11[[#This Row],[Impressions]]</f>
        <v>8.3274853801169585E-2</v>
      </c>
    </row>
    <row r="315" spans="1:14">
      <c r="A315" s="11" t="s">
        <v>353</v>
      </c>
      <c r="B315" s="6" t="s">
        <v>46</v>
      </c>
      <c r="C315" s="12">
        <v>45738</v>
      </c>
      <c r="D315" s="6" t="s">
        <v>61</v>
      </c>
      <c r="E315" s="6" t="s">
        <v>62</v>
      </c>
      <c r="F315" s="6">
        <v>3166</v>
      </c>
      <c r="G315" s="6">
        <v>90</v>
      </c>
      <c r="H315" s="6">
        <v>341</v>
      </c>
      <c r="I315" s="6">
        <v>56988</v>
      </c>
      <c r="J315" s="6">
        <v>56125</v>
      </c>
      <c r="K315" s="6">
        <v>135</v>
      </c>
      <c r="L315" s="6" t="s">
        <v>52</v>
      </c>
      <c r="M315" s="6" t="s">
        <v>11</v>
      </c>
      <c r="N315" s="14">
        <f>(Posts11[[#This Row],[Likes]]+Posts11[[#This Row],[Shares]]+Posts11[[#This Row],[Comments]])/Posts11[[#This Row],[Impressions]]</f>
        <v>6.3118551273952411E-2</v>
      </c>
    </row>
    <row r="316" spans="1:14">
      <c r="A316" s="9" t="s">
        <v>354</v>
      </c>
      <c r="B316" s="5" t="s">
        <v>49</v>
      </c>
      <c r="C316" s="10">
        <v>45568</v>
      </c>
      <c r="D316" s="5" t="s">
        <v>75</v>
      </c>
      <c r="E316" s="5" t="s">
        <v>82</v>
      </c>
      <c r="F316" s="5">
        <v>1488</v>
      </c>
      <c r="G316" s="5">
        <v>417</v>
      </c>
      <c r="H316" s="5">
        <v>168</v>
      </c>
      <c r="I316" s="5">
        <v>19344</v>
      </c>
      <c r="J316" s="5">
        <v>18395</v>
      </c>
      <c r="K316" s="5">
        <v>30</v>
      </c>
      <c r="L316" s="5" t="s">
        <v>38</v>
      </c>
      <c r="M316" s="5" t="s">
        <v>15</v>
      </c>
      <c r="N316" s="13">
        <f>(Posts11[[#This Row],[Likes]]+Posts11[[#This Row],[Shares]]+Posts11[[#This Row],[Comments]])/Posts11[[#This Row],[Impressions]]</f>
        <v>0.1071650124069479</v>
      </c>
    </row>
    <row r="317" spans="1:14">
      <c r="A317" s="11" t="s">
        <v>355</v>
      </c>
      <c r="B317" s="6" t="s">
        <v>35</v>
      </c>
      <c r="C317" s="12">
        <v>45786</v>
      </c>
      <c r="D317" s="6" t="s">
        <v>36</v>
      </c>
      <c r="E317" s="6" t="s">
        <v>37</v>
      </c>
      <c r="F317" s="6">
        <v>3367</v>
      </c>
      <c r="G317" s="6">
        <v>302</v>
      </c>
      <c r="H317" s="6">
        <v>57</v>
      </c>
      <c r="I317" s="6">
        <v>63973</v>
      </c>
      <c r="J317" s="6">
        <v>63789</v>
      </c>
      <c r="K317" s="6">
        <v>157</v>
      </c>
      <c r="L317" s="6" t="s">
        <v>38</v>
      </c>
      <c r="M317" s="6" t="s">
        <v>11</v>
      </c>
      <c r="N317" s="14">
        <f>(Posts11[[#This Row],[Likes]]+Posts11[[#This Row],[Shares]]+Posts11[[#This Row],[Comments]])/Posts11[[#This Row],[Impressions]]</f>
        <v>5.8243321401216137E-2</v>
      </c>
    </row>
    <row r="318" spans="1:14">
      <c r="A318" s="9" t="s">
        <v>356</v>
      </c>
      <c r="B318" s="5" t="s">
        <v>35</v>
      </c>
      <c r="C318" s="10">
        <v>45552</v>
      </c>
      <c r="D318" s="5" t="s">
        <v>41</v>
      </c>
      <c r="E318" s="5" t="s">
        <v>42</v>
      </c>
      <c r="F318" s="5">
        <v>571</v>
      </c>
      <c r="G318" s="5">
        <v>190</v>
      </c>
      <c r="H318" s="5">
        <v>352</v>
      </c>
      <c r="I318" s="5">
        <v>9707</v>
      </c>
      <c r="J318" s="5">
        <v>9418</v>
      </c>
      <c r="K318" s="5">
        <v>231</v>
      </c>
      <c r="L318" s="5" t="s">
        <v>43</v>
      </c>
      <c r="M318" s="5" t="s">
        <v>19</v>
      </c>
      <c r="N318" s="13">
        <f>(Posts11[[#This Row],[Likes]]+Posts11[[#This Row],[Shares]]+Posts11[[#This Row],[Comments]])/Posts11[[#This Row],[Impressions]]</f>
        <v>0.11465952405480581</v>
      </c>
    </row>
    <row r="319" spans="1:14">
      <c r="A319" s="11" t="s">
        <v>357</v>
      </c>
      <c r="B319" s="6" t="s">
        <v>46</v>
      </c>
      <c r="C319" s="12">
        <v>45491</v>
      </c>
      <c r="D319" s="6" t="s">
        <v>41</v>
      </c>
      <c r="E319" s="6" t="s">
        <v>92</v>
      </c>
      <c r="F319" s="6">
        <v>4021</v>
      </c>
      <c r="G319" s="6">
        <v>794</v>
      </c>
      <c r="H319" s="6">
        <v>77</v>
      </c>
      <c r="I319" s="6">
        <v>36189</v>
      </c>
      <c r="J319" s="6">
        <v>35505</v>
      </c>
      <c r="K319" s="6">
        <v>174</v>
      </c>
      <c r="L319" s="6" t="s">
        <v>52</v>
      </c>
      <c r="M319" s="6"/>
      <c r="N319" s="14">
        <f>(Posts11[[#This Row],[Likes]]+Posts11[[#This Row],[Shares]]+Posts11[[#This Row],[Comments]])/Posts11[[#This Row],[Impressions]]</f>
        <v>0.13517919809886983</v>
      </c>
    </row>
    <row r="320" spans="1:14">
      <c r="A320" s="9" t="s">
        <v>358</v>
      </c>
      <c r="B320" s="5" t="s">
        <v>46</v>
      </c>
      <c r="C320" s="10">
        <v>45560</v>
      </c>
      <c r="D320" s="5" t="s">
        <v>75</v>
      </c>
      <c r="E320" s="5" t="s">
        <v>155</v>
      </c>
      <c r="F320" s="5">
        <v>3389</v>
      </c>
      <c r="G320" s="5">
        <v>344</v>
      </c>
      <c r="H320" s="5">
        <v>229</v>
      </c>
      <c r="I320" s="5">
        <v>20334</v>
      </c>
      <c r="J320" s="5">
        <v>19443</v>
      </c>
      <c r="K320" s="5">
        <v>228</v>
      </c>
      <c r="L320" s="5" t="s">
        <v>38</v>
      </c>
      <c r="M320" s="5" t="s">
        <v>15</v>
      </c>
      <c r="N320" s="13">
        <f>(Posts11[[#This Row],[Likes]]+Posts11[[#This Row],[Shares]]+Posts11[[#This Row],[Comments]])/Posts11[[#This Row],[Impressions]]</f>
        <v>0.19484607062063539</v>
      </c>
    </row>
    <row r="321" spans="1:14">
      <c r="A321" s="11" t="s">
        <v>359</v>
      </c>
      <c r="B321" s="6" t="s">
        <v>49</v>
      </c>
      <c r="C321" s="12">
        <v>45519</v>
      </c>
      <c r="D321" s="6" t="s">
        <v>36</v>
      </c>
      <c r="E321" s="6" t="s">
        <v>80</v>
      </c>
      <c r="F321" s="6">
        <v>1164</v>
      </c>
      <c r="G321" s="6">
        <v>616</v>
      </c>
      <c r="H321" s="6">
        <v>324</v>
      </c>
      <c r="I321" s="6">
        <v>6984</v>
      </c>
      <c r="J321" s="6">
        <v>6636</v>
      </c>
      <c r="K321" s="6">
        <v>82</v>
      </c>
      <c r="L321" s="6" t="s">
        <v>52</v>
      </c>
      <c r="M321" s="6" t="s">
        <v>7</v>
      </c>
      <c r="N321" s="14">
        <f>(Posts11[[#This Row],[Likes]]+Posts11[[#This Row],[Shares]]+Posts11[[#This Row],[Comments]])/Posts11[[#This Row],[Impressions]]</f>
        <v>0.30126002290950743</v>
      </c>
    </row>
    <row r="322" spans="1:14">
      <c r="A322" s="9" t="s">
        <v>360</v>
      </c>
      <c r="B322" s="5" t="s">
        <v>46</v>
      </c>
      <c r="C322" s="10">
        <v>45764</v>
      </c>
      <c r="D322" s="5" t="s">
        <v>56</v>
      </c>
      <c r="E322" s="5" t="s">
        <v>71</v>
      </c>
      <c r="F322" s="5">
        <v>4780</v>
      </c>
      <c r="G322" s="5">
        <v>691</v>
      </c>
      <c r="H322" s="5">
        <v>380</v>
      </c>
      <c r="I322" s="5">
        <v>86040</v>
      </c>
      <c r="J322" s="5">
        <v>85743</v>
      </c>
      <c r="K322" s="5">
        <v>262</v>
      </c>
      <c r="L322" s="5" t="s">
        <v>38</v>
      </c>
      <c r="M322" s="5" t="s">
        <v>15</v>
      </c>
      <c r="N322" s="13">
        <f>(Posts11[[#This Row],[Likes]]+Posts11[[#This Row],[Shares]]+Posts11[[#This Row],[Comments]])/Posts11[[#This Row],[Impressions]]</f>
        <v>6.800325430032543E-2</v>
      </c>
    </row>
    <row r="323" spans="1:14">
      <c r="A323" s="11" t="s">
        <v>361</v>
      </c>
      <c r="B323" s="6" t="s">
        <v>55</v>
      </c>
      <c r="C323" s="12">
        <v>45624</v>
      </c>
      <c r="D323" s="6" t="s">
        <v>56</v>
      </c>
      <c r="E323" s="6" t="s">
        <v>57</v>
      </c>
      <c r="F323" s="6">
        <v>2751</v>
      </c>
      <c r="G323" s="6">
        <v>33</v>
      </c>
      <c r="H323" s="6">
        <v>430</v>
      </c>
      <c r="I323" s="6">
        <v>44016</v>
      </c>
      <c r="J323" s="6">
        <v>43415</v>
      </c>
      <c r="K323" s="6">
        <v>129</v>
      </c>
      <c r="L323" s="6" t="s">
        <v>38</v>
      </c>
      <c r="M323" s="6"/>
      <c r="N323" s="14">
        <f>(Posts11[[#This Row],[Likes]]+Posts11[[#This Row],[Shares]]+Posts11[[#This Row],[Comments]])/Posts11[[#This Row],[Impressions]]</f>
        <v>7.3018902217375503E-2</v>
      </c>
    </row>
    <row r="324" spans="1:14">
      <c r="A324" s="9" t="s">
        <v>362</v>
      </c>
      <c r="B324" s="5" t="s">
        <v>49</v>
      </c>
      <c r="C324" s="10">
        <v>45646</v>
      </c>
      <c r="D324" s="5" t="s">
        <v>56</v>
      </c>
      <c r="E324" s="5" t="s">
        <v>84</v>
      </c>
      <c r="F324" s="5">
        <v>2107</v>
      </c>
      <c r="G324" s="5">
        <v>550</v>
      </c>
      <c r="H324" s="5">
        <v>349</v>
      </c>
      <c r="I324" s="5">
        <v>35819</v>
      </c>
      <c r="J324" s="5">
        <v>35340</v>
      </c>
      <c r="K324" s="5">
        <v>191</v>
      </c>
      <c r="L324" s="5" t="s">
        <v>52</v>
      </c>
      <c r="M324" s="5" t="s">
        <v>19</v>
      </c>
      <c r="N324" s="13">
        <f>(Posts11[[#This Row],[Likes]]+Posts11[[#This Row],[Shares]]+Posts11[[#This Row],[Comments]])/Posts11[[#This Row],[Impressions]]</f>
        <v>8.3921940869371006E-2</v>
      </c>
    </row>
    <row r="325" spans="1:14">
      <c r="A325" s="11" t="s">
        <v>363</v>
      </c>
      <c r="B325" s="6" t="s">
        <v>55</v>
      </c>
      <c r="C325" s="12">
        <v>45602</v>
      </c>
      <c r="D325" s="6" t="s">
        <v>75</v>
      </c>
      <c r="E325" s="6" t="s">
        <v>76</v>
      </c>
      <c r="F325" s="6">
        <v>4663</v>
      </c>
      <c r="G325" s="6">
        <v>145</v>
      </c>
      <c r="H325" s="6">
        <v>225</v>
      </c>
      <c r="I325" s="6">
        <v>69945</v>
      </c>
      <c r="J325" s="6">
        <v>69596</v>
      </c>
      <c r="K325" s="6">
        <v>35</v>
      </c>
      <c r="L325" s="6" t="s">
        <v>52</v>
      </c>
      <c r="M325" s="6" t="s">
        <v>19</v>
      </c>
      <c r="N325" s="14">
        <f>(Posts11[[#This Row],[Likes]]+Posts11[[#This Row],[Shares]]+Posts11[[#This Row],[Comments]])/Posts11[[#This Row],[Impressions]]</f>
        <v>7.1956537279290869E-2</v>
      </c>
    </row>
    <row r="326" spans="1:14">
      <c r="A326" s="9" t="s">
        <v>364</v>
      </c>
      <c r="B326" s="5" t="s">
        <v>55</v>
      </c>
      <c r="C326" s="10">
        <v>45613</v>
      </c>
      <c r="D326" s="5" t="s">
        <v>41</v>
      </c>
      <c r="E326" s="5" t="s">
        <v>64</v>
      </c>
      <c r="F326" s="5">
        <v>880</v>
      </c>
      <c r="G326" s="5">
        <v>297</v>
      </c>
      <c r="H326" s="5">
        <v>345</v>
      </c>
      <c r="I326" s="5">
        <v>12320</v>
      </c>
      <c r="J326" s="5">
        <v>11978</v>
      </c>
      <c r="K326" s="5">
        <v>238</v>
      </c>
      <c r="L326" s="5" t="s">
        <v>43</v>
      </c>
      <c r="M326" s="5"/>
      <c r="N326" s="13">
        <f>(Posts11[[#This Row],[Likes]]+Posts11[[#This Row],[Shares]]+Posts11[[#This Row],[Comments]])/Posts11[[#This Row],[Impressions]]</f>
        <v>0.12353896103896105</v>
      </c>
    </row>
    <row r="327" spans="1:14">
      <c r="A327" s="11" t="s">
        <v>364</v>
      </c>
      <c r="B327" s="6" t="s">
        <v>55</v>
      </c>
      <c r="C327" s="12">
        <v>45613</v>
      </c>
      <c r="D327" s="6" t="s">
        <v>41</v>
      </c>
      <c r="E327" s="6" t="s">
        <v>64</v>
      </c>
      <c r="F327" s="6">
        <v>880</v>
      </c>
      <c r="G327" s="6">
        <v>297</v>
      </c>
      <c r="H327" s="6">
        <v>345</v>
      </c>
      <c r="I327" s="6">
        <v>12320</v>
      </c>
      <c r="J327" s="6">
        <v>11978</v>
      </c>
      <c r="K327" s="6">
        <v>238</v>
      </c>
      <c r="L327" s="6" t="s">
        <v>39</v>
      </c>
      <c r="M327" s="6"/>
      <c r="N327" s="14">
        <f>(Posts11[[#This Row],[Likes]]+Posts11[[#This Row],[Shares]]+Posts11[[#This Row],[Comments]])/Posts11[[#This Row],[Impressions]]</f>
        <v>0.12353896103896105</v>
      </c>
    </row>
    <row r="328" spans="1:14">
      <c r="A328" s="9" t="s">
        <v>365</v>
      </c>
      <c r="B328" s="5" t="s">
        <v>55</v>
      </c>
      <c r="C328" s="10">
        <v>45791</v>
      </c>
      <c r="D328" s="5" t="s">
        <v>41</v>
      </c>
      <c r="E328" s="5" t="s">
        <v>64</v>
      </c>
      <c r="F328" s="5">
        <v>2634</v>
      </c>
      <c r="G328" s="5">
        <v>726</v>
      </c>
      <c r="H328" s="5">
        <v>241</v>
      </c>
      <c r="I328" s="5">
        <v>28974</v>
      </c>
      <c r="J328" s="5">
        <v>28102</v>
      </c>
      <c r="K328" s="5">
        <v>277</v>
      </c>
      <c r="L328" s="5" t="s">
        <v>52</v>
      </c>
      <c r="M328" s="5" t="s">
        <v>7</v>
      </c>
      <c r="N328" s="13">
        <f>(Posts11[[#This Row],[Likes]]+Posts11[[#This Row],[Shares]]+Posts11[[#This Row],[Comments]])/Posts11[[#This Row],[Impressions]]</f>
        <v>0.12428384068475185</v>
      </c>
    </row>
    <row r="329" spans="1:14">
      <c r="A329" s="11" t="s">
        <v>366</v>
      </c>
      <c r="B329" s="6" t="s">
        <v>55</v>
      </c>
      <c r="C329" s="12">
        <v>45462</v>
      </c>
      <c r="D329" s="6" t="s">
        <v>56</v>
      </c>
      <c r="E329" s="6" t="s">
        <v>57</v>
      </c>
      <c r="F329" s="6">
        <v>4731</v>
      </c>
      <c r="G329" s="6">
        <v>173</v>
      </c>
      <c r="H329" s="6">
        <v>276</v>
      </c>
      <c r="I329" s="6">
        <v>28386</v>
      </c>
      <c r="J329" s="6">
        <v>28185</v>
      </c>
      <c r="K329" s="6">
        <v>89</v>
      </c>
      <c r="L329" s="6" t="s">
        <v>52</v>
      </c>
      <c r="M329" s="6" t="s">
        <v>15</v>
      </c>
      <c r="N329" s="14">
        <f>(Posts11[[#This Row],[Likes]]+Posts11[[#This Row],[Shares]]+Posts11[[#This Row],[Comments]])/Posts11[[#This Row],[Impressions]]</f>
        <v>0.18248432325794406</v>
      </c>
    </row>
    <row r="330" spans="1:14">
      <c r="A330" s="9" t="s">
        <v>367</v>
      </c>
      <c r="B330" s="5" t="s">
        <v>35</v>
      </c>
      <c r="C330" s="10">
        <v>45783</v>
      </c>
      <c r="D330" s="5" t="s">
        <v>61</v>
      </c>
      <c r="E330" s="5" t="s">
        <v>107</v>
      </c>
      <c r="F330" s="5">
        <v>1952</v>
      </c>
      <c r="G330" s="5">
        <v>344</v>
      </c>
      <c r="H330" s="5">
        <v>287</v>
      </c>
      <c r="I330" s="5">
        <v>15616</v>
      </c>
      <c r="J330" s="5">
        <v>15403</v>
      </c>
      <c r="K330" s="5">
        <v>235</v>
      </c>
      <c r="L330" s="5" t="s">
        <v>38</v>
      </c>
      <c r="M330" s="5" t="s">
        <v>11</v>
      </c>
      <c r="N330" s="13">
        <f>(Posts11[[#This Row],[Likes]]+Posts11[[#This Row],[Shares]]+Posts11[[#This Row],[Comments]])/Posts11[[#This Row],[Impressions]]</f>
        <v>0.16540727459016394</v>
      </c>
    </row>
    <row r="331" spans="1:14">
      <c r="A331" s="11" t="s">
        <v>367</v>
      </c>
      <c r="B331" s="6" t="s">
        <v>35</v>
      </c>
      <c r="C331" s="12">
        <v>45783</v>
      </c>
      <c r="D331" s="6" t="s">
        <v>61</v>
      </c>
      <c r="E331" s="6" t="s">
        <v>107</v>
      </c>
      <c r="F331" s="6">
        <v>1952</v>
      </c>
      <c r="G331" s="6">
        <v>344</v>
      </c>
      <c r="H331" s="6">
        <v>287</v>
      </c>
      <c r="I331" s="6">
        <v>15616</v>
      </c>
      <c r="J331" s="6">
        <v>15403</v>
      </c>
      <c r="K331" s="6">
        <v>235</v>
      </c>
      <c r="L331" s="6" t="s">
        <v>43</v>
      </c>
      <c r="M331" s="6" t="s">
        <v>11</v>
      </c>
      <c r="N331" s="14">
        <f>(Posts11[[#This Row],[Likes]]+Posts11[[#This Row],[Shares]]+Posts11[[#This Row],[Comments]])/Posts11[[#This Row],[Impressions]]</f>
        <v>0.16540727459016394</v>
      </c>
    </row>
    <row r="332" spans="1:14">
      <c r="A332" s="9" t="s">
        <v>367</v>
      </c>
      <c r="B332" s="5" t="s">
        <v>35</v>
      </c>
      <c r="C332" s="10">
        <v>45783</v>
      </c>
      <c r="D332" s="5" t="s">
        <v>61</v>
      </c>
      <c r="E332" s="5" t="s">
        <v>107</v>
      </c>
      <c r="F332" s="5">
        <v>1952</v>
      </c>
      <c r="G332" s="5">
        <v>344</v>
      </c>
      <c r="H332" s="5">
        <v>287</v>
      </c>
      <c r="I332" s="5">
        <v>15616</v>
      </c>
      <c r="J332" s="5">
        <v>15403</v>
      </c>
      <c r="K332" s="5">
        <v>235</v>
      </c>
      <c r="L332" s="5" t="s">
        <v>39</v>
      </c>
      <c r="M332" s="5" t="s">
        <v>11</v>
      </c>
      <c r="N332" s="13">
        <f>(Posts11[[#This Row],[Likes]]+Posts11[[#This Row],[Shares]]+Posts11[[#This Row],[Comments]])/Posts11[[#This Row],[Impressions]]</f>
        <v>0.16540727459016394</v>
      </c>
    </row>
    <row r="333" spans="1:14">
      <c r="A333" s="11" t="s">
        <v>368</v>
      </c>
      <c r="B333" s="6" t="s">
        <v>35</v>
      </c>
      <c r="C333" s="12">
        <v>45699</v>
      </c>
      <c r="D333" s="6" t="s">
        <v>75</v>
      </c>
      <c r="E333" s="6" t="s">
        <v>114</v>
      </c>
      <c r="F333" s="6">
        <v>3440</v>
      </c>
      <c r="G333" s="6">
        <v>13</v>
      </c>
      <c r="H333" s="6">
        <v>20</v>
      </c>
      <c r="I333" s="6">
        <v>58480</v>
      </c>
      <c r="J333" s="6">
        <v>58146</v>
      </c>
      <c r="K333" s="6">
        <v>210</v>
      </c>
      <c r="L333" s="6" t="s">
        <v>43</v>
      </c>
      <c r="M333" s="6" t="s">
        <v>19</v>
      </c>
      <c r="N333" s="14">
        <f>(Posts11[[#This Row],[Likes]]+Posts11[[#This Row],[Shares]]+Posts11[[#This Row],[Comments]])/Posts11[[#This Row],[Impressions]]</f>
        <v>5.9387824897400819E-2</v>
      </c>
    </row>
    <row r="334" spans="1:14">
      <c r="A334" s="9" t="s">
        <v>368</v>
      </c>
      <c r="B334" s="5" t="s">
        <v>35</v>
      </c>
      <c r="C334" s="10">
        <v>45699</v>
      </c>
      <c r="D334" s="5" t="s">
        <v>75</v>
      </c>
      <c r="E334" s="5" t="s">
        <v>114</v>
      </c>
      <c r="F334" s="5">
        <v>3440</v>
      </c>
      <c r="G334" s="5">
        <v>13</v>
      </c>
      <c r="H334" s="5">
        <v>20</v>
      </c>
      <c r="I334" s="5">
        <v>58480</v>
      </c>
      <c r="J334" s="5">
        <v>58146</v>
      </c>
      <c r="K334" s="5">
        <v>210</v>
      </c>
      <c r="L334" s="5" t="s">
        <v>18</v>
      </c>
      <c r="M334" s="5" t="s">
        <v>19</v>
      </c>
      <c r="N334" s="13">
        <f>(Posts11[[#This Row],[Likes]]+Posts11[[#This Row],[Shares]]+Posts11[[#This Row],[Comments]])/Posts11[[#This Row],[Impressions]]</f>
        <v>5.9387824897400819E-2</v>
      </c>
    </row>
    <row r="335" spans="1:14">
      <c r="A335" s="11" t="s">
        <v>369</v>
      </c>
      <c r="B335" s="6" t="s">
        <v>35</v>
      </c>
      <c r="C335" s="12">
        <v>45650</v>
      </c>
      <c r="D335" s="6" t="s">
        <v>41</v>
      </c>
      <c r="E335" s="6" t="s">
        <v>42</v>
      </c>
      <c r="F335" s="6">
        <v>2166</v>
      </c>
      <c r="G335" s="6">
        <v>354</v>
      </c>
      <c r="H335" s="6">
        <v>117</v>
      </c>
      <c r="I335" s="6">
        <v>10830</v>
      </c>
      <c r="J335" s="6">
        <v>10245</v>
      </c>
      <c r="K335" s="6">
        <v>24</v>
      </c>
      <c r="L335" s="6" t="s">
        <v>52</v>
      </c>
      <c r="M335" s="6" t="s">
        <v>19</v>
      </c>
      <c r="N335" s="14">
        <f>(Posts11[[#This Row],[Likes]]+Posts11[[#This Row],[Shares]]+Posts11[[#This Row],[Comments]])/Posts11[[#This Row],[Impressions]]</f>
        <v>0.24349030470914126</v>
      </c>
    </row>
    <row r="336" spans="1:14">
      <c r="A336" s="9" t="s">
        <v>370</v>
      </c>
      <c r="B336" s="5" t="s">
        <v>55</v>
      </c>
      <c r="C336" s="10">
        <v>45589</v>
      </c>
      <c r="D336" s="5" t="s">
        <v>61</v>
      </c>
      <c r="E336" s="5" t="s">
        <v>66</v>
      </c>
      <c r="F336" s="5">
        <v>4303</v>
      </c>
      <c r="G336" s="5">
        <v>451</v>
      </c>
      <c r="H336" s="5">
        <v>286</v>
      </c>
      <c r="I336" s="5">
        <v>86060</v>
      </c>
      <c r="J336" s="5">
        <v>85823</v>
      </c>
      <c r="K336" s="5">
        <v>14</v>
      </c>
      <c r="L336" s="5" t="s">
        <v>43</v>
      </c>
      <c r="M336" s="5" t="s">
        <v>15</v>
      </c>
      <c r="N336" s="13">
        <f>(Posts11[[#This Row],[Likes]]+Posts11[[#This Row],[Shares]]+Posts11[[#This Row],[Comments]])/Posts11[[#This Row],[Impressions]]</f>
        <v>5.8563792702765516E-2</v>
      </c>
    </row>
    <row r="337" spans="1:14">
      <c r="A337" s="11" t="s">
        <v>371</v>
      </c>
      <c r="B337" s="6" t="s">
        <v>55</v>
      </c>
      <c r="C337" s="12">
        <v>45530</v>
      </c>
      <c r="D337" s="6" t="s">
        <v>61</v>
      </c>
      <c r="E337" s="6" t="s">
        <v>66</v>
      </c>
      <c r="F337" s="6">
        <v>2581</v>
      </c>
      <c r="G337" s="6">
        <v>517</v>
      </c>
      <c r="H337" s="6">
        <v>117</v>
      </c>
      <c r="I337" s="6">
        <v>23229</v>
      </c>
      <c r="J337" s="6">
        <v>22331</v>
      </c>
      <c r="K337" s="6">
        <v>70</v>
      </c>
      <c r="L337" s="6" t="s">
        <v>38</v>
      </c>
      <c r="M337" s="6" t="s">
        <v>15</v>
      </c>
      <c r="N337" s="14">
        <f>(Posts11[[#This Row],[Likes]]+Posts11[[#This Row],[Shares]]+Posts11[[#This Row],[Comments]])/Posts11[[#This Row],[Impressions]]</f>
        <v>0.13840458048129492</v>
      </c>
    </row>
    <row r="338" spans="1:14">
      <c r="A338" s="9" t="s">
        <v>372</v>
      </c>
      <c r="B338" s="5" t="s">
        <v>35</v>
      </c>
      <c r="C338" s="10">
        <v>45535</v>
      </c>
      <c r="D338" s="5" t="s">
        <v>56</v>
      </c>
      <c r="E338" s="5" t="s">
        <v>59</v>
      </c>
      <c r="F338" s="5">
        <v>4494</v>
      </c>
      <c r="G338" s="5">
        <v>717</v>
      </c>
      <c r="H338" s="5">
        <v>45</v>
      </c>
      <c r="I338" s="5">
        <v>62916</v>
      </c>
      <c r="J338" s="5">
        <v>62688</v>
      </c>
      <c r="K338" s="5">
        <v>191</v>
      </c>
      <c r="L338" s="5" t="s">
        <v>43</v>
      </c>
      <c r="M338" s="5" t="s">
        <v>7</v>
      </c>
      <c r="N338" s="13">
        <f>(Posts11[[#This Row],[Likes]]+Posts11[[#This Row],[Shares]]+Posts11[[#This Row],[Comments]])/Posts11[[#This Row],[Impressions]]</f>
        <v>8.3539958039290485E-2</v>
      </c>
    </row>
    <row r="339" spans="1:14">
      <c r="A339" s="11" t="s">
        <v>372</v>
      </c>
      <c r="B339" s="6" t="s">
        <v>35</v>
      </c>
      <c r="C339" s="12">
        <v>45535</v>
      </c>
      <c r="D339" s="6" t="s">
        <v>56</v>
      </c>
      <c r="E339" s="6" t="s">
        <v>59</v>
      </c>
      <c r="F339" s="6">
        <v>4494</v>
      </c>
      <c r="G339" s="6">
        <v>717</v>
      </c>
      <c r="H339" s="6">
        <v>45</v>
      </c>
      <c r="I339" s="6">
        <v>62916</v>
      </c>
      <c r="J339" s="6">
        <v>62688</v>
      </c>
      <c r="K339" s="6">
        <v>191</v>
      </c>
      <c r="L339" s="6" t="s">
        <v>52</v>
      </c>
      <c r="M339" s="6" t="s">
        <v>7</v>
      </c>
      <c r="N339" s="14">
        <f>(Posts11[[#This Row],[Likes]]+Posts11[[#This Row],[Shares]]+Posts11[[#This Row],[Comments]])/Posts11[[#This Row],[Impressions]]</f>
        <v>8.3539958039290485E-2</v>
      </c>
    </row>
    <row r="340" spans="1:14">
      <c r="A340" s="9" t="s">
        <v>372</v>
      </c>
      <c r="B340" s="5" t="s">
        <v>35</v>
      </c>
      <c r="C340" s="10">
        <v>45535</v>
      </c>
      <c r="D340" s="5" t="s">
        <v>56</v>
      </c>
      <c r="E340" s="5" t="s">
        <v>59</v>
      </c>
      <c r="F340" s="5">
        <v>4494</v>
      </c>
      <c r="G340" s="5">
        <v>717</v>
      </c>
      <c r="H340" s="5">
        <v>45</v>
      </c>
      <c r="I340" s="5">
        <v>62916</v>
      </c>
      <c r="J340" s="5">
        <v>62688</v>
      </c>
      <c r="K340" s="5">
        <v>191</v>
      </c>
      <c r="L340" s="5" t="s">
        <v>44</v>
      </c>
      <c r="M340" s="5" t="s">
        <v>7</v>
      </c>
      <c r="N340" s="13">
        <f>(Posts11[[#This Row],[Likes]]+Posts11[[#This Row],[Shares]]+Posts11[[#This Row],[Comments]])/Posts11[[#This Row],[Impressions]]</f>
        <v>8.3539958039290485E-2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86C71-8FCE-4364-B21A-52CE3FA802D3}">
  <dimension ref="A1:N340"/>
  <sheetViews>
    <sheetView workbookViewId="0">
      <selection activeCell="N1" sqref="N1"/>
    </sheetView>
  </sheetViews>
  <sheetFormatPr defaultRowHeight="14.4"/>
  <cols>
    <col min="1" max="1" width="9" bestFit="1" customWidth="1"/>
    <col min="2" max="2" width="10.44140625" bestFit="1" customWidth="1"/>
    <col min="3" max="3" width="10.33203125" bestFit="1" customWidth="1"/>
    <col min="4" max="4" width="14" bestFit="1" customWidth="1"/>
    <col min="5" max="5" width="36.109375" bestFit="1" customWidth="1"/>
    <col min="6" max="6" width="7.5546875" bestFit="1" customWidth="1"/>
    <col min="8" max="8" width="12.33203125" bestFit="1" customWidth="1"/>
    <col min="9" max="9" width="13.44140625" bestFit="1" customWidth="1"/>
    <col min="10" max="10" width="8.33203125" bestFit="1" customWidth="1"/>
    <col min="11" max="11" width="8.44140625" bestFit="1" customWidth="1"/>
    <col min="12" max="12" width="19.77734375" bestFit="1" customWidth="1"/>
    <col min="13" max="14" width="17.5546875" bestFit="1" customWidth="1"/>
  </cols>
  <sheetData>
    <row r="1" spans="1:14">
      <c r="A1" s="2" t="s">
        <v>23</v>
      </c>
      <c r="B1" s="3" t="s">
        <v>24</v>
      </c>
      <c r="C1" s="3" t="s">
        <v>25</v>
      </c>
      <c r="D1" s="3" t="s">
        <v>26</v>
      </c>
      <c r="E1" s="3" t="s">
        <v>27</v>
      </c>
      <c r="F1" s="3" t="s">
        <v>28</v>
      </c>
      <c r="G1" s="3" t="s">
        <v>29</v>
      </c>
      <c r="H1" s="3" t="s">
        <v>30</v>
      </c>
      <c r="I1" s="3" t="s">
        <v>31</v>
      </c>
      <c r="J1" s="3" t="s">
        <v>32</v>
      </c>
      <c r="K1" s="3" t="s">
        <v>33</v>
      </c>
      <c r="L1" s="3" t="s">
        <v>382</v>
      </c>
      <c r="M1" s="3" t="s">
        <v>0</v>
      </c>
      <c r="N1" s="4" t="s">
        <v>379</v>
      </c>
    </row>
    <row r="2" spans="1:14">
      <c r="A2" s="11" t="s">
        <v>292</v>
      </c>
      <c r="B2" s="6" t="s">
        <v>49</v>
      </c>
      <c r="C2" s="12">
        <v>45445</v>
      </c>
      <c r="D2" s="6" t="s">
        <v>50</v>
      </c>
      <c r="E2" s="6" t="s">
        <v>51</v>
      </c>
      <c r="F2" s="6">
        <v>84</v>
      </c>
      <c r="G2" s="6">
        <v>897</v>
      </c>
      <c r="H2" s="6">
        <v>85</v>
      </c>
      <c r="I2" s="6">
        <v>588</v>
      </c>
      <c r="J2" s="6">
        <v>8</v>
      </c>
      <c r="K2" s="6">
        <v>12</v>
      </c>
      <c r="L2" s="6" t="s">
        <v>52</v>
      </c>
      <c r="M2" s="6"/>
      <c r="N2" s="14">
        <f>(Posts1114[[#This Row],[Likes]]+Posts1114[[#This Row],[Shares]]+Posts1114[[#This Row],[Comments]])/Posts1114[[#This Row],[Impressions]]</f>
        <v>1.8129251700680271</v>
      </c>
    </row>
    <row r="3" spans="1:14">
      <c r="A3" s="9" t="s">
        <v>128</v>
      </c>
      <c r="B3" s="5" t="s">
        <v>49</v>
      </c>
      <c r="C3" s="10">
        <v>45762</v>
      </c>
      <c r="D3" s="5" t="s">
        <v>36</v>
      </c>
      <c r="E3" s="5" t="s">
        <v>80</v>
      </c>
      <c r="F3" s="5">
        <v>103</v>
      </c>
      <c r="G3" s="5">
        <v>770</v>
      </c>
      <c r="H3" s="5">
        <v>19</v>
      </c>
      <c r="I3" s="5">
        <v>1030</v>
      </c>
      <c r="J3" s="5">
        <v>410</v>
      </c>
      <c r="K3" s="5">
        <v>262</v>
      </c>
      <c r="L3" s="5" t="s">
        <v>43</v>
      </c>
      <c r="M3" s="5" t="s">
        <v>19</v>
      </c>
      <c r="N3" s="13">
        <f>(Posts1114[[#This Row],[Likes]]+Posts1114[[#This Row],[Shares]]+Posts1114[[#This Row],[Comments]])/Posts1114[[#This Row],[Impressions]]</f>
        <v>0.86601941747572819</v>
      </c>
    </row>
    <row r="4" spans="1:14">
      <c r="A4" s="9" t="s">
        <v>304</v>
      </c>
      <c r="B4" s="5" t="s">
        <v>35</v>
      </c>
      <c r="C4" s="10">
        <v>45776</v>
      </c>
      <c r="D4" s="5" t="s">
        <v>50</v>
      </c>
      <c r="E4" s="5" t="s">
        <v>117</v>
      </c>
      <c r="F4" s="5">
        <v>249</v>
      </c>
      <c r="G4" s="5">
        <v>592</v>
      </c>
      <c r="H4" s="5">
        <v>230</v>
      </c>
      <c r="I4" s="5">
        <v>1494</v>
      </c>
      <c r="J4" s="5">
        <v>1044</v>
      </c>
      <c r="K4" s="5">
        <v>201</v>
      </c>
      <c r="L4" s="5" t="s">
        <v>52</v>
      </c>
      <c r="M4" s="5" t="s">
        <v>19</v>
      </c>
      <c r="N4" s="13">
        <f>(Posts1114[[#This Row],[Likes]]+Posts1114[[#This Row],[Shares]]+Posts1114[[#This Row],[Comments]])/Posts1114[[#This Row],[Impressions]]</f>
        <v>0.7168674698795181</v>
      </c>
    </row>
    <row r="5" spans="1:14">
      <c r="A5" s="9" t="s">
        <v>250</v>
      </c>
      <c r="B5" s="5" t="s">
        <v>49</v>
      </c>
      <c r="C5" s="10">
        <v>45603</v>
      </c>
      <c r="D5" s="5" t="s">
        <v>75</v>
      </c>
      <c r="E5" s="5" t="s">
        <v>82</v>
      </c>
      <c r="F5" s="5">
        <v>129</v>
      </c>
      <c r="G5" s="5">
        <v>643</v>
      </c>
      <c r="H5" s="5">
        <v>136</v>
      </c>
      <c r="I5" s="5">
        <v>1290</v>
      </c>
      <c r="J5" s="5">
        <v>839</v>
      </c>
      <c r="K5" s="5">
        <v>238</v>
      </c>
      <c r="L5" s="5" t="s">
        <v>43</v>
      </c>
      <c r="M5" s="5" t="s">
        <v>19</v>
      </c>
      <c r="N5" s="13">
        <f>(Posts1114[[#This Row],[Likes]]+Posts1114[[#This Row],[Shares]]+Posts1114[[#This Row],[Comments]])/Posts1114[[#This Row],[Impressions]]</f>
        <v>0.70387596899224802</v>
      </c>
    </row>
    <row r="6" spans="1:14">
      <c r="A6" s="11" t="s">
        <v>247</v>
      </c>
      <c r="B6" s="6" t="s">
        <v>49</v>
      </c>
      <c r="C6" s="12">
        <v>45674</v>
      </c>
      <c r="D6" s="6" t="s">
        <v>36</v>
      </c>
      <c r="E6" s="6" t="s">
        <v>80</v>
      </c>
      <c r="F6" s="6">
        <v>142</v>
      </c>
      <c r="G6" s="6">
        <v>784</v>
      </c>
      <c r="H6" s="6">
        <v>183</v>
      </c>
      <c r="I6" s="6">
        <v>1704</v>
      </c>
      <c r="J6" s="6">
        <v>995</v>
      </c>
      <c r="K6" s="6">
        <v>154</v>
      </c>
      <c r="L6" s="6" t="s">
        <v>38</v>
      </c>
      <c r="M6" s="6" t="s">
        <v>19</v>
      </c>
      <c r="N6" s="14">
        <f>(Posts1114[[#This Row],[Likes]]+Posts1114[[#This Row],[Shares]]+Posts1114[[#This Row],[Comments]])/Posts1114[[#This Row],[Impressions]]</f>
        <v>0.6508215962441315</v>
      </c>
    </row>
    <row r="7" spans="1:14">
      <c r="A7" s="9" t="s">
        <v>132</v>
      </c>
      <c r="B7" s="5" t="s">
        <v>35</v>
      </c>
      <c r="C7" s="10">
        <v>45618</v>
      </c>
      <c r="D7" s="5" t="s">
        <v>56</v>
      </c>
      <c r="E7" s="5" t="s">
        <v>59</v>
      </c>
      <c r="F7" s="5">
        <v>53</v>
      </c>
      <c r="G7" s="5">
        <v>81</v>
      </c>
      <c r="H7" s="5">
        <v>379</v>
      </c>
      <c r="I7" s="5">
        <v>954</v>
      </c>
      <c r="J7" s="5">
        <v>7</v>
      </c>
      <c r="K7" s="5">
        <v>148</v>
      </c>
      <c r="L7" s="5" t="s">
        <v>43</v>
      </c>
      <c r="M7" s="5" t="s">
        <v>15</v>
      </c>
      <c r="N7" s="13">
        <f>(Posts1114[[#This Row],[Likes]]+Posts1114[[#This Row],[Shares]]+Posts1114[[#This Row],[Comments]])/Posts1114[[#This Row],[Impressions]]</f>
        <v>0.53773584905660377</v>
      </c>
    </row>
    <row r="8" spans="1:14">
      <c r="A8" s="9" t="s">
        <v>336</v>
      </c>
      <c r="B8" s="5" t="s">
        <v>35</v>
      </c>
      <c r="C8" s="10">
        <v>45687</v>
      </c>
      <c r="D8" s="5" t="s">
        <v>61</v>
      </c>
      <c r="E8" s="5" t="s">
        <v>107</v>
      </c>
      <c r="F8" s="5">
        <v>59</v>
      </c>
      <c r="G8" s="5">
        <v>163</v>
      </c>
      <c r="H8" s="5">
        <v>93</v>
      </c>
      <c r="I8" s="5">
        <v>590</v>
      </c>
      <c r="J8" s="5">
        <v>475</v>
      </c>
      <c r="K8" s="5">
        <v>293</v>
      </c>
      <c r="L8" s="5" t="s">
        <v>43</v>
      </c>
      <c r="M8" s="5" t="s">
        <v>11</v>
      </c>
      <c r="N8" s="13">
        <f>(Posts1114[[#This Row],[Likes]]+Posts1114[[#This Row],[Shares]]+Posts1114[[#This Row],[Comments]])/Posts1114[[#This Row],[Impressions]]</f>
        <v>0.53389830508474578</v>
      </c>
    </row>
    <row r="9" spans="1:14">
      <c r="A9" s="11" t="s">
        <v>215</v>
      </c>
      <c r="B9" s="6" t="s">
        <v>46</v>
      </c>
      <c r="C9" s="12">
        <v>45567</v>
      </c>
      <c r="D9" s="6" t="s">
        <v>56</v>
      </c>
      <c r="E9" s="6" t="s">
        <v>71</v>
      </c>
      <c r="F9" s="6">
        <v>80</v>
      </c>
      <c r="G9" s="6">
        <v>362</v>
      </c>
      <c r="H9" s="6">
        <v>80</v>
      </c>
      <c r="I9" s="6">
        <v>1040</v>
      </c>
      <c r="J9" s="6">
        <v>349</v>
      </c>
      <c r="K9" s="6">
        <v>117</v>
      </c>
      <c r="L9" s="6" t="s">
        <v>43</v>
      </c>
      <c r="M9" s="6" t="s">
        <v>15</v>
      </c>
      <c r="N9" s="14">
        <f>(Posts1114[[#This Row],[Likes]]+Posts1114[[#This Row],[Shares]]+Posts1114[[#This Row],[Comments]])/Posts1114[[#This Row],[Impressions]]</f>
        <v>0.50192307692307692</v>
      </c>
    </row>
    <row r="10" spans="1:14">
      <c r="A10" s="11" t="s">
        <v>282</v>
      </c>
      <c r="B10" s="6" t="s">
        <v>46</v>
      </c>
      <c r="C10" s="12">
        <v>45707</v>
      </c>
      <c r="D10" s="6" t="s">
        <v>61</v>
      </c>
      <c r="E10" s="6" t="s">
        <v>62</v>
      </c>
      <c r="F10" s="6">
        <v>257</v>
      </c>
      <c r="G10" s="6">
        <v>966</v>
      </c>
      <c r="H10" s="6">
        <v>398</v>
      </c>
      <c r="I10" s="6">
        <v>3341</v>
      </c>
      <c r="J10" s="6">
        <v>2753</v>
      </c>
      <c r="K10" s="6">
        <v>287</v>
      </c>
      <c r="L10" s="6" t="s">
        <v>38</v>
      </c>
      <c r="M10" s="6" t="s">
        <v>7</v>
      </c>
      <c r="N10" s="14">
        <f>(Posts1114[[#This Row],[Likes]]+Posts1114[[#This Row],[Shares]]+Posts1114[[#This Row],[Comments]])/Posts1114[[#This Row],[Impressions]]</f>
        <v>0.48518407662376534</v>
      </c>
    </row>
    <row r="11" spans="1:14">
      <c r="A11" s="9" t="s">
        <v>140</v>
      </c>
      <c r="B11" s="5" t="s">
        <v>55</v>
      </c>
      <c r="C11" s="10">
        <v>45749</v>
      </c>
      <c r="D11" s="5" t="s">
        <v>75</v>
      </c>
      <c r="E11" s="5" t="s">
        <v>76</v>
      </c>
      <c r="F11" s="5">
        <v>199</v>
      </c>
      <c r="G11" s="5">
        <v>772</v>
      </c>
      <c r="H11" s="5">
        <v>400</v>
      </c>
      <c r="I11" s="5">
        <v>3582</v>
      </c>
      <c r="J11" s="5">
        <v>2988</v>
      </c>
      <c r="K11" s="5">
        <v>43</v>
      </c>
      <c r="L11" s="5" t="s">
        <v>43</v>
      </c>
      <c r="M11" s="5"/>
      <c r="N11" s="13">
        <f>(Posts1114[[#This Row],[Likes]]+Posts1114[[#This Row],[Shares]]+Posts1114[[#This Row],[Comments]])/Posts1114[[#This Row],[Impressions]]</f>
        <v>0.38274706867671693</v>
      </c>
    </row>
    <row r="12" spans="1:14" hidden="1">
      <c r="A12" s="11" t="s">
        <v>286</v>
      </c>
      <c r="B12" s="6" t="s">
        <v>49</v>
      </c>
      <c r="C12" s="12">
        <v>45649</v>
      </c>
      <c r="D12" s="6" t="s">
        <v>61</v>
      </c>
      <c r="E12" s="6" t="s">
        <v>153</v>
      </c>
      <c r="F12" s="6">
        <v>521</v>
      </c>
      <c r="G12" s="6">
        <v>746</v>
      </c>
      <c r="H12" s="6">
        <v>315</v>
      </c>
      <c r="I12" s="6">
        <v>4168</v>
      </c>
      <c r="J12" s="6">
        <v>3399</v>
      </c>
      <c r="K12" s="6">
        <v>282</v>
      </c>
      <c r="L12" s="6" t="s">
        <v>38</v>
      </c>
      <c r="M12" s="6" t="s">
        <v>11</v>
      </c>
      <c r="N12" s="14">
        <f>(Posts1114[[#This Row],[Likes]]+Posts1114[[#This Row],[Shares]]+Posts1114[[#This Row],[Comments]])/Posts1114[[#This Row],[Impressions]]</f>
        <v>0.37955854126679461</v>
      </c>
    </row>
    <row r="13" spans="1:14" hidden="1">
      <c r="A13" s="9" t="s">
        <v>123</v>
      </c>
      <c r="B13" s="5" t="s">
        <v>46</v>
      </c>
      <c r="C13" s="10">
        <v>45712</v>
      </c>
      <c r="D13" s="5" t="s">
        <v>56</v>
      </c>
      <c r="E13" s="5" t="s">
        <v>71</v>
      </c>
      <c r="F13" s="5">
        <v>804</v>
      </c>
      <c r="G13" s="5">
        <v>639</v>
      </c>
      <c r="H13" s="5">
        <v>43</v>
      </c>
      <c r="I13" s="5">
        <v>4020</v>
      </c>
      <c r="J13" s="5">
        <v>3144</v>
      </c>
      <c r="K13" s="5">
        <v>11</v>
      </c>
      <c r="L13" s="5" t="s">
        <v>52</v>
      </c>
      <c r="M13" s="5"/>
      <c r="N13" s="13">
        <f>(Posts1114[[#This Row],[Likes]]+Posts1114[[#This Row],[Shares]]+Posts1114[[#This Row],[Comments]])/Posts1114[[#This Row],[Impressions]]</f>
        <v>0.36965174129353234</v>
      </c>
    </row>
    <row r="14" spans="1:14" hidden="1">
      <c r="A14" s="11" t="s">
        <v>123</v>
      </c>
      <c r="B14" s="6" t="s">
        <v>46</v>
      </c>
      <c r="C14" s="12">
        <v>45712</v>
      </c>
      <c r="D14" s="6" t="s">
        <v>56</v>
      </c>
      <c r="E14" s="6" t="s">
        <v>71</v>
      </c>
      <c r="F14" s="6">
        <v>804</v>
      </c>
      <c r="G14" s="6">
        <v>639</v>
      </c>
      <c r="H14" s="6">
        <v>43</v>
      </c>
      <c r="I14" s="6">
        <v>4020</v>
      </c>
      <c r="J14" s="6">
        <v>3144</v>
      </c>
      <c r="K14" s="6">
        <v>11</v>
      </c>
      <c r="L14" s="6" t="s">
        <v>44</v>
      </c>
      <c r="M14" s="6"/>
      <c r="N14" s="14">
        <f>(Posts1114[[#This Row],[Likes]]+Posts1114[[#This Row],[Shares]]+Posts1114[[#This Row],[Comments]])/Posts1114[[#This Row],[Impressions]]</f>
        <v>0.36965174129353234</v>
      </c>
    </row>
    <row r="15" spans="1:14" hidden="1">
      <c r="A15" s="9" t="s">
        <v>174</v>
      </c>
      <c r="B15" s="5" t="s">
        <v>35</v>
      </c>
      <c r="C15" s="10">
        <v>45553</v>
      </c>
      <c r="D15" s="5" t="s">
        <v>36</v>
      </c>
      <c r="E15" s="5" t="s">
        <v>37</v>
      </c>
      <c r="F15" s="5">
        <v>1000</v>
      </c>
      <c r="G15" s="5">
        <v>978</v>
      </c>
      <c r="H15" s="5">
        <v>162</v>
      </c>
      <c r="I15" s="5">
        <v>6000</v>
      </c>
      <c r="J15" s="5">
        <v>5221</v>
      </c>
      <c r="K15" s="5">
        <v>223</v>
      </c>
      <c r="L15" s="5" t="s">
        <v>52</v>
      </c>
      <c r="M15" s="5" t="s">
        <v>11</v>
      </c>
      <c r="N15" s="13">
        <f>(Posts1114[[#This Row],[Likes]]+Posts1114[[#This Row],[Shares]]+Posts1114[[#This Row],[Comments]])/Posts1114[[#This Row],[Impressions]]</f>
        <v>0.35666666666666669</v>
      </c>
    </row>
    <row r="16" spans="1:14" hidden="1">
      <c r="A16" s="11" t="s">
        <v>196</v>
      </c>
      <c r="B16" s="6" t="s">
        <v>46</v>
      </c>
      <c r="C16" s="12">
        <v>45753</v>
      </c>
      <c r="D16" s="6" t="s">
        <v>56</v>
      </c>
      <c r="E16" s="6" t="s">
        <v>71</v>
      </c>
      <c r="F16" s="6">
        <v>736</v>
      </c>
      <c r="G16" s="6">
        <v>771</v>
      </c>
      <c r="H16" s="6">
        <v>225</v>
      </c>
      <c r="I16" s="6">
        <v>5152</v>
      </c>
      <c r="J16" s="6">
        <v>4706</v>
      </c>
      <c r="K16" s="6">
        <v>19</v>
      </c>
      <c r="L16" s="6" t="s">
        <v>52</v>
      </c>
      <c r="M16" s="6" t="s">
        <v>7</v>
      </c>
      <c r="N16" s="14">
        <f>(Posts1114[[#This Row],[Likes]]+Posts1114[[#This Row],[Shares]]+Posts1114[[#This Row],[Comments]])/Posts1114[[#This Row],[Impressions]]</f>
        <v>0.33618012422360249</v>
      </c>
    </row>
    <row r="17" spans="1:14" hidden="1">
      <c r="A17" s="9" t="s">
        <v>193</v>
      </c>
      <c r="B17" s="5" t="s">
        <v>49</v>
      </c>
      <c r="C17" s="10">
        <v>45502</v>
      </c>
      <c r="D17" s="5" t="s">
        <v>50</v>
      </c>
      <c r="E17" s="5" t="s">
        <v>51</v>
      </c>
      <c r="F17" s="5">
        <v>498</v>
      </c>
      <c r="G17" s="5">
        <v>701</v>
      </c>
      <c r="H17" s="5">
        <v>412</v>
      </c>
      <c r="I17" s="5">
        <v>4980</v>
      </c>
      <c r="J17" s="5">
        <v>4185</v>
      </c>
      <c r="K17" s="5">
        <v>185</v>
      </c>
      <c r="L17" s="5" t="s">
        <v>38</v>
      </c>
      <c r="M17" s="5"/>
      <c r="N17" s="13">
        <f>(Posts1114[[#This Row],[Likes]]+Posts1114[[#This Row],[Shares]]+Posts1114[[#This Row],[Comments]])/Posts1114[[#This Row],[Impressions]]</f>
        <v>0.32349397590361445</v>
      </c>
    </row>
    <row r="18" spans="1:14" hidden="1">
      <c r="A18" s="9" t="s">
        <v>296</v>
      </c>
      <c r="B18" s="5" t="s">
        <v>55</v>
      </c>
      <c r="C18" s="10">
        <v>45790</v>
      </c>
      <c r="D18" s="5" t="s">
        <v>61</v>
      </c>
      <c r="E18" s="5" t="s">
        <v>66</v>
      </c>
      <c r="F18" s="5">
        <v>602</v>
      </c>
      <c r="G18" s="5">
        <v>594</v>
      </c>
      <c r="H18" s="5">
        <v>156</v>
      </c>
      <c r="I18" s="5">
        <v>4214</v>
      </c>
      <c r="J18" s="5">
        <v>3363</v>
      </c>
      <c r="K18" s="5">
        <v>164</v>
      </c>
      <c r="L18" s="5" t="s">
        <v>43</v>
      </c>
      <c r="M18" s="5" t="s">
        <v>15</v>
      </c>
      <c r="N18" s="13">
        <f>(Posts1114[[#This Row],[Likes]]+Posts1114[[#This Row],[Shares]]+Posts1114[[#This Row],[Comments]])/Posts1114[[#This Row],[Impressions]]</f>
        <v>0.32083531086853345</v>
      </c>
    </row>
    <row r="19" spans="1:14" hidden="1">
      <c r="A19" s="11" t="s">
        <v>226</v>
      </c>
      <c r="B19" s="6" t="s">
        <v>49</v>
      </c>
      <c r="C19" s="12">
        <v>45574</v>
      </c>
      <c r="D19" s="6" t="s">
        <v>56</v>
      </c>
      <c r="E19" s="6" t="s">
        <v>84</v>
      </c>
      <c r="F19" s="6">
        <v>985</v>
      </c>
      <c r="G19" s="6">
        <v>932</v>
      </c>
      <c r="H19" s="6">
        <v>287</v>
      </c>
      <c r="I19" s="6">
        <v>6895</v>
      </c>
      <c r="J19" s="6">
        <v>6757</v>
      </c>
      <c r="K19" s="6">
        <v>64</v>
      </c>
      <c r="L19" s="6" t="s">
        <v>38</v>
      </c>
      <c r="M19" s="6" t="s">
        <v>19</v>
      </c>
      <c r="N19" s="14">
        <f>(Posts1114[[#This Row],[Likes]]+Posts1114[[#This Row],[Shares]]+Posts1114[[#This Row],[Comments]])/Posts1114[[#This Row],[Impressions]]</f>
        <v>0.31965192168237855</v>
      </c>
    </row>
    <row r="20" spans="1:14" hidden="1">
      <c r="A20" s="9" t="s">
        <v>191</v>
      </c>
      <c r="B20" s="5" t="s">
        <v>49</v>
      </c>
      <c r="C20" s="10">
        <v>45695</v>
      </c>
      <c r="D20" s="5" t="s">
        <v>36</v>
      </c>
      <c r="E20" s="5" t="s">
        <v>80</v>
      </c>
      <c r="F20" s="5">
        <v>1970</v>
      </c>
      <c r="G20" s="5">
        <v>675</v>
      </c>
      <c r="H20" s="5">
        <v>478</v>
      </c>
      <c r="I20" s="5">
        <v>9850</v>
      </c>
      <c r="J20" s="5">
        <v>8924</v>
      </c>
      <c r="K20" s="5">
        <v>117</v>
      </c>
      <c r="L20" s="5" t="s">
        <v>38</v>
      </c>
      <c r="M20" s="5"/>
      <c r="N20" s="13">
        <f>(Posts1114[[#This Row],[Likes]]+Posts1114[[#This Row],[Shares]]+Posts1114[[#This Row],[Comments]])/Posts1114[[#This Row],[Impressions]]</f>
        <v>0.31705583756345179</v>
      </c>
    </row>
    <row r="21" spans="1:14" hidden="1">
      <c r="A21" s="11" t="s">
        <v>359</v>
      </c>
      <c r="B21" s="6" t="s">
        <v>49</v>
      </c>
      <c r="C21" s="12">
        <v>45519</v>
      </c>
      <c r="D21" s="6" t="s">
        <v>36</v>
      </c>
      <c r="E21" s="6" t="s">
        <v>80</v>
      </c>
      <c r="F21" s="6">
        <v>1164</v>
      </c>
      <c r="G21" s="6">
        <v>616</v>
      </c>
      <c r="H21" s="6">
        <v>324</v>
      </c>
      <c r="I21" s="6">
        <v>6984</v>
      </c>
      <c r="J21" s="6">
        <v>6636</v>
      </c>
      <c r="K21" s="6">
        <v>82</v>
      </c>
      <c r="L21" s="6" t="s">
        <v>52</v>
      </c>
      <c r="M21" s="6" t="s">
        <v>7</v>
      </c>
      <c r="N21" s="14">
        <f>(Posts1114[[#This Row],[Likes]]+Posts1114[[#This Row],[Shares]]+Posts1114[[#This Row],[Comments]])/Posts1114[[#This Row],[Impressions]]</f>
        <v>0.30126002290950743</v>
      </c>
    </row>
    <row r="22" spans="1:14" hidden="1">
      <c r="A22" s="9" t="s">
        <v>276</v>
      </c>
      <c r="B22" s="5" t="s">
        <v>49</v>
      </c>
      <c r="C22" s="10">
        <v>45658</v>
      </c>
      <c r="D22" s="5" t="s">
        <v>56</v>
      </c>
      <c r="E22" s="5" t="s">
        <v>84</v>
      </c>
      <c r="F22" s="5">
        <v>2234</v>
      </c>
      <c r="G22" s="5">
        <v>653</v>
      </c>
      <c r="H22" s="5">
        <v>432</v>
      </c>
      <c r="I22" s="5">
        <v>11170</v>
      </c>
      <c r="J22" s="5">
        <v>10569</v>
      </c>
      <c r="K22" s="5">
        <v>198</v>
      </c>
      <c r="L22" s="5" t="s">
        <v>38</v>
      </c>
      <c r="M22" s="5" t="s">
        <v>15</v>
      </c>
      <c r="N22" s="13">
        <f>(Posts1114[[#This Row],[Likes]]+Posts1114[[#This Row],[Shares]]+Posts1114[[#This Row],[Comments]])/Posts1114[[#This Row],[Impressions]]</f>
        <v>0.29713518352730528</v>
      </c>
    </row>
    <row r="23" spans="1:14" hidden="1">
      <c r="A23" s="9" t="s">
        <v>136</v>
      </c>
      <c r="B23" s="5" t="s">
        <v>35</v>
      </c>
      <c r="C23" s="10">
        <v>45499</v>
      </c>
      <c r="D23" s="5" t="s">
        <v>56</v>
      </c>
      <c r="E23" s="5" t="s">
        <v>59</v>
      </c>
      <c r="F23" s="5">
        <v>432</v>
      </c>
      <c r="G23" s="5">
        <v>171</v>
      </c>
      <c r="H23" s="5">
        <v>280</v>
      </c>
      <c r="I23" s="5">
        <v>3024</v>
      </c>
      <c r="J23" s="5">
        <v>2285</v>
      </c>
      <c r="K23" s="5">
        <v>184</v>
      </c>
      <c r="L23" s="5" t="s">
        <v>52</v>
      </c>
      <c r="M23" s="5" t="s">
        <v>7</v>
      </c>
      <c r="N23" s="13">
        <f>(Posts1114[[#This Row],[Likes]]+Posts1114[[#This Row],[Shares]]+Posts1114[[#This Row],[Comments]])/Posts1114[[#This Row],[Impressions]]</f>
        <v>0.29199735449735448</v>
      </c>
    </row>
    <row r="24" spans="1:14" hidden="1">
      <c r="A24" s="11" t="s">
        <v>255</v>
      </c>
      <c r="B24" s="6" t="s">
        <v>49</v>
      </c>
      <c r="C24" s="12">
        <v>45643</v>
      </c>
      <c r="D24" s="6" t="s">
        <v>50</v>
      </c>
      <c r="E24" s="6" t="s">
        <v>51</v>
      </c>
      <c r="F24" s="6">
        <v>360</v>
      </c>
      <c r="G24" s="6">
        <v>590</v>
      </c>
      <c r="H24" s="6">
        <v>393</v>
      </c>
      <c r="I24" s="6">
        <v>4680</v>
      </c>
      <c r="J24" s="6">
        <v>4322</v>
      </c>
      <c r="K24" s="6">
        <v>208</v>
      </c>
      <c r="L24" s="6" t="s">
        <v>38</v>
      </c>
      <c r="M24" s="6" t="s">
        <v>11</v>
      </c>
      <c r="N24" s="14">
        <f>(Posts1114[[#This Row],[Likes]]+Posts1114[[#This Row],[Shares]]+Posts1114[[#This Row],[Comments]])/Posts1114[[#This Row],[Impressions]]</f>
        <v>0.28696581196581195</v>
      </c>
    </row>
    <row r="25" spans="1:14" hidden="1">
      <c r="A25" s="9" t="s">
        <v>96</v>
      </c>
      <c r="B25" s="5" t="s">
        <v>49</v>
      </c>
      <c r="C25" s="10">
        <v>45642</v>
      </c>
      <c r="D25" s="5" t="s">
        <v>41</v>
      </c>
      <c r="E25" s="5" t="s">
        <v>97</v>
      </c>
      <c r="F25" s="5">
        <v>438</v>
      </c>
      <c r="G25" s="5">
        <v>153</v>
      </c>
      <c r="H25" s="5">
        <v>275</v>
      </c>
      <c r="I25" s="5">
        <v>3066</v>
      </c>
      <c r="J25" s="5">
        <v>2701</v>
      </c>
      <c r="K25" s="5">
        <v>282</v>
      </c>
      <c r="L25" s="5" t="s">
        <v>43</v>
      </c>
      <c r="M25" s="5" t="s">
        <v>11</v>
      </c>
      <c r="N25" s="13">
        <f>(Posts1114[[#This Row],[Likes]]+Posts1114[[#This Row],[Shares]]+Posts1114[[#This Row],[Comments]])/Posts1114[[#This Row],[Impressions]]</f>
        <v>0.28245270711024134</v>
      </c>
    </row>
    <row r="26" spans="1:14" hidden="1">
      <c r="A26" s="9" t="s">
        <v>165</v>
      </c>
      <c r="B26" s="5" t="s">
        <v>49</v>
      </c>
      <c r="C26" s="10">
        <v>45637</v>
      </c>
      <c r="D26" s="5" t="s">
        <v>75</v>
      </c>
      <c r="E26" s="5" t="s">
        <v>82</v>
      </c>
      <c r="F26" s="5">
        <v>1431</v>
      </c>
      <c r="G26" s="5">
        <v>951</v>
      </c>
      <c r="H26" s="5">
        <v>26</v>
      </c>
      <c r="I26" s="5">
        <v>8586</v>
      </c>
      <c r="J26" s="5">
        <v>8396</v>
      </c>
      <c r="K26" s="5">
        <v>150</v>
      </c>
      <c r="L26" s="5" t="s">
        <v>52</v>
      </c>
      <c r="M26" s="5" t="s">
        <v>15</v>
      </c>
      <c r="N26" s="13">
        <f>(Posts1114[[#This Row],[Likes]]+Posts1114[[#This Row],[Shares]]+Posts1114[[#This Row],[Comments]])/Posts1114[[#This Row],[Impressions]]</f>
        <v>0.28045655718611695</v>
      </c>
    </row>
    <row r="27" spans="1:14" hidden="1">
      <c r="A27" s="11" t="s">
        <v>335</v>
      </c>
      <c r="B27" s="6" t="s">
        <v>49</v>
      </c>
      <c r="C27" s="12">
        <v>45524</v>
      </c>
      <c r="D27" s="6" t="s">
        <v>36</v>
      </c>
      <c r="E27" s="6" t="s">
        <v>80</v>
      </c>
      <c r="F27" s="6">
        <v>2603</v>
      </c>
      <c r="G27" s="6">
        <v>690</v>
      </c>
      <c r="H27" s="6">
        <v>205</v>
      </c>
      <c r="I27" s="6">
        <v>13015</v>
      </c>
      <c r="J27" s="6">
        <v>12130</v>
      </c>
      <c r="K27" s="6">
        <v>20</v>
      </c>
      <c r="L27" s="6" t="s">
        <v>38</v>
      </c>
      <c r="M27" s="6" t="s">
        <v>11</v>
      </c>
      <c r="N27" s="14">
        <f>(Posts1114[[#This Row],[Likes]]+Posts1114[[#This Row],[Shares]]+Posts1114[[#This Row],[Comments]])/Posts1114[[#This Row],[Impressions]]</f>
        <v>0.26876680752977333</v>
      </c>
    </row>
    <row r="28" spans="1:14" hidden="1">
      <c r="A28" s="9" t="s">
        <v>320</v>
      </c>
      <c r="B28" s="5" t="s">
        <v>55</v>
      </c>
      <c r="C28" s="10">
        <v>45690</v>
      </c>
      <c r="D28" s="5" t="s">
        <v>50</v>
      </c>
      <c r="E28" s="5" t="s">
        <v>73</v>
      </c>
      <c r="F28" s="5">
        <v>886</v>
      </c>
      <c r="G28" s="5">
        <v>126</v>
      </c>
      <c r="H28" s="5">
        <v>153</v>
      </c>
      <c r="I28" s="5">
        <v>4430</v>
      </c>
      <c r="J28" s="5">
        <v>4037</v>
      </c>
      <c r="K28" s="5">
        <v>212</v>
      </c>
      <c r="L28" s="5" t="s">
        <v>52</v>
      </c>
      <c r="M28" s="5"/>
      <c r="N28" s="13">
        <f>(Posts1114[[#This Row],[Likes]]+Posts1114[[#This Row],[Shares]]+Posts1114[[#This Row],[Comments]])/Posts1114[[#This Row],[Impressions]]</f>
        <v>0.26297968397291194</v>
      </c>
    </row>
    <row r="29" spans="1:14" hidden="1">
      <c r="A29" s="9" t="s">
        <v>316</v>
      </c>
      <c r="B29" s="5" t="s">
        <v>46</v>
      </c>
      <c r="C29" s="10">
        <v>45590</v>
      </c>
      <c r="D29" s="5" t="s">
        <v>75</v>
      </c>
      <c r="E29" s="5" t="s">
        <v>155</v>
      </c>
      <c r="F29" s="5">
        <v>4661</v>
      </c>
      <c r="G29" s="5">
        <v>935</v>
      </c>
      <c r="H29" s="5">
        <v>433</v>
      </c>
      <c r="I29" s="5">
        <v>23305</v>
      </c>
      <c r="J29" s="5">
        <v>22583</v>
      </c>
      <c r="K29" s="5">
        <v>63</v>
      </c>
      <c r="L29" s="5" t="s">
        <v>38</v>
      </c>
      <c r="M29" s="5" t="s">
        <v>15</v>
      </c>
      <c r="N29" s="13">
        <f>(Posts1114[[#This Row],[Likes]]+Posts1114[[#This Row],[Shares]]+Posts1114[[#This Row],[Comments]])/Posts1114[[#This Row],[Impressions]]</f>
        <v>0.25869984981763572</v>
      </c>
    </row>
    <row r="30" spans="1:14" hidden="1">
      <c r="A30" s="11" t="s">
        <v>331</v>
      </c>
      <c r="B30" s="6" t="s">
        <v>55</v>
      </c>
      <c r="C30" s="12">
        <v>45698</v>
      </c>
      <c r="D30" s="6" t="s">
        <v>41</v>
      </c>
      <c r="E30" s="6" t="s">
        <v>64</v>
      </c>
      <c r="F30" s="6">
        <v>562</v>
      </c>
      <c r="G30" s="6">
        <v>158</v>
      </c>
      <c r="H30" s="6">
        <v>149</v>
      </c>
      <c r="I30" s="6">
        <v>3372</v>
      </c>
      <c r="J30" s="6">
        <v>2940</v>
      </c>
      <c r="K30" s="6">
        <v>93</v>
      </c>
      <c r="L30" s="6" t="s">
        <v>43</v>
      </c>
      <c r="M30" s="6" t="s">
        <v>7</v>
      </c>
      <c r="N30" s="14">
        <f>(Posts1114[[#This Row],[Likes]]+Posts1114[[#This Row],[Shares]]+Posts1114[[#This Row],[Comments]])/Posts1114[[#This Row],[Impressions]]</f>
        <v>0.25771055753262156</v>
      </c>
    </row>
    <row r="31" spans="1:14" hidden="1">
      <c r="A31" s="9" t="s">
        <v>291</v>
      </c>
      <c r="B31" s="5" t="s">
        <v>35</v>
      </c>
      <c r="C31" s="10">
        <v>45685</v>
      </c>
      <c r="D31" s="5" t="s">
        <v>36</v>
      </c>
      <c r="E31" s="5" t="s">
        <v>37</v>
      </c>
      <c r="F31" s="5">
        <v>1188</v>
      </c>
      <c r="G31" s="5">
        <v>470</v>
      </c>
      <c r="H31" s="5">
        <v>174</v>
      </c>
      <c r="I31" s="5">
        <v>7128</v>
      </c>
      <c r="J31" s="5">
        <v>6145</v>
      </c>
      <c r="K31" s="5">
        <v>270</v>
      </c>
      <c r="L31" s="5" t="s">
        <v>43</v>
      </c>
      <c r="M31" s="5" t="s">
        <v>19</v>
      </c>
      <c r="N31" s="13">
        <f>(Posts1114[[#This Row],[Likes]]+Posts1114[[#This Row],[Shares]]+Posts1114[[#This Row],[Comments]])/Posts1114[[#This Row],[Impressions]]</f>
        <v>0.25701459034792368</v>
      </c>
    </row>
    <row r="32" spans="1:14" hidden="1">
      <c r="A32" s="9" t="s">
        <v>298</v>
      </c>
      <c r="B32" s="5" t="s">
        <v>49</v>
      </c>
      <c r="C32" s="10">
        <v>45511</v>
      </c>
      <c r="D32" s="5" t="s">
        <v>56</v>
      </c>
      <c r="E32" s="5" t="s">
        <v>84</v>
      </c>
      <c r="F32" s="5">
        <v>1741</v>
      </c>
      <c r="G32" s="5">
        <v>164</v>
      </c>
      <c r="H32" s="5">
        <v>318</v>
      </c>
      <c r="I32" s="5">
        <v>8705</v>
      </c>
      <c r="J32" s="5">
        <v>8272</v>
      </c>
      <c r="K32" s="5">
        <v>121</v>
      </c>
      <c r="L32" s="5" t="s">
        <v>43</v>
      </c>
      <c r="M32" s="5"/>
      <c r="N32" s="13">
        <f>(Posts1114[[#This Row],[Likes]]+Posts1114[[#This Row],[Shares]]+Posts1114[[#This Row],[Comments]])/Posts1114[[#This Row],[Impressions]]</f>
        <v>0.25537047673750718</v>
      </c>
    </row>
    <row r="33" spans="1:14" hidden="1">
      <c r="A33" s="11" t="s">
        <v>337</v>
      </c>
      <c r="B33" s="6" t="s">
        <v>35</v>
      </c>
      <c r="C33" s="12">
        <v>45708</v>
      </c>
      <c r="D33" s="6" t="s">
        <v>56</v>
      </c>
      <c r="E33" s="6" t="s">
        <v>59</v>
      </c>
      <c r="F33" s="6">
        <v>1877</v>
      </c>
      <c r="G33" s="6">
        <v>745</v>
      </c>
      <c r="H33" s="6">
        <v>225</v>
      </c>
      <c r="I33" s="6">
        <v>11262</v>
      </c>
      <c r="J33" s="6">
        <v>10967</v>
      </c>
      <c r="K33" s="6">
        <v>41</v>
      </c>
      <c r="L33" s="6" t="s">
        <v>52</v>
      </c>
      <c r="M33" s="6" t="s">
        <v>19</v>
      </c>
      <c r="N33" s="14">
        <f>(Posts1114[[#This Row],[Likes]]+Posts1114[[#This Row],[Shares]]+Posts1114[[#This Row],[Comments]])/Posts1114[[#This Row],[Impressions]]</f>
        <v>0.25279701651571657</v>
      </c>
    </row>
    <row r="34" spans="1:14" hidden="1">
      <c r="A34" s="11" t="s">
        <v>311</v>
      </c>
      <c r="B34" s="6" t="s">
        <v>46</v>
      </c>
      <c r="C34" s="12">
        <v>45712</v>
      </c>
      <c r="D34" s="6" t="s">
        <v>41</v>
      </c>
      <c r="E34" s="6" t="s">
        <v>92</v>
      </c>
      <c r="F34" s="6">
        <v>4188</v>
      </c>
      <c r="G34" s="6">
        <v>942</v>
      </c>
      <c r="H34" s="6">
        <v>118</v>
      </c>
      <c r="I34" s="6">
        <v>20940</v>
      </c>
      <c r="J34" s="6">
        <v>20471</v>
      </c>
      <c r="K34" s="6">
        <v>102</v>
      </c>
      <c r="L34" s="6" t="s">
        <v>38</v>
      </c>
      <c r="M34" s="6"/>
      <c r="N34" s="14">
        <f>(Posts1114[[#This Row],[Likes]]+Posts1114[[#This Row],[Shares]]+Posts1114[[#This Row],[Comments]])/Posts1114[[#This Row],[Impressions]]</f>
        <v>0.25062082139446035</v>
      </c>
    </row>
    <row r="35" spans="1:14" hidden="1">
      <c r="A35" s="11" t="s">
        <v>349</v>
      </c>
      <c r="B35" s="6" t="s">
        <v>55</v>
      </c>
      <c r="C35" s="12">
        <v>45753</v>
      </c>
      <c r="D35" s="6" t="s">
        <v>61</v>
      </c>
      <c r="E35" s="6" t="s">
        <v>66</v>
      </c>
      <c r="F35" s="6">
        <v>4236</v>
      </c>
      <c r="G35" s="6">
        <v>711</v>
      </c>
      <c r="H35" s="6">
        <v>298</v>
      </c>
      <c r="I35" s="6">
        <v>21180</v>
      </c>
      <c r="J35" s="6">
        <v>20516</v>
      </c>
      <c r="K35" s="6">
        <v>238</v>
      </c>
      <c r="L35" s="6" t="s">
        <v>38</v>
      </c>
      <c r="M35" s="6" t="s">
        <v>7</v>
      </c>
      <c r="N35" s="14">
        <f>(Posts1114[[#This Row],[Likes]]+Posts1114[[#This Row],[Shares]]+Posts1114[[#This Row],[Comments]])/Posts1114[[#This Row],[Impressions]]</f>
        <v>0.24763928234183191</v>
      </c>
    </row>
    <row r="36" spans="1:14" hidden="1">
      <c r="A36" s="11" t="s">
        <v>369</v>
      </c>
      <c r="B36" s="6" t="s">
        <v>35</v>
      </c>
      <c r="C36" s="12">
        <v>45650</v>
      </c>
      <c r="D36" s="6" t="s">
        <v>41</v>
      </c>
      <c r="E36" s="6" t="s">
        <v>42</v>
      </c>
      <c r="F36" s="6">
        <v>2166</v>
      </c>
      <c r="G36" s="6">
        <v>354</v>
      </c>
      <c r="H36" s="6">
        <v>117</v>
      </c>
      <c r="I36" s="6">
        <v>10830</v>
      </c>
      <c r="J36" s="6">
        <v>10245</v>
      </c>
      <c r="K36" s="6">
        <v>24</v>
      </c>
      <c r="L36" s="6" t="s">
        <v>52</v>
      </c>
      <c r="M36" s="6" t="s">
        <v>19</v>
      </c>
      <c r="N36" s="14">
        <f>(Posts1114[[#This Row],[Likes]]+Posts1114[[#This Row],[Shares]]+Posts1114[[#This Row],[Comments]])/Posts1114[[#This Row],[Impressions]]</f>
        <v>0.24349030470914126</v>
      </c>
    </row>
    <row r="37" spans="1:14" hidden="1">
      <c r="A37" s="11" t="s">
        <v>253</v>
      </c>
      <c r="B37" s="6" t="s">
        <v>46</v>
      </c>
      <c r="C37" s="12">
        <v>45737</v>
      </c>
      <c r="D37" s="6" t="s">
        <v>61</v>
      </c>
      <c r="E37" s="6" t="s">
        <v>62</v>
      </c>
      <c r="F37" s="6">
        <v>606</v>
      </c>
      <c r="G37" s="6">
        <v>789</v>
      </c>
      <c r="H37" s="6">
        <v>470</v>
      </c>
      <c r="I37" s="6">
        <v>7878</v>
      </c>
      <c r="J37" s="6">
        <v>7389</v>
      </c>
      <c r="K37" s="6">
        <v>239</v>
      </c>
      <c r="L37" s="6" t="s">
        <v>52</v>
      </c>
      <c r="M37" s="6" t="s">
        <v>15</v>
      </c>
      <c r="N37" s="14">
        <f>(Posts1114[[#This Row],[Likes]]+Posts1114[[#This Row],[Shares]]+Posts1114[[#This Row],[Comments]])/Posts1114[[#This Row],[Impressions]]</f>
        <v>0.23673521198273673</v>
      </c>
    </row>
    <row r="38" spans="1:14" hidden="1">
      <c r="A38" s="9" t="s">
        <v>318</v>
      </c>
      <c r="B38" s="5" t="s">
        <v>55</v>
      </c>
      <c r="C38" s="10">
        <v>45576</v>
      </c>
      <c r="D38" s="5" t="s">
        <v>61</v>
      </c>
      <c r="E38" s="5" t="s">
        <v>66</v>
      </c>
      <c r="F38" s="5">
        <v>400</v>
      </c>
      <c r="G38" s="5">
        <v>680</v>
      </c>
      <c r="H38" s="5">
        <v>434</v>
      </c>
      <c r="I38" s="5">
        <v>6400</v>
      </c>
      <c r="J38" s="5">
        <v>5472</v>
      </c>
      <c r="K38" s="5">
        <v>160</v>
      </c>
      <c r="L38" s="5" t="s">
        <v>38</v>
      </c>
      <c r="M38" s="5" t="s">
        <v>11</v>
      </c>
      <c r="N38" s="13">
        <f>(Posts1114[[#This Row],[Likes]]+Posts1114[[#This Row],[Shares]]+Posts1114[[#This Row],[Comments]])/Posts1114[[#This Row],[Impressions]]</f>
        <v>0.23656250000000001</v>
      </c>
    </row>
    <row r="39" spans="1:14" hidden="1">
      <c r="A39" s="9" t="s">
        <v>195</v>
      </c>
      <c r="B39" s="5" t="s">
        <v>49</v>
      </c>
      <c r="C39" s="10">
        <v>45457</v>
      </c>
      <c r="D39" s="5" t="s">
        <v>50</v>
      </c>
      <c r="E39" s="5" t="s">
        <v>51</v>
      </c>
      <c r="F39" s="5">
        <v>4363</v>
      </c>
      <c r="G39" s="5">
        <v>649</v>
      </c>
      <c r="H39" s="5">
        <v>140</v>
      </c>
      <c r="I39" s="5">
        <v>21815</v>
      </c>
      <c r="J39" s="5">
        <v>21481</v>
      </c>
      <c r="K39" s="5">
        <v>157</v>
      </c>
      <c r="L39" s="5" t="s">
        <v>52</v>
      </c>
      <c r="M39" s="5" t="s">
        <v>7</v>
      </c>
      <c r="N39" s="13">
        <f>(Posts1114[[#This Row],[Likes]]+Posts1114[[#This Row],[Shares]]+Posts1114[[#This Row],[Comments]])/Posts1114[[#This Row],[Impressions]]</f>
        <v>0.23616777446710979</v>
      </c>
    </row>
    <row r="40" spans="1:14" hidden="1">
      <c r="A40" s="11" t="s">
        <v>192</v>
      </c>
      <c r="B40" s="6" t="s">
        <v>55</v>
      </c>
      <c r="C40" s="12">
        <v>45586</v>
      </c>
      <c r="D40" s="6" t="s">
        <v>50</v>
      </c>
      <c r="E40" s="6" t="s">
        <v>73</v>
      </c>
      <c r="F40" s="6">
        <v>780</v>
      </c>
      <c r="G40" s="6">
        <v>928</v>
      </c>
      <c r="H40" s="6">
        <v>301</v>
      </c>
      <c r="I40" s="6">
        <v>8580</v>
      </c>
      <c r="J40" s="6">
        <v>8081</v>
      </c>
      <c r="K40" s="6">
        <v>91</v>
      </c>
      <c r="L40" s="6" t="s">
        <v>52</v>
      </c>
      <c r="M40" s="6" t="s">
        <v>15</v>
      </c>
      <c r="N40" s="14">
        <f>(Posts1114[[#This Row],[Likes]]+Posts1114[[#This Row],[Shares]]+Posts1114[[#This Row],[Comments]])/Posts1114[[#This Row],[Impressions]]</f>
        <v>0.23414918414918415</v>
      </c>
    </row>
    <row r="41" spans="1:14" hidden="1">
      <c r="A41" s="11" t="s">
        <v>213</v>
      </c>
      <c r="B41" s="6" t="s">
        <v>35</v>
      </c>
      <c r="C41" s="12">
        <v>45535</v>
      </c>
      <c r="D41" s="6" t="s">
        <v>61</v>
      </c>
      <c r="E41" s="6" t="s">
        <v>107</v>
      </c>
      <c r="F41" s="6">
        <v>3170</v>
      </c>
      <c r="G41" s="6">
        <v>857</v>
      </c>
      <c r="H41" s="6">
        <v>379</v>
      </c>
      <c r="I41" s="6">
        <v>19020</v>
      </c>
      <c r="J41" s="6">
        <v>18559</v>
      </c>
      <c r="K41" s="6">
        <v>240</v>
      </c>
      <c r="L41" s="6" t="s">
        <v>38</v>
      </c>
      <c r="M41" s="6"/>
      <c r="N41" s="14">
        <f>(Posts1114[[#This Row],[Likes]]+Posts1114[[#This Row],[Shares]]+Posts1114[[#This Row],[Comments]])/Posts1114[[#This Row],[Impressions]]</f>
        <v>0.2316508937960042</v>
      </c>
    </row>
    <row r="42" spans="1:14" hidden="1">
      <c r="A42" s="9" t="s">
        <v>235</v>
      </c>
      <c r="B42" s="5" t="s">
        <v>49</v>
      </c>
      <c r="C42" s="10">
        <v>45755</v>
      </c>
      <c r="D42" s="5" t="s">
        <v>61</v>
      </c>
      <c r="E42" s="5" t="s">
        <v>153</v>
      </c>
      <c r="F42" s="5">
        <v>4501</v>
      </c>
      <c r="G42" s="5">
        <v>375</v>
      </c>
      <c r="H42" s="5">
        <v>323</v>
      </c>
      <c r="I42" s="5">
        <v>22505</v>
      </c>
      <c r="J42" s="5">
        <v>21836</v>
      </c>
      <c r="K42" s="5">
        <v>132</v>
      </c>
      <c r="L42" s="5" t="s">
        <v>43</v>
      </c>
      <c r="M42" s="5" t="s">
        <v>11</v>
      </c>
      <c r="N42" s="13">
        <f>(Posts1114[[#This Row],[Likes]]+Posts1114[[#This Row],[Shares]]+Posts1114[[#This Row],[Comments]])/Posts1114[[#This Row],[Impressions]]</f>
        <v>0.23101532992668297</v>
      </c>
    </row>
    <row r="43" spans="1:14" hidden="1">
      <c r="A43" s="11" t="s">
        <v>341</v>
      </c>
      <c r="B43" s="6" t="s">
        <v>49</v>
      </c>
      <c r="C43" s="12">
        <v>45601</v>
      </c>
      <c r="D43" s="6" t="s">
        <v>75</v>
      </c>
      <c r="E43" s="6" t="s">
        <v>82</v>
      </c>
      <c r="F43" s="6">
        <v>4561</v>
      </c>
      <c r="G43" s="6">
        <v>51</v>
      </c>
      <c r="H43" s="6">
        <v>441</v>
      </c>
      <c r="I43" s="6">
        <v>22805</v>
      </c>
      <c r="J43" s="6">
        <v>21890</v>
      </c>
      <c r="K43" s="6">
        <v>45</v>
      </c>
      <c r="L43" s="6" t="s">
        <v>43</v>
      </c>
      <c r="M43" s="6" t="s">
        <v>11</v>
      </c>
      <c r="N43" s="14">
        <f>(Posts1114[[#This Row],[Likes]]+Posts1114[[#This Row],[Shares]]+Posts1114[[#This Row],[Comments]])/Posts1114[[#This Row],[Impressions]]</f>
        <v>0.22157421618066214</v>
      </c>
    </row>
    <row r="44" spans="1:14" hidden="1">
      <c r="A44" s="11" t="s">
        <v>109</v>
      </c>
      <c r="B44" s="6" t="s">
        <v>46</v>
      </c>
      <c r="C44" s="12">
        <v>45721</v>
      </c>
      <c r="D44" s="6" t="s">
        <v>36</v>
      </c>
      <c r="E44" s="6" t="s">
        <v>47</v>
      </c>
      <c r="F44" s="6">
        <v>1543</v>
      </c>
      <c r="G44" s="6">
        <v>820</v>
      </c>
      <c r="H44" s="6">
        <v>333</v>
      </c>
      <c r="I44" s="6">
        <v>12344</v>
      </c>
      <c r="J44" s="6">
        <v>11496</v>
      </c>
      <c r="K44" s="6">
        <v>241</v>
      </c>
      <c r="L44" s="6" t="s">
        <v>52</v>
      </c>
      <c r="M44" s="6"/>
      <c r="N44" s="14">
        <f>(Posts1114[[#This Row],[Likes]]+Posts1114[[#This Row],[Shares]]+Posts1114[[#This Row],[Comments]])/Posts1114[[#This Row],[Impressions]]</f>
        <v>0.21840570317563188</v>
      </c>
    </row>
    <row r="45" spans="1:14" hidden="1">
      <c r="A45" s="9" t="s">
        <v>110</v>
      </c>
      <c r="B45" s="5" t="s">
        <v>49</v>
      </c>
      <c r="C45" s="10">
        <v>45640</v>
      </c>
      <c r="D45" s="5" t="s">
        <v>56</v>
      </c>
      <c r="E45" s="5" t="s">
        <v>84</v>
      </c>
      <c r="F45" s="5">
        <v>2174</v>
      </c>
      <c r="G45" s="5">
        <v>658</v>
      </c>
      <c r="H45" s="5">
        <v>15</v>
      </c>
      <c r="I45" s="5">
        <v>13044</v>
      </c>
      <c r="J45" s="5">
        <v>12206</v>
      </c>
      <c r="K45" s="5">
        <v>137</v>
      </c>
      <c r="L45" s="5" t="s">
        <v>43</v>
      </c>
      <c r="M45" s="5" t="s">
        <v>15</v>
      </c>
      <c r="N45" s="13">
        <f>(Posts1114[[#This Row],[Likes]]+Posts1114[[#This Row],[Shares]]+Posts1114[[#This Row],[Comments]])/Posts1114[[#This Row],[Impressions]]</f>
        <v>0.21826126954921804</v>
      </c>
    </row>
    <row r="46" spans="1:14" hidden="1">
      <c r="A46" s="9" t="s">
        <v>231</v>
      </c>
      <c r="B46" s="5" t="s">
        <v>55</v>
      </c>
      <c r="C46" s="10">
        <v>45621</v>
      </c>
      <c r="D46" s="5" t="s">
        <v>50</v>
      </c>
      <c r="E46" s="5" t="s">
        <v>73</v>
      </c>
      <c r="F46" s="5">
        <v>2120</v>
      </c>
      <c r="G46" s="5">
        <v>158</v>
      </c>
      <c r="H46" s="5">
        <v>488</v>
      </c>
      <c r="I46" s="5">
        <v>12720</v>
      </c>
      <c r="J46" s="5">
        <v>12085</v>
      </c>
      <c r="K46" s="5">
        <v>17</v>
      </c>
      <c r="L46" s="5" t="s">
        <v>38</v>
      </c>
      <c r="M46" s="5" t="s">
        <v>11</v>
      </c>
      <c r="N46" s="13">
        <f>(Posts1114[[#This Row],[Likes]]+Posts1114[[#This Row],[Shares]]+Posts1114[[#This Row],[Comments]])/Posts1114[[#This Row],[Impressions]]</f>
        <v>0.21745283018867925</v>
      </c>
    </row>
    <row r="47" spans="1:14" hidden="1">
      <c r="A47" s="9" t="s">
        <v>218</v>
      </c>
      <c r="B47" s="5" t="s">
        <v>46</v>
      </c>
      <c r="C47" s="10">
        <v>45448</v>
      </c>
      <c r="D47" s="5" t="s">
        <v>36</v>
      </c>
      <c r="E47" s="5" t="s">
        <v>47</v>
      </c>
      <c r="F47" s="5">
        <v>3065</v>
      </c>
      <c r="G47" s="5">
        <v>772</v>
      </c>
      <c r="H47" s="5">
        <v>142</v>
      </c>
      <c r="I47" s="5">
        <v>18390</v>
      </c>
      <c r="J47" s="5">
        <v>17875</v>
      </c>
      <c r="K47" s="5">
        <v>200</v>
      </c>
      <c r="L47" s="5" t="s">
        <v>52</v>
      </c>
      <c r="M47" s="5"/>
      <c r="N47" s="13">
        <f>(Posts1114[[#This Row],[Likes]]+Posts1114[[#This Row],[Shares]]+Posts1114[[#This Row],[Comments]])/Posts1114[[#This Row],[Impressions]]</f>
        <v>0.21636759108210984</v>
      </c>
    </row>
    <row r="48" spans="1:14" hidden="1">
      <c r="A48" s="11" t="s">
        <v>218</v>
      </c>
      <c r="B48" s="6" t="s">
        <v>46</v>
      </c>
      <c r="C48" s="12">
        <v>45448</v>
      </c>
      <c r="D48" s="6" t="s">
        <v>36</v>
      </c>
      <c r="E48" s="6" t="s">
        <v>47</v>
      </c>
      <c r="F48" s="6">
        <v>3065</v>
      </c>
      <c r="G48" s="6">
        <v>772</v>
      </c>
      <c r="H48" s="6">
        <v>142</v>
      </c>
      <c r="I48" s="6">
        <v>18390</v>
      </c>
      <c r="J48" s="6">
        <v>17875</v>
      </c>
      <c r="K48" s="6">
        <v>200</v>
      </c>
      <c r="L48" s="6" t="s">
        <v>39</v>
      </c>
      <c r="M48" s="6"/>
      <c r="N48" s="14">
        <f>(Posts1114[[#This Row],[Likes]]+Posts1114[[#This Row],[Shares]]+Posts1114[[#This Row],[Comments]])/Posts1114[[#This Row],[Impressions]]</f>
        <v>0.21636759108210984</v>
      </c>
    </row>
    <row r="49" spans="1:14" hidden="1">
      <c r="A49" s="9" t="s">
        <v>94</v>
      </c>
      <c r="B49" s="5" t="s">
        <v>49</v>
      </c>
      <c r="C49" s="10">
        <v>45688</v>
      </c>
      <c r="D49" s="5" t="s">
        <v>56</v>
      </c>
      <c r="E49" s="5" t="s">
        <v>84</v>
      </c>
      <c r="F49" s="5">
        <v>2566</v>
      </c>
      <c r="G49" s="5">
        <v>118</v>
      </c>
      <c r="H49" s="5">
        <v>37</v>
      </c>
      <c r="I49" s="5">
        <v>12830</v>
      </c>
      <c r="J49" s="5">
        <v>12264</v>
      </c>
      <c r="K49" s="5">
        <v>221</v>
      </c>
      <c r="L49" s="5" t="s">
        <v>38</v>
      </c>
      <c r="M49" s="5" t="s">
        <v>15</v>
      </c>
      <c r="N49" s="13">
        <f>(Posts1114[[#This Row],[Likes]]+Posts1114[[#This Row],[Shares]]+Posts1114[[#This Row],[Comments]])/Posts1114[[#This Row],[Impressions]]</f>
        <v>0.21208106001558846</v>
      </c>
    </row>
    <row r="50" spans="1:14" hidden="1">
      <c r="A50" s="9" t="s">
        <v>209</v>
      </c>
      <c r="B50" s="5" t="s">
        <v>55</v>
      </c>
      <c r="C50" s="10">
        <v>45504</v>
      </c>
      <c r="D50" s="5" t="s">
        <v>75</v>
      </c>
      <c r="E50" s="5" t="s">
        <v>76</v>
      </c>
      <c r="F50" s="5">
        <v>3008</v>
      </c>
      <c r="G50" s="5">
        <v>94</v>
      </c>
      <c r="H50" s="5">
        <v>37</v>
      </c>
      <c r="I50" s="5">
        <v>15040</v>
      </c>
      <c r="J50" s="5">
        <v>14639</v>
      </c>
      <c r="K50" s="5">
        <v>277</v>
      </c>
      <c r="L50" s="5" t="s">
        <v>38</v>
      </c>
      <c r="M50" s="5"/>
      <c r="N50" s="13">
        <f>(Posts1114[[#This Row],[Likes]]+Posts1114[[#This Row],[Shares]]+Posts1114[[#This Row],[Comments]])/Posts1114[[#This Row],[Impressions]]</f>
        <v>0.20871010638297871</v>
      </c>
    </row>
    <row r="51" spans="1:14" hidden="1">
      <c r="A51" s="9" t="s">
        <v>159</v>
      </c>
      <c r="B51" s="5" t="s">
        <v>35</v>
      </c>
      <c r="C51" s="10">
        <v>45449</v>
      </c>
      <c r="D51" s="5" t="s">
        <v>75</v>
      </c>
      <c r="E51" s="5" t="s">
        <v>114</v>
      </c>
      <c r="F51" s="5">
        <v>1436</v>
      </c>
      <c r="G51" s="5">
        <v>765</v>
      </c>
      <c r="H51" s="5">
        <v>496</v>
      </c>
      <c r="I51" s="5">
        <v>12924</v>
      </c>
      <c r="J51" s="5">
        <v>12701</v>
      </c>
      <c r="K51" s="5">
        <v>197</v>
      </c>
      <c r="L51" s="5" t="s">
        <v>38</v>
      </c>
      <c r="M51" s="5" t="s">
        <v>15</v>
      </c>
      <c r="N51" s="13">
        <f>(Posts1114[[#This Row],[Likes]]+Posts1114[[#This Row],[Shares]]+Posts1114[[#This Row],[Comments]])/Posts1114[[#This Row],[Impressions]]</f>
        <v>0.20868152274837512</v>
      </c>
    </row>
    <row r="52" spans="1:14" hidden="1">
      <c r="A52" s="11" t="s">
        <v>343</v>
      </c>
      <c r="B52" s="6" t="s">
        <v>49</v>
      </c>
      <c r="C52" s="12">
        <v>45582</v>
      </c>
      <c r="D52" s="6" t="s">
        <v>75</v>
      </c>
      <c r="E52" s="6" t="s">
        <v>82</v>
      </c>
      <c r="F52" s="6">
        <v>3575</v>
      </c>
      <c r="G52" s="6">
        <v>749</v>
      </c>
      <c r="H52" s="6">
        <v>111</v>
      </c>
      <c r="I52" s="6">
        <v>21450</v>
      </c>
      <c r="J52" s="6">
        <v>20785</v>
      </c>
      <c r="K52" s="6">
        <v>195</v>
      </c>
      <c r="L52" s="6" t="s">
        <v>52</v>
      </c>
      <c r="M52" s="6" t="s">
        <v>11</v>
      </c>
      <c r="N52" s="14">
        <f>(Posts1114[[#This Row],[Likes]]+Posts1114[[#This Row],[Shares]]+Posts1114[[#This Row],[Comments]])/Posts1114[[#This Row],[Impressions]]</f>
        <v>0.20675990675990677</v>
      </c>
    </row>
    <row r="53" spans="1:14" hidden="1">
      <c r="A53" s="11" t="s">
        <v>147</v>
      </c>
      <c r="B53" s="6" t="s">
        <v>55</v>
      </c>
      <c r="C53" s="12">
        <v>45720</v>
      </c>
      <c r="D53" s="6" t="s">
        <v>50</v>
      </c>
      <c r="E53" s="6" t="s">
        <v>73</v>
      </c>
      <c r="F53" s="6">
        <v>1249</v>
      </c>
      <c r="G53" s="6">
        <v>116</v>
      </c>
      <c r="H53" s="6">
        <v>420</v>
      </c>
      <c r="I53" s="6">
        <v>8743</v>
      </c>
      <c r="J53" s="6">
        <v>8538</v>
      </c>
      <c r="K53" s="6">
        <v>63</v>
      </c>
      <c r="L53" s="6" t="s">
        <v>43</v>
      </c>
      <c r="M53" s="6"/>
      <c r="N53" s="14">
        <f>(Posts1114[[#This Row],[Likes]]+Posts1114[[#This Row],[Shares]]+Posts1114[[#This Row],[Comments]])/Posts1114[[#This Row],[Impressions]]</f>
        <v>0.20416333066453163</v>
      </c>
    </row>
    <row r="54" spans="1:14" hidden="1">
      <c r="A54" s="11" t="s">
        <v>208</v>
      </c>
      <c r="B54" s="6" t="s">
        <v>49</v>
      </c>
      <c r="C54" s="12">
        <v>45484</v>
      </c>
      <c r="D54" s="6" t="s">
        <v>41</v>
      </c>
      <c r="E54" s="6" t="s">
        <v>97</v>
      </c>
      <c r="F54" s="6">
        <v>3134</v>
      </c>
      <c r="G54" s="6">
        <v>888</v>
      </c>
      <c r="H54" s="6">
        <v>444</v>
      </c>
      <c r="I54" s="6">
        <v>21938</v>
      </c>
      <c r="J54" s="6">
        <v>21337</v>
      </c>
      <c r="K54" s="6">
        <v>130</v>
      </c>
      <c r="L54" s="6" t="s">
        <v>52</v>
      </c>
      <c r="M54" s="6" t="s">
        <v>19</v>
      </c>
      <c r="N54" s="14">
        <f>(Posts1114[[#This Row],[Likes]]+Posts1114[[#This Row],[Shares]]+Posts1114[[#This Row],[Comments]])/Posts1114[[#This Row],[Impressions]]</f>
        <v>0.20357370772176134</v>
      </c>
    </row>
    <row r="55" spans="1:14" hidden="1">
      <c r="A55" s="9" t="s">
        <v>330</v>
      </c>
      <c r="B55" s="5" t="s">
        <v>49</v>
      </c>
      <c r="C55" s="10">
        <v>45509</v>
      </c>
      <c r="D55" s="5" t="s">
        <v>50</v>
      </c>
      <c r="E55" s="5" t="s">
        <v>51</v>
      </c>
      <c r="F55" s="5">
        <v>3601</v>
      </c>
      <c r="G55" s="5">
        <v>695</v>
      </c>
      <c r="H55" s="5">
        <v>75</v>
      </c>
      <c r="I55" s="5">
        <v>21606</v>
      </c>
      <c r="J55" s="5">
        <v>21454</v>
      </c>
      <c r="K55" s="5">
        <v>172</v>
      </c>
      <c r="L55" s="5" t="s">
        <v>52</v>
      </c>
      <c r="M55" s="5" t="s">
        <v>11</v>
      </c>
      <c r="N55" s="13">
        <f>(Posts1114[[#This Row],[Likes]]+Posts1114[[#This Row],[Shares]]+Posts1114[[#This Row],[Comments]])/Posts1114[[#This Row],[Impressions]]</f>
        <v>0.2023049153013052</v>
      </c>
    </row>
    <row r="56" spans="1:14" hidden="1">
      <c r="A56" s="9" t="s">
        <v>348</v>
      </c>
      <c r="B56" s="5" t="s">
        <v>35</v>
      </c>
      <c r="C56" s="10">
        <v>45450</v>
      </c>
      <c r="D56" s="5" t="s">
        <v>56</v>
      </c>
      <c r="E56" s="5" t="s">
        <v>59</v>
      </c>
      <c r="F56" s="5">
        <v>1556</v>
      </c>
      <c r="G56" s="5">
        <v>195</v>
      </c>
      <c r="H56" s="5">
        <v>131</v>
      </c>
      <c r="I56" s="5">
        <v>9336</v>
      </c>
      <c r="J56" s="5">
        <v>8875</v>
      </c>
      <c r="K56" s="5">
        <v>137</v>
      </c>
      <c r="L56" s="5" t="s">
        <v>43</v>
      </c>
      <c r="M56" s="5" t="s">
        <v>11</v>
      </c>
      <c r="N56" s="13">
        <f>(Posts1114[[#This Row],[Likes]]+Posts1114[[#This Row],[Shares]]+Posts1114[[#This Row],[Comments]])/Posts1114[[#This Row],[Impressions]]</f>
        <v>0.2015852613538989</v>
      </c>
    </row>
    <row r="57" spans="1:14" hidden="1">
      <c r="A57" s="11" t="s">
        <v>220</v>
      </c>
      <c r="B57" s="6" t="s">
        <v>49</v>
      </c>
      <c r="C57" s="12">
        <v>45762</v>
      </c>
      <c r="D57" s="6" t="s">
        <v>75</v>
      </c>
      <c r="E57" s="6" t="s">
        <v>82</v>
      </c>
      <c r="F57" s="6">
        <v>4133</v>
      </c>
      <c r="G57" s="6">
        <v>466</v>
      </c>
      <c r="H57" s="6">
        <v>327</v>
      </c>
      <c r="I57" s="6">
        <v>24798</v>
      </c>
      <c r="J57" s="6">
        <v>24620</v>
      </c>
      <c r="K57" s="6">
        <v>176</v>
      </c>
      <c r="L57" s="6" t="s">
        <v>52</v>
      </c>
      <c r="M57" s="6" t="s">
        <v>19</v>
      </c>
      <c r="N57" s="14">
        <f>(Posts1114[[#This Row],[Likes]]+Posts1114[[#This Row],[Shares]]+Posts1114[[#This Row],[Comments]])/Posts1114[[#This Row],[Impressions]]</f>
        <v>0.19864505202032423</v>
      </c>
    </row>
    <row r="58" spans="1:14" hidden="1">
      <c r="A58" s="9" t="s">
        <v>270</v>
      </c>
      <c r="B58" s="5" t="s">
        <v>35</v>
      </c>
      <c r="C58" s="10">
        <v>45549</v>
      </c>
      <c r="D58" s="5" t="s">
        <v>61</v>
      </c>
      <c r="E58" s="5" t="s">
        <v>107</v>
      </c>
      <c r="F58" s="5">
        <v>1048</v>
      </c>
      <c r="G58" s="5">
        <v>374</v>
      </c>
      <c r="H58" s="5">
        <v>450</v>
      </c>
      <c r="I58" s="5">
        <v>9432</v>
      </c>
      <c r="J58" s="5">
        <v>8882</v>
      </c>
      <c r="K58" s="5">
        <v>158</v>
      </c>
      <c r="L58" s="5" t="s">
        <v>43</v>
      </c>
      <c r="M58" s="5" t="s">
        <v>15</v>
      </c>
      <c r="N58" s="13">
        <f>(Posts1114[[#This Row],[Likes]]+Posts1114[[#This Row],[Shares]]+Posts1114[[#This Row],[Comments]])/Posts1114[[#This Row],[Impressions]]</f>
        <v>0.19847328244274809</v>
      </c>
    </row>
    <row r="59" spans="1:14" hidden="1">
      <c r="A59" s="11" t="s">
        <v>224</v>
      </c>
      <c r="B59" s="6" t="s">
        <v>55</v>
      </c>
      <c r="C59" s="12">
        <v>45769</v>
      </c>
      <c r="D59" s="6" t="s">
        <v>61</v>
      </c>
      <c r="E59" s="6" t="s">
        <v>66</v>
      </c>
      <c r="F59" s="6">
        <v>4804</v>
      </c>
      <c r="G59" s="6">
        <v>550</v>
      </c>
      <c r="H59" s="6">
        <v>270</v>
      </c>
      <c r="I59" s="6">
        <v>28824</v>
      </c>
      <c r="J59" s="6">
        <v>28370</v>
      </c>
      <c r="K59" s="6">
        <v>47</v>
      </c>
      <c r="L59" s="6" t="s">
        <v>52</v>
      </c>
      <c r="M59" s="6" t="s">
        <v>19</v>
      </c>
      <c r="N59" s="14">
        <f>(Posts1114[[#This Row],[Likes]]+Posts1114[[#This Row],[Shares]]+Posts1114[[#This Row],[Comments]])/Posts1114[[#This Row],[Impressions]]</f>
        <v>0.19511518179295032</v>
      </c>
    </row>
    <row r="60" spans="1:14" hidden="1">
      <c r="A60" s="9" t="s">
        <v>358</v>
      </c>
      <c r="B60" s="5" t="s">
        <v>46</v>
      </c>
      <c r="C60" s="10">
        <v>45560</v>
      </c>
      <c r="D60" s="5" t="s">
        <v>75</v>
      </c>
      <c r="E60" s="5" t="s">
        <v>155</v>
      </c>
      <c r="F60" s="5">
        <v>3389</v>
      </c>
      <c r="G60" s="5">
        <v>344</v>
      </c>
      <c r="H60" s="5">
        <v>229</v>
      </c>
      <c r="I60" s="5">
        <v>20334</v>
      </c>
      <c r="J60" s="5">
        <v>19443</v>
      </c>
      <c r="K60" s="5">
        <v>228</v>
      </c>
      <c r="L60" s="5" t="s">
        <v>38</v>
      </c>
      <c r="M60" s="5" t="s">
        <v>15</v>
      </c>
      <c r="N60" s="13">
        <f>(Posts1114[[#This Row],[Likes]]+Posts1114[[#This Row],[Shares]]+Posts1114[[#This Row],[Comments]])/Posts1114[[#This Row],[Impressions]]</f>
        <v>0.19484607062063539</v>
      </c>
    </row>
    <row r="61" spans="1:14" hidden="1">
      <c r="A61" s="9" t="s">
        <v>138</v>
      </c>
      <c r="B61" s="5" t="s">
        <v>49</v>
      </c>
      <c r="C61" s="10">
        <v>45634</v>
      </c>
      <c r="D61" s="5" t="s">
        <v>50</v>
      </c>
      <c r="E61" s="5" t="s">
        <v>51</v>
      </c>
      <c r="F61" s="5">
        <v>2610</v>
      </c>
      <c r="G61" s="5">
        <v>126</v>
      </c>
      <c r="H61" s="5">
        <v>288</v>
      </c>
      <c r="I61" s="5">
        <v>15660</v>
      </c>
      <c r="J61" s="5">
        <v>15145</v>
      </c>
      <c r="K61" s="5">
        <v>73</v>
      </c>
      <c r="L61" s="5" t="s">
        <v>52</v>
      </c>
      <c r="M61" s="5"/>
      <c r="N61" s="13">
        <f>(Posts1114[[#This Row],[Likes]]+Posts1114[[#This Row],[Shares]]+Posts1114[[#This Row],[Comments]])/Posts1114[[#This Row],[Impressions]]</f>
        <v>0.19310344827586207</v>
      </c>
    </row>
    <row r="62" spans="1:14" hidden="1">
      <c r="A62" s="11" t="s">
        <v>157</v>
      </c>
      <c r="B62" s="6" t="s">
        <v>49</v>
      </c>
      <c r="C62" s="12">
        <v>45766</v>
      </c>
      <c r="D62" s="6" t="s">
        <v>61</v>
      </c>
      <c r="E62" s="6" t="s">
        <v>153</v>
      </c>
      <c r="F62" s="6">
        <v>4177</v>
      </c>
      <c r="G62" s="6">
        <v>569</v>
      </c>
      <c r="H62" s="6">
        <v>55</v>
      </c>
      <c r="I62" s="6">
        <v>25062</v>
      </c>
      <c r="J62" s="6">
        <v>24847</v>
      </c>
      <c r="K62" s="6">
        <v>230</v>
      </c>
      <c r="L62" s="6" t="s">
        <v>38</v>
      </c>
      <c r="M62" s="6" t="s">
        <v>7</v>
      </c>
      <c r="N62" s="14">
        <f>(Posts1114[[#This Row],[Likes]]+Posts1114[[#This Row],[Shares]]+Posts1114[[#This Row],[Comments]])/Posts1114[[#This Row],[Impressions]]</f>
        <v>0.19156491900087783</v>
      </c>
    </row>
    <row r="63" spans="1:14" hidden="1">
      <c r="A63" s="11" t="s">
        <v>98</v>
      </c>
      <c r="B63" s="6" t="s">
        <v>35</v>
      </c>
      <c r="C63" s="12">
        <v>45504</v>
      </c>
      <c r="D63" s="6" t="s">
        <v>56</v>
      </c>
      <c r="E63" s="6" t="s">
        <v>59</v>
      </c>
      <c r="F63" s="6">
        <v>2278</v>
      </c>
      <c r="G63" s="6">
        <v>10</v>
      </c>
      <c r="H63" s="6">
        <v>321</v>
      </c>
      <c r="I63" s="6">
        <v>13668</v>
      </c>
      <c r="J63" s="6">
        <v>12676</v>
      </c>
      <c r="K63" s="6">
        <v>275</v>
      </c>
      <c r="L63" s="6" t="s">
        <v>52</v>
      </c>
      <c r="M63" s="6" t="s">
        <v>7</v>
      </c>
      <c r="N63" s="14">
        <f>(Posts1114[[#This Row],[Likes]]+Posts1114[[#This Row],[Shares]]+Posts1114[[#This Row],[Comments]])/Posts1114[[#This Row],[Impressions]]</f>
        <v>0.19088381621305239</v>
      </c>
    </row>
    <row r="64" spans="1:14" hidden="1">
      <c r="A64" s="11" t="s">
        <v>290</v>
      </c>
      <c r="B64" s="6" t="s">
        <v>55</v>
      </c>
      <c r="C64" s="12">
        <v>45454</v>
      </c>
      <c r="D64" s="6" t="s">
        <v>56</v>
      </c>
      <c r="E64" s="6" t="s">
        <v>57</v>
      </c>
      <c r="F64" s="6">
        <v>1869</v>
      </c>
      <c r="G64" s="6">
        <v>453</v>
      </c>
      <c r="H64" s="6">
        <v>490</v>
      </c>
      <c r="I64" s="6">
        <v>14952</v>
      </c>
      <c r="J64" s="6">
        <v>14309</v>
      </c>
      <c r="K64" s="6">
        <v>275</v>
      </c>
      <c r="L64" s="6" t="s">
        <v>43</v>
      </c>
      <c r="M64" s="6" t="s">
        <v>19</v>
      </c>
      <c r="N64" s="14">
        <f>(Posts1114[[#This Row],[Likes]]+Posts1114[[#This Row],[Shares]]+Posts1114[[#This Row],[Comments]])/Posts1114[[#This Row],[Impressions]]</f>
        <v>0.18806848582129482</v>
      </c>
    </row>
    <row r="65" spans="1:14" hidden="1">
      <c r="A65" s="9" t="s">
        <v>283</v>
      </c>
      <c r="B65" s="5" t="s">
        <v>35</v>
      </c>
      <c r="C65" s="10">
        <v>45491</v>
      </c>
      <c r="D65" s="5" t="s">
        <v>56</v>
      </c>
      <c r="E65" s="5" t="s">
        <v>59</v>
      </c>
      <c r="F65" s="5">
        <v>2120</v>
      </c>
      <c r="G65" s="5">
        <v>38</v>
      </c>
      <c r="H65" s="5">
        <v>212</v>
      </c>
      <c r="I65" s="5">
        <v>12720</v>
      </c>
      <c r="J65" s="5">
        <v>12564</v>
      </c>
      <c r="K65" s="5">
        <v>21</v>
      </c>
      <c r="L65" s="5" t="s">
        <v>38</v>
      </c>
      <c r="M65" s="5" t="s">
        <v>19</v>
      </c>
      <c r="N65" s="13">
        <f>(Posts1114[[#This Row],[Likes]]+Posts1114[[#This Row],[Shares]]+Posts1114[[#This Row],[Comments]])/Posts1114[[#This Row],[Impressions]]</f>
        <v>0.18632075471698112</v>
      </c>
    </row>
    <row r="66" spans="1:14" hidden="1">
      <c r="A66" s="9" t="s">
        <v>314</v>
      </c>
      <c r="B66" s="5" t="s">
        <v>55</v>
      </c>
      <c r="C66" s="10">
        <v>45480</v>
      </c>
      <c r="D66" s="5" t="s">
        <v>36</v>
      </c>
      <c r="E66" s="5" t="s">
        <v>69</v>
      </c>
      <c r="F66" s="5">
        <v>4767</v>
      </c>
      <c r="G66" s="5">
        <v>190</v>
      </c>
      <c r="H66" s="5">
        <v>340</v>
      </c>
      <c r="I66" s="5">
        <v>28602</v>
      </c>
      <c r="J66" s="5">
        <v>28044</v>
      </c>
      <c r="K66" s="5">
        <v>210</v>
      </c>
      <c r="L66" s="5" t="s">
        <v>52</v>
      </c>
      <c r="M66" s="5" t="s">
        <v>15</v>
      </c>
      <c r="N66" s="13">
        <f>(Posts1114[[#This Row],[Likes]]+Posts1114[[#This Row],[Shares]]+Posts1114[[#This Row],[Comments]])/Posts1114[[#This Row],[Impressions]]</f>
        <v>0.18519683938186141</v>
      </c>
    </row>
    <row r="67" spans="1:14" hidden="1">
      <c r="A67" s="9" t="s">
        <v>108</v>
      </c>
      <c r="B67" s="5" t="s">
        <v>49</v>
      </c>
      <c r="C67" s="10">
        <v>45724</v>
      </c>
      <c r="D67" s="5" t="s">
        <v>36</v>
      </c>
      <c r="E67" s="5" t="s">
        <v>80</v>
      </c>
      <c r="F67" s="5">
        <v>456</v>
      </c>
      <c r="G67" s="5">
        <v>629</v>
      </c>
      <c r="H67" s="5">
        <v>428</v>
      </c>
      <c r="I67" s="5">
        <v>8208</v>
      </c>
      <c r="J67" s="5">
        <v>7377</v>
      </c>
      <c r="K67" s="5">
        <v>205</v>
      </c>
      <c r="L67" s="5" t="s">
        <v>38</v>
      </c>
      <c r="M67" s="5" t="s">
        <v>19</v>
      </c>
      <c r="N67" s="13">
        <f>(Posts1114[[#This Row],[Likes]]+Posts1114[[#This Row],[Shares]]+Posts1114[[#This Row],[Comments]])/Posts1114[[#This Row],[Impressions]]</f>
        <v>0.18433235867446393</v>
      </c>
    </row>
    <row r="68" spans="1:14" hidden="1">
      <c r="A68" s="11" t="s">
        <v>366</v>
      </c>
      <c r="B68" s="6" t="s">
        <v>55</v>
      </c>
      <c r="C68" s="12">
        <v>45462</v>
      </c>
      <c r="D68" s="6" t="s">
        <v>56</v>
      </c>
      <c r="E68" s="6" t="s">
        <v>57</v>
      </c>
      <c r="F68" s="6">
        <v>4731</v>
      </c>
      <c r="G68" s="6">
        <v>173</v>
      </c>
      <c r="H68" s="6">
        <v>276</v>
      </c>
      <c r="I68" s="6">
        <v>28386</v>
      </c>
      <c r="J68" s="6">
        <v>28185</v>
      </c>
      <c r="K68" s="6">
        <v>89</v>
      </c>
      <c r="L68" s="6" t="s">
        <v>52</v>
      </c>
      <c r="M68" s="6" t="s">
        <v>15</v>
      </c>
      <c r="N68" s="14">
        <f>(Posts1114[[#This Row],[Likes]]+Posts1114[[#This Row],[Shares]]+Posts1114[[#This Row],[Comments]])/Posts1114[[#This Row],[Impressions]]</f>
        <v>0.18248432325794406</v>
      </c>
    </row>
    <row r="69" spans="1:14" hidden="1">
      <c r="A69" s="9" t="s">
        <v>54</v>
      </c>
      <c r="B69" s="5" t="s">
        <v>55</v>
      </c>
      <c r="C69" s="10">
        <v>45596</v>
      </c>
      <c r="D69" s="5" t="s">
        <v>56</v>
      </c>
      <c r="E69" s="5" t="s">
        <v>57</v>
      </c>
      <c r="F69" s="5">
        <v>2945</v>
      </c>
      <c r="G69" s="5">
        <v>930</v>
      </c>
      <c r="H69" s="5">
        <v>355</v>
      </c>
      <c r="I69" s="5">
        <v>23560</v>
      </c>
      <c r="J69" s="5">
        <v>23275</v>
      </c>
      <c r="K69" s="5">
        <v>256</v>
      </c>
      <c r="L69" s="5" t="s">
        <v>43</v>
      </c>
      <c r="M69" s="5" t="s">
        <v>11</v>
      </c>
      <c r="N69" s="13">
        <f>(Posts1114[[#This Row],[Likes]]+Posts1114[[#This Row],[Shares]]+Posts1114[[#This Row],[Comments]])/Posts1114[[#This Row],[Impressions]]</f>
        <v>0.17954159592529711</v>
      </c>
    </row>
    <row r="70" spans="1:14" hidden="1">
      <c r="A70" s="9" t="s">
        <v>225</v>
      </c>
      <c r="B70" s="5" t="s">
        <v>35</v>
      </c>
      <c r="C70" s="10">
        <v>45658</v>
      </c>
      <c r="D70" s="5" t="s">
        <v>75</v>
      </c>
      <c r="E70" s="5" t="s">
        <v>114</v>
      </c>
      <c r="F70" s="5">
        <v>754</v>
      </c>
      <c r="G70" s="5">
        <v>197</v>
      </c>
      <c r="H70" s="5">
        <v>257</v>
      </c>
      <c r="I70" s="5">
        <v>6786</v>
      </c>
      <c r="J70" s="5">
        <v>6221</v>
      </c>
      <c r="K70" s="5">
        <v>212</v>
      </c>
      <c r="L70" s="5" t="s">
        <v>43</v>
      </c>
      <c r="M70" s="5" t="s">
        <v>15</v>
      </c>
      <c r="N70" s="13">
        <f>(Posts1114[[#This Row],[Likes]]+Posts1114[[#This Row],[Shares]]+Posts1114[[#This Row],[Comments]])/Posts1114[[#This Row],[Impressions]]</f>
        <v>0.17801355732390214</v>
      </c>
    </row>
    <row r="71" spans="1:14" hidden="1">
      <c r="A71" s="9" t="s">
        <v>103</v>
      </c>
      <c r="B71" s="5" t="s">
        <v>55</v>
      </c>
      <c r="C71" s="10">
        <v>45663</v>
      </c>
      <c r="D71" s="5" t="s">
        <v>56</v>
      </c>
      <c r="E71" s="5" t="s">
        <v>57</v>
      </c>
      <c r="F71" s="5">
        <v>3024</v>
      </c>
      <c r="G71" s="5">
        <v>925</v>
      </c>
      <c r="H71" s="5">
        <v>350</v>
      </c>
      <c r="I71" s="5">
        <v>24192</v>
      </c>
      <c r="J71" s="5">
        <v>23518</v>
      </c>
      <c r="K71" s="5">
        <v>36</v>
      </c>
      <c r="L71" s="5" t="s">
        <v>52</v>
      </c>
      <c r="M71" s="5" t="s">
        <v>11</v>
      </c>
      <c r="N71" s="13">
        <f>(Posts1114[[#This Row],[Likes]]+Posts1114[[#This Row],[Shares]]+Posts1114[[#This Row],[Comments]])/Posts1114[[#This Row],[Impressions]]</f>
        <v>0.17770337301587302</v>
      </c>
    </row>
    <row r="72" spans="1:14" hidden="1">
      <c r="A72" s="11" t="s">
        <v>313</v>
      </c>
      <c r="B72" s="6" t="s">
        <v>55</v>
      </c>
      <c r="C72" s="12">
        <v>45675</v>
      </c>
      <c r="D72" s="6" t="s">
        <v>50</v>
      </c>
      <c r="E72" s="6" t="s">
        <v>73</v>
      </c>
      <c r="F72" s="6">
        <v>4321</v>
      </c>
      <c r="G72" s="6">
        <v>874</v>
      </c>
      <c r="H72" s="6">
        <v>172</v>
      </c>
      <c r="I72" s="6">
        <v>30247</v>
      </c>
      <c r="J72" s="6">
        <v>29254</v>
      </c>
      <c r="K72" s="6">
        <v>122</v>
      </c>
      <c r="L72" s="6" t="s">
        <v>43</v>
      </c>
      <c r="M72" s="6" t="s">
        <v>19</v>
      </c>
      <c r="N72" s="14">
        <f>(Posts1114[[#This Row],[Likes]]+Posts1114[[#This Row],[Shares]]+Posts1114[[#This Row],[Comments]])/Posts1114[[#This Row],[Impressions]]</f>
        <v>0.17743908486792079</v>
      </c>
    </row>
    <row r="73" spans="1:14" hidden="1">
      <c r="A73" s="9" t="s">
        <v>184</v>
      </c>
      <c r="B73" s="5" t="s">
        <v>35</v>
      </c>
      <c r="C73" s="10">
        <v>45570</v>
      </c>
      <c r="D73" s="5" t="s">
        <v>50</v>
      </c>
      <c r="E73" s="5" t="s">
        <v>117</v>
      </c>
      <c r="F73" s="5">
        <v>1957</v>
      </c>
      <c r="G73" s="5">
        <v>877</v>
      </c>
      <c r="H73" s="5">
        <v>238</v>
      </c>
      <c r="I73" s="5">
        <v>17613</v>
      </c>
      <c r="J73" s="5">
        <v>16865</v>
      </c>
      <c r="K73" s="5">
        <v>297</v>
      </c>
      <c r="L73" s="5" t="s">
        <v>38</v>
      </c>
      <c r="M73" s="5" t="s">
        <v>15</v>
      </c>
      <c r="N73" s="13">
        <f>(Posts1114[[#This Row],[Likes]]+Posts1114[[#This Row],[Shares]]+Posts1114[[#This Row],[Comments]])/Posts1114[[#This Row],[Impressions]]</f>
        <v>0.17441662408448305</v>
      </c>
    </row>
    <row r="74" spans="1:14" hidden="1">
      <c r="A74" s="9" t="s">
        <v>201</v>
      </c>
      <c r="B74" s="5" t="s">
        <v>35</v>
      </c>
      <c r="C74" s="10">
        <v>45494</v>
      </c>
      <c r="D74" s="5" t="s">
        <v>41</v>
      </c>
      <c r="E74" s="5" t="s">
        <v>42</v>
      </c>
      <c r="F74" s="5">
        <v>2147</v>
      </c>
      <c r="G74" s="5">
        <v>430</v>
      </c>
      <c r="H74" s="5">
        <v>393</v>
      </c>
      <c r="I74" s="5">
        <v>17176</v>
      </c>
      <c r="J74" s="5">
        <v>16483</v>
      </c>
      <c r="K74" s="5">
        <v>170</v>
      </c>
      <c r="L74" s="5" t="s">
        <v>43</v>
      </c>
      <c r="M74" s="5"/>
      <c r="N74" s="13">
        <f>(Posts1114[[#This Row],[Likes]]+Posts1114[[#This Row],[Shares]]+Posts1114[[#This Row],[Comments]])/Posts1114[[#This Row],[Impressions]]</f>
        <v>0.17291569632044715</v>
      </c>
    </row>
    <row r="75" spans="1:14" hidden="1">
      <c r="A75" s="11" t="s">
        <v>93</v>
      </c>
      <c r="B75" s="6" t="s">
        <v>49</v>
      </c>
      <c r="C75" s="12">
        <v>45720</v>
      </c>
      <c r="D75" s="6" t="s">
        <v>75</v>
      </c>
      <c r="E75" s="6" t="s">
        <v>82</v>
      </c>
      <c r="F75" s="6">
        <v>432</v>
      </c>
      <c r="G75" s="6">
        <v>624</v>
      </c>
      <c r="H75" s="6">
        <v>123</v>
      </c>
      <c r="I75" s="6">
        <v>6912</v>
      </c>
      <c r="J75" s="6">
        <v>6259</v>
      </c>
      <c r="K75" s="6">
        <v>79</v>
      </c>
      <c r="L75" s="6" t="s">
        <v>38</v>
      </c>
      <c r="M75" s="6" t="s">
        <v>19</v>
      </c>
      <c r="N75" s="14">
        <f>(Posts1114[[#This Row],[Likes]]+Posts1114[[#This Row],[Shares]]+Posts1114[[#This Row],[Comments]])/Posts1114[[#This Row],[Impressions]]</f>
        <v>0.17057291666666666</v>
      </c>
    </row>
    <row r="76" spans="1:14" hidden="1">
      <c r="A76" s="11" t="s">
        <v>113</v>
      </c>
      <c r="B76" s="6" t="s">
        <v>35</v>
      </c>
      <c r="C76" s="12">
        <v>45779</v>
      </c>
      <c r="D76" s="6" t="s">
        <v>75</v>
      </c>
      <c r="E76" s="6" t="s">
        <v>114</v>
      </c>
      <c r="F76" s="6">
        <v>1108</v>
      </c>
      <c r="G76" s="6">
        <v>177</v>
      </c>
      <c r="H76" s="6">
        <v>212</v>
      </c>
      <c r="I76" s="6">
        <v>8864</v>
      </c>
      <c r="J76" s="6">
        <v>8710</v>
      </c>
      <c r="K76" s="6">
        <v>97</v>
      </c>
      <c r="L76" s="6" t="s">
        <v>43</v>
      </c>
      <c r="M76" s="6" t="s">
        <v>19</v>
      </c>
      <c r="N76" s="14">
        <f>(Posts1114[[#This Row],[Likes]]+Posts1114[[#This Row],[Shares]]+Posts1114[[#This Row],[Comments]])/Posts1114[[#This Row],[Impressions]]</f>
        <v>0.16888537906137185</v>
      </c>
    </row>
    <row r="77" spans="1:14" hidden="1">
      <c r="A77" s="9" t="s">
        <v>161</v>
      </c>
      <c r="B77" s="5" t="s">
        <v>35</v>
      </c>
      <c r="C77" s="10">
        <v>45667</v>
      </c>
      <c r="D77" s="5" t="s">
        <v>61</v>
      </c>
      <c r="E77" s="5" t="s">
        <v>107</v>
      </c>
      <c r="F77" s="5">
        <v>2214</v>
      </c>
      <c r="G77" s="5">
        <v>249</v>
      </c>
      <c r="H77" s="5">
        <v>152</v>
      </c>
      <c r="I77" s="5">
        <v>15498</v>
      </c>
      <c r="J77" s="5">
        <v>14800</v>
      </c>
      <c r="K77" s="5">
        <v>180</v>
      </c>
      <c r="L77" s="5" t="s">
        <v>52</v>
      </c>
      <c r="M77" s="5"/>
      <c r="N77" s="13">
        <f>(Posts1114[[#This Row],[Likes]]+Posts1114[[#This Row],[Shares]]+Posts1114[[#This Row],[Comments]])/Posts1114[[#This Row],[Impressions]]</f>
        <v>0.16873144921925409</v>
      </c>
    </row>
    <row r="78" spans="1:14" hidden="1">
      <c r="A78" s="11" t="s">
        <v>166</v>
      </c>
      <c r="B78" s="6" t="s">
        <v>49</v>
      </c>
      <c r="C78" s="12">
        <v>45603</v>
      </c>
      <c r="D78" s="6" t="s">
        <v>61</v>
      </c>
      <c r="E78" s="6" t="s">
        <v>153</v>
      </c>
      <c r="F78" s="6">
        <v>2647</v>
      </c>
      <c r="G78" s="6">
        <v>304</v>
      </c>
      <c r="H78" s="6">
        <v>170</v>
      </c>
      <c r="I78" s="6">
        <v>18529</v>
      </c>
      <c r="J78" s="6">
        <v>17841</v>
      </c>
      <c r="K78" s="6">
        <v>46</v>
      </c>
      <c r="L78" s="6" t="s">
        <v>38</v>
      </c>
      <c r="M78" s="6" t="s">
        <v>15</v>
      </c>
      <c r="N78" s="14">
        <f>(Posts1114[[#This Row],[Likes]]+Posts1114[[#This Row],[Shares]]+Posts1114[[#This Row],[Comments]])/Posts1114[[#This Row],[Impressions]]</f>
        <v>0.16843866371633656</v>
      </c>
    </row>
    <row r="79" spans="1:14" hidden="1">
      <c r="A79" s="11" t="s">
        <v>188</v>
      </c>
      <c r="B79" s="6" t="s">
        <v>46</v>
      </c>
      <c r="C79" s="12">
        <v>45734</v>
      </c>
      <c r="D79" s="6" t="s">
        <v>36</v>
      </c>
      <c r="E79" s="6" t="s">
        <v>47</v>
      </c>
      <c r="F79" s="6">
        <v>3704</v>
      </c>
      <c r="G79" s="6">
        <v>186</v>
      </c>
      <c r="H79" s="6">
        <v>458</v>
      </c>
      <c r="I79" s="6">
        <v>25928</v>
      </c>
      <c r="J79" s="6">
        <v>25081</v>
      </c>
      <c r="K79" s="6">
        <v>131</v>
      </c>
      <c r="L79" s="6" t="s">
        <v>43</v>
      </c>
      <c r="M79" s="6"/>
      <c r="N79" s="14">
        <f>(Posts1114[[#This Row],[Likes]]+Posts1114[[#This Row],[Shares]]+Posts1114[[#This Row],[Comments]])/Posts1114[[#This Row],[Impressions]]</f>
        <v>0.16769515581610614</v>
      </c>
    </row>
    <row r="80" spans="1:14" hidden="1">
      <c r="A80" s="11" t="s">
        <v>347</v>
      </c>
      <c r="B80" s="6" t="s">
        <v>55</v>
      </c>
      <c r="C80" s="12">
        <v>45509</v>
      </c>
      <c r="D80" s="6" t="s">
        <v>36</v>
      </c>
      <c r="E80" s="6" t="s">
        <v>69</v>
      </c>
      <c r="F80" s="6">
        <v>1741</v>
      </c>
      <c r="G80" s="6">
        <v>831</v>
      </c>
      <c r="H80" s="6">
        <v>345</v>
      </c>
      <c r="I80" s="6">
        <v>17410</v>
      </c>
      <c r="J80" s="6">
        <v>16844</v>
      </c>
      <c r="K80" s="6">
        <v>58</v>
      </c>
      <c r="L80" s="6" t="s">
        <v>52</v>
      </c>
      <c r="M80" s="6" t="s">
        <v>15</v>
      </c>
      <c r="N80" s="14">
        <f>(Posts1114[[#This Row],[Likes]]+Posts1114[[#This Row],[Shares]]+Posts1114[[#This Row],[Comments]])/Posts1114[[#This Row],[Impressions]]</f>
        <v>0.16754738655944859</v>
      </c>
    </row>
    <row r="81" spans="1:14" hidden="1">
      <c r="A81" s="11" t="s">
        <v>181</v>
      </c>
      <c r="B81" s="6" t="s">
        <v>35</v>
      </c>
      <c r="C81" s="12">
        <v>45512</v>
      </c>
      <c r="D81" s="6" t="s">
        <v>50</v>
      </c>
      <c r="E81" s="6" t="s">
        <v>117</v>
      </c>
      <c r="F81" s="6">
        <v>3649</v>
      </c>
      <c r="G81" s="6">
        <v>215</v>
      </c>
      <c r="H81" s="6">
        <v>413</v>
      </c>
      <c r="I81" s="6">
        <v>25543</v>
      </c>
      <c r="J81" s="6">
        <v>24963</v>
      </c>
      <c r="K81" s="6">
        <v>167</v>
      </c>
      <c r="L81" s="6" t="s">
        <v>38</v>
      </c>
      <c r="M81" s="6" t="s">
        <v>15</v>
      </c>
      <c r="N81" s="14">
        <f>(Posts1114[[#This Row],[Likes]]+Posts1114[[#This Row],[Shares]]+Posts1114[[#This Row],[Comments]])/Posts1114[[#This Row],[Impressions]]</f>
        <v>0.16744313510550835</v>
      </c>
    </row>
    <row r="82" spans="1:14" hidden="1">
      <c r="A82" s="9" t="s">
        <v>115</v>
      </c>
      <c r="B82" s="5" t="s">
        <v>35</v>
      </c>
      <c r="C82" s="10">
        <v>45712</v>
      </c>
      <c r="D82" s="5" t="s">
        <v>56</v>
      </c>
      <c r="E82" s="5" t="s">
        <v>59</v>
      </c>
      <c r="F82" s="5">
        <v>2704</v>
      </c>
      <c r="G82" s="5">
        <v>752</v>
      </c>
      <c r="H82" s="5">
        <v>153</v>
      </c>
      <c r="I82" s="5">
        <v>21632</v>
      </c>
      <c r="J82" s="5">
        <v>20792</v>
      </c>
      <c r="K82" s="5">
        <v>127</v>
      </c>
      <c r="L82" s="5" t="s">
        <v>38</v>
      </c>
      <c r="M82" s="5"/>
      <c r="N82" s="13">
        <f>(Posts1114[[#This Row],[Likes]]+Posts1114[[#This Row],[Shares]]+Posts1114[[#This Row],[Comments]])/Posts1114[[#This Row],[Impressions]]</f>
        <v>0.16683616863905326</v>
      </c>
    </row>
    <row r="83" spans="1:14" hidden="1">
      <c r="A83" s="9" t="s">
        <v>367</v>
      </c>
      <c r="B83" s="5" t="s">
        <v>35</v>
      </c>
      <c r="C83" s="10">
        <v>45783</v>
      </c>
      <c r="D83" s="5" t="s">
        <v>61</v>
      </c>
      <c r="E83" s="5" t="s">
        <v>107</v>
      </c>
      <c r="F83" s="5">
        <v>1952</v>
      </c>
      <c r="G83" s="5">
        <v>344</v>
      </c>
      <c r="H83" s="5">
        <v>287</v>
      </c>
      <c r="I83" s="5">
        <v>15616</v>
      </c>
      <c r="J83" s="5">
        <v>15403</v>
      </c>
      <c r="K83" s="5">
        <v>235</v>
      </c>
      <c r="L83" s="5" t="s">
        <v>38</v>
      </c>
      <c r="M83" s="5" t="s">
        <v>11</v>
      </c>
      <c r="N83" s="13">
        <f>(Posts1114[[#This Row],[Likes]]+Posts1114[[#This Row],[Shares]]+Posts1114[[#This Row],[Comments]])/Posts1114[[#This Row],[Impressions]]</f>
        <v>0.16540727459016394</v>
      </c>
    </row>
    <row r="84" spans="1:14" hidden="1">
      <c r="A84" s="11" t="s">
        <v>367</v>
      </c>
      <c r="B84" s="6" t="s">
        <v>35</v>
      </c>
      <c r="C84" s="12">
        <v>45783</v>
      </c>
      <c r="D84" s="6" t="s">
        <v>61</v>
      </c>
      <c r="E84" s="6" t="s">
        <v>107</v>
      </c>
      <c r="F84" s="6">
        <v>1952</v>
      </c>
      <c r="G84" s="6">
        <v>344</v>
      </c>
      <c r="H84" s="6">
        <v>287</v>
      </c>
      <c r="I84" s="6">
        <v>15616</v>
      </c>
      <c r="J84" s="6">
        <v>15403</v>
      </c>
      <c r="K84" s="6">
        <v>235</v>
      </c>
      <c r="L84" s="6" t="s">
        <v>43</v>
      </c>
      <c r="M84" s="6" t="s">
        <v>11</v>
      </c>
      <c r="N84" s="14">
        <f>(Posts1114[[#This Row],[Likes]]+Posts1114[[#This Row],[Shares]]+Posts1114[[#This Row],[Comments]])/Posts1114[[#This Row],[Impressions]]</f>
        <v>0.16540727459016394</v>
      </c>
    </row>
    <row r="85" spans="1:14" hidden="1">
      <c r="A85" s="9" t="s">
        <v>367</v>
      </c>
      <c r="B85" s="5" t="s">
        <v>35</v>
      </c>
      <c r="C85" s="10">
        <v>45783</v>
      </c>
      <c r="D85" s="5" t="s">
        <v>61</v>
      </c>
      <c r="E85" s="5" t="s">
        <v>107</v>
      </c>
      <c r="F85" s="5">
        <v>1952</v>
      </c>
      <c r="G85" s="5">
        <v>344</v>
      </c>
      <c r="H85" s="5">
        <v>287</v>
      </c>
      <c r="I85" s="5">
        <v>15616</v>
      </c>
      <c r="J85" s="5">
        <v>15403</v>
      </c>
      <c r="K85" s="5">
        <v>235</v>
      </c>
      <c r="L85" s="5" t="s">
        <v>39</v>
      </c>
      <c r="M85" s="5" t="s">
        <v>11</v>
      </c>
      <c r="N85" s="13">
        <f>(Posts1114[[#This Row],[Likes]]+Posts1114[[#This Row],[Shares]]+Posts1114[[#This Row],[Comments]])/Posts1114[[#This Row],[Impressions]]</f>
        <v>0.16540727459016394</v>
      </c>
    </row>
    <row r="86" spans="1:14" hidden="1">
      <c r="A86" s="9" t="s">
        <v>124</v>
      </c>
      <c r="B86" s="5" t="s">
        <v>46</v>
      </c>
      <c r="C86" s="10">
        <v>45729</v>
      </c>
      <c r="D86" s="5" t="s">
        <v>56</v>
      </c>
      <c r="E86" s="5" t="s">
        <v>71</v>
      </c>
      <c r="F86" s="5">
        <v>1686</v>
      </c>
      <c r="G86" s="5">
        <v>904</v>
      </c>
      <c r="H86" s="5">
        <v>472</v>
      </c>
      <c r="I86" s="5">
        <v>18546</v>
      </c>
      <c r="J86" s="5">
        <v>18171</v>
      </c>
      <c r="K86" s="5">
        <v>52</v>
      </c>
      <c r="L86" s="5" t="s">
        <v>38</v>
      </c>
      <c r="M86" s="5" t="s">
        <v>11</v>
      </c>
      <c r="N86" s="13">
        <f>(Posts1114[[#This Row],[Likes]]+Posts1114[[#This Row],[Shares]]+Posts1114[[#This Row],[Comments]])/Posts1114[[#This Row],[Impressions]]</f>
        <v>0.16510298716704411</v>
      </c>
    </row>
    <row r="87" spans="1:14" hidden="1">
      <c r="A87" s="9" t="s">
        <v>130</v>
      </c>
      <c r="B87" s="5" t="s">
        <v>49</v>
      </c>
      <c r="C87" s="10">
        <v>45685</v>
      </c>
      <c r="D87" s="5" t="s">
        <v>75</v>
      </c>
      <c r="E87" s="5" t="s">
        <v>82</v>
      </c>
      <c r="F87" s="5">
        <v>904</v>
      </c>
      <c r="G87" s="5">
        <v>973</v>
      </c>
      <c r="H87" s="5">
        <v>63</v>
      </c>
      <c r="I87" s="5">
        <v>11752</v>
      </c>
      <c r="J87" s="5">
        <v>11580</v>
      </c>
      <c r="K87" s="5">
        <v>84</v>
      </c>
      <c r="L87" s="5" t="s">
        <v>52</v>
      </c>
      <c r="M87" s="5" t="s">
        <v>15</v>
      </c>
      <c r="N87" s="13">
        <f>(Posts1114[[#This Row],[Likes]]+Posts1114[[#This Row],[Shares]]+Posts1114[[#This Row],[Comments]])/Posts1114[[#This Row],[Impressions]]</f>
        <v>0.1650782845473111</v>
      </c>
    </row>
    <row r="88" spans="1:14" hidden="1">
      <c r="A88" s="11" t="s">
        <v>130</v>
      </c>
      <c r="B88" s="6" t="s">
        <v>49</v>
      </c>
      <c r="C88" s="12">
        <v>45685</v>
      </c>
      <c r="D88" s="6" t="s">
        <v>75</v>
      </c>
      <c r="E88" s="6" t="s">
        <v>82</v>
      </c>
      <c r="F88" s="6">
        <v>904</v>
      </c>
      <c r="G88" s="6">
        <v>973</v>
      </c>
      <c r="H88" s="6">
        <v>63</v>
      </c>
      <c r="I88" s="6">
        <v>11752</v>
      </c>
      <c r="J88" s="6">
        <v>11580</v>
      </c>
      <c r="K88" s="6">
        <v>84</v>
      </c>
      <c r="L88" s="6" t="s">
        <v>43</v>
      </c>
      <c r="M88" s="6" t="s">
        <v>15</v>
      </c>
      <c r="N88" s="14">
        <f>(Posts1114[[#This Row],[Likes]]+Posts1114[[#This Row],[Shares]]+Posts1114[[#This Row],[Comments]])/Posts1114[[#This Row],[Impressions]]</f>
        <v>0.1650782845473111</v>
      </c>
    </row>
    <row r="89" spans="1:14" hidden="1">
      <c r="A89" s="9" t="s">
        <v>130</v>
      </c>
      <c r="B89" s="5" t="s">
        <v>49</v>
      </c>
      <c r="C89" s="10">
        <v>45685</v>
      </c>
      <c r="D89" s="5" t="s">
        <v>75</v>
      </c>
      <c r="E89" s="5" t="s">
        <v>82</v>
      </c>
      <c r="F89" s="5">
        <v>904</v>
      </c>
      <c r="G89" s="5">
        <v>973</v>
      </c>
      <c r="H89" s="5">
        <v>63</v>
      </c>
      <c r="I89" s="5">
        <v>11752</v>
      </c>
      <c r="J89" s="5">
        <v>11580</v>
      </c>
      <c r="K89" s="5">
        <v>84</v>
      </c>
      <c r="L89" s="5" t="s">
        <v>39</v>
      </c>
      <c r="M89" s="5" t="s">
        <v>15</v>
      </c>
      <c r="N89" s="13">
        <f>(Posts1114[[#This Row],[Likes]]+Posts1114[[#This Row],[Shares]]+Posts1114[[#This Row],[Comments]])/Posts1114[[#This Row],[Impressions]]</f>
        <v>0.1650782845473111</v>
      </c>
    </row>
    <row r="90" spans="1:14" hidden="1">
      <c r="A90" s="11" t="s">
        <v>154</v>
      </c>
      <c r="B90" s="6" t="s">
        <v>46</v>
      </c>
      <c r="C90" s="12">
        <v>45580</v>
      </c>
      <c r="D90" s="6" t="s">
        <v>75</v>
      </c>
      <c r="E90" s="6" t="s">
        <v>155</v>
      </c>
      <c r="F90" s="6">
        <v>1094</v>
      </c>
      <c r="G90" s="6">
        <v>472</v>
      </c>
      <c r="H90" s="6">
        <v>21</v>
      </c>
      <c r="I90" s="6">
        <v>9846</v>
      </c>
      <c r="J90" s="6">
        <v>9609</v>
      </c>
      <c r="K90" s="6">
        <v>112</v>
      </c>
      <c r="L90" s="6" t="s">
        <v>52</v>
      </c>
      <c r="M90" s="6"/>
      <c r="N90" s="14">
        <f>(Posts1114[[#This Row],[Likes]]+Posts1114[[#This Row],[Shares]]+Posts1114[[#This Row],[Comments]])/Posts1114[[#This Row],[Impressions]]</f>
        <v>0.16118220597196831</v>
      </c>
    </row>
    <row r="91" spans="1:14" hidden="1">
      <c r="A91" s="11" t="s">
        <v>210</v>
      </c>
      <c r="B91" s="6" t="s">
        <v>35</v>
      </c>
      <c r="C91" s="12">
        <v>45745</v>
      </c>
      <c r="D91" s="6" t="s">
        <v>61</v>
      </c>
      <c r="E91" s="6" t="s">
        <v>107</v>
      </c>
      <c r="F91" s="6">
        <v>305</v>
      </c>
      <c r="G91" s="6">
        <v>187</v>
      </c>
      <c r="H91" s="6">
        <v>243</v>
      </c>
      <c r="I91" s="6">
        <v>4575</v>
      </c>
      <c r="J91" s="6">
        <v>3704</v>
      </c>
      <c r="K91" s="6">
        <v>234</v>
      </c>
      <c r="L91" s="6" t="s">
        <v>38</v>
      </c>
      <c r="M91" s="6" t="s">
        <v>15</v>
      </c>
      <c r="N91" s="14">
        <f>(Posts1114[[#This Row],[Likes]]+Posts1114[[#This Row],[Shares]]+Posts1114[[#This Row],[Comments]])/Posts1114[[#This Row],[Impressions]]</f>
        <v>0.16065573770491803</v>
      </c>
    </row>
    <row r="92" spans="1:14" hidden="1">
      <c r="A92" s="9" t="s">
        <v>293</v>
      </c>
      <c r="B92" s="5" t="s">
        <v>55</v>
      </c>
      <c r="C92" s="10">
        <v>45739</v>
      </c>
      <c r="D92" s="5" t="s">
        <v>75</v>
      </c>
      <c r="E92" s="5" t="s">
        <v>76</v>
      </c>
      <c r="F92" s="5">
        <v>4453</v>
      </c>
      <c r="G92" s="5">
        <v>111</v>
      </c>
      <c r="H92" s="5">
        <v>420</v>
      </c>
      <c r="I92" s="5">
        <v>31171</v>
      </c>
      <c r="J92" s="5">
        <v>30565</v>
      </c>
      <c r="K92" s="5">
        <v>23</v>
      </c>
      <c r="L92" s="5" t="s">
        <v>43</v>
      </c>
      <c r="M92" s="5"/>
      <c r="N92" s="13">
        <f>(Posts1114[[#This Row],[Likes]]+Posts1114[[#This Row],[Shares]]+Posts1114[[#This Row],[Comments]])/Posts1114[[#This Row],[Impressions]]</f>
        <v>0.15989220750056141</v>
      </c>
    </row>
    <row r="93" spans="1:14" hidden="1">
      <c r="A93" s="9" t="s">
        <v>324</v>
      </c>
      <c r="B93" s="5" t="s">
        <v>55</v>
      </c>
      <c r="C93" s="10">
        <v>45775</v>
      </c>
      <c r="D93" s="5" t="s">
        <v>56</v>
      </c>
      <c r="E93" s="5" t="s">
        <v>57</v>
      </c>
      <c r="F93" s="5">
        <v>2089</v>
      </c>
      <c r="G93" s="5">
        <v>476</v>
      </c>
      <c r="H93" s="5">
        <v>69</v>
      </c>
      <c r="I93" s="5">
        <v>16712</v>
      </c>
      <c r="J93" s="5">
        <v>16309</v>
      </c>
      <c r="K93" s="5">
        <v>64</v>
      </c>
      <c r="L93" s="5" t="s">
        <v>38</v>
      </c>
      <c r="M93" s="5" t="s">
        <v>15</v>
      </c>
      <c r="N93" s="13">
        <f>(Posts1114[[#This Row],[Likes]]+Posts1114[[#This Row],[Shares]]+Posts1114[[#This Row],[Comments]])/Posts1114[[#This Row],[Impressions]]</f>
        <v>0.15761129727142173</v>
      </c>
    </row>
    <row r="94" spans="1:14" hidden="1">
      <c r="A94" s="11" t="s">
        <v>122</v>
      </c>
      <c r="B94" s="6" t="s">
        <v>55</v>
      </c>
      <c r="C94" s="12">
        <v>45660</v>
      </c>
      <c r="D94" s="6" t="s">
        <v>61</v>
      </c>
      <c r="E94" s="6" t="s">
        <v>66</v>
      </c>
      <c r="F94" s="6">
        <v>947</v>
      </c>
      <c r="G94" s="6">
        <v>338</v>
      </c>
      <c r="H94" s="6">
        <v>350</v>
      </c>
      <c r="I94" s="6">
        <v>10417</v>
      </c>
      <c r="J94" s="6">
        <v>9730</v>
      </c>
      <c r="K94" s="6">
        <v>34</v>
      </c>
      <c r="L94" s="6" t="s">
        <v>43</v>
      </c>
      <c r="M94" s="6" t="s">
        <v>19</v>
      </c>
      <c r="N94" s="14">
        <f>(Posts1114[[#This Row],[Likes]]+Posts1114[[#This Row],[Shares]]+Posts1114[[#This Row],[Comments]])/Posts1114[[#This Row],[Impressions]]</f>
        <v>0.1569549774407219</v>
      </c>
    </row>
    <row r="95" spans="1:14" hidden="1">
      <c r="A95" s="11" t="s">
        <v>212</v>
      </c>
      <c r="B95" s="6" t="s">
        <v>55</v>
      </c>
      <c r="C95" s="12">
        <v>45488</v>
      </c>
      <c r="D95" s="6" t="s">
        <v>61</v>
      </c>
      <c r="E95" s="6" t="s">
        <v>66</v>
      </c>
      <c r="F95" s="6">
        <v>2291</v>
      </c>
      <c r="G95" s="6">
        <v>78</v>
      </c>
      <c r="H95" s="6">
        <v>485</v>
      </c>
      <c r="I95" s="6">
        <v>18328</v>
      </c>
      <c r="J95" s="6">
        <v>18101</v>
      </c>
      <c r="K95" s="6">
        <v>10</v>
      </c>
      <c r="L95" s="6" t="s">
        <v>52</v>
      </c>
      <c r="M95" s="6" t="s">
        <v>11</v>
      </c>
      <c r="N95" s="14">
        <f>(Posts1114[[#This Row],[Likes]]+Posts1114[[#This Row],[Shares]]+Posts1114[[#This Row],[Comments]])/Posts1114[[#This Row],[Impressions]]</f>
        <v>0.15571802706241816</v>
      </c>
    </row>
    <row r="96" spans="1:14" hidden="1">
      <c r="A96" s="9" t="s">
        <v>212</v>
      </c>
      <c r="B96" s="5" t="s">
        <v>55</v>
      </c>
      <c r="C96" s="10">
        <v>45488</v>
      </c>
      <c r="D96" s="5" t="s">
        <v>61</v>
      </c>
      <c r="E96" s="5" t="s">
        <v>66</v>
      </c>
      <c r="F96" s="5">
        <v>2291</v>
      </c>
      <c r="G96" s="5">
        <v>78</v>
      </c>
      <c r="H96" s="5">
        <v>485</v>
      </c>
      <c r="I96" s="5">
        <v>18328</v>
      </c>
      <c r="J96" s="5">
        <v>18101</v>
      </c>
      <c r="K96" s="5">
        <v>10</v>
      </c>
      <c r="L96" s="5" t="s">
        <v>18</v>
      </c>
      <c r="M96" s="5" t="s">
        <v>11</v>
      </c>
      <c r="N96" s="13">
        <f>(Posts1114[[#This Row],[Likes]]+Posts1114[[#This Row],[Shares]]+Posts1114[[#This Row],[Comments]])/Posts1114[[#This Row],[Impressions]]</f>
        <v>0.15571802706241816</v>
      </c>
    </row>
    <row r="97" spans="1:14" hidden="1">
      <c r="A97" s="11" t="s">
        <v>237</v>
      </c>
      <c r="B97" s="6" t="s">
        <v>35</v>
      </c>
      <c r="C97" s="12">
        <v>45637</v>
      </c>
      <c r="D97" s="6" t="s">
        <v>41</v>
      </c>
      <c r="E97" s="6" t="s">
        <v>42</v>
      </c>
      <c r="F97" s="6">
        <v>3239</v>
      </c>
      <c r="G97" s="6">
        <v>43</v>
      </c>
      <c r="H97" s="6">
        <v>211</v>
      </c>
      <c r="I97" s="6">
        <v>22673</v>
      </c>
      <c r="J97" s="6">
        <v>22171</v>
      </c>
      <c r="K97" s="6">
        <v>230</v>
      </c>
      <c r="L97" s="6" t="s">
        <v>43</v>
      </c>
      <c r="M97" s="6" t="s">
        <v>11</v>
      </c>
      <c r="N97" s="14">
        <f>(Posts1114[[#This Row],[Likes]]+Posts1114[[#This Row],[Shares]]+Posts1114[[#This Row],[Comments]])/Posts1114[[#This Row],[Impressions]]</f>
        <v>0.15405989502933004</v>
      </c>
    </row>
    <row r="98" spans="1:14" hidden="1">
      <c r="A98" s="11" t="s">
        <v>236</v>
      </c>
      <c r="B98" s="6" t="s">
        <v>46</v>
      </c>
      <c r="C98" s="12">
        <v>45715</v>
      </c>
      <c r="D98" s="6" t="s">
        <v>41</v>
      </c>
      <c r="E98" s="6" t="s">
        <v>92</v>
      </c>
      <c r="F98" s="6">
        <v>4934</v>
      </c>
      <c r="G98" s="6">
        <v>971</v>
      </c>
      <c r="H98" s="6">
        <v>156</v>
      </c>
      <c r="I98" s="6">
        <v>39472</v>
      </c>
      <c r="J98" s="6">
        <v>39025</v>
      </c>
      <c r="K98" s="6">
        <v>169</v>
      </c>
      <c r="L98" s="6" t="s">
        <v>43</v>
      </c>
      <c r="M98" s="6" t="s">
        <v>19</v>
      </c>
      <c r="N98" s="14">
        <f>(Posts1114[[#This Row],[Likes]]+Posts1114[[#This Row],[Shares]]+Posts1114[[#This Row],[Comments]])/Posts1114[[#This Row],[Impressions]]</f>
        <v>0.15355188488042157</v>
      </c>
    </row>
    <row r="99" spans="1:14" hidden="1">
      <c r="A99" s="9" t="s">
        <v>236</v>
      </c>
      <c r="B99" s="5" t="s">
        <v>46</v>
      </c>
      <c r="C99" s="10">
        <v>45715</v>
      </c>
      <c r="D99" s="5" t="s">
        <v>41</v>
      </c>
      <c r="E99" s="5" t="s">
        <v>92</v>
      </c>
      <c r="F99" s="5">
        <v>4934</v>
      </c>
      <c r="G99" s="5">
        <v>971</v>
      </c>
      <c r="H99" s="5">
        <v>156</v>
      </c>
      <c r="I99" s="5">
        <v>39472</v>
      </c>
      <c r="J99" s="5">
        <v>39025</v>
      </c>
      <c r="K99" s="5">
        <v>169</v>
      </c>
      <c r="L99" s="5" t="s">
        <v>39</v>
      </c>
      <c r="M99" s="5" t="s">
        <v>19</v>
      </c>
      <c r="N99" s="13">
        <f>(Posts1114[[#This Row],[Likes]]+Posts1114[[#This Row],[Shares]]+Posts1114[[#This Row],[Comments]])/Posts1114[[#This Row],[Impressions]]</f>
        <v>0.15355188488042157</v>
      </c>
    </row>
    <row r="100" spans="1:14" hidden="1">
      <c r="A100" s="9" t="s">
        <v>334</v>
      </c>
      <c r="B100" s="5" t="s">
        <v>46</v>
      </c>
      <c r="C100" s="10">
        <v>45675</v>
      </c>
      <c r="D100" s="5" t="s">
        <v>61</v>
      </c>
      <c r="E100" s="5" t="s">
        <v>62</v>
      </c>
      <c r="F100" s="5">
        <v>1206</v>
      </c>
      <c r="G100" s="5">
        <v>238</v>
      </c>
      <c r="H100" s="5">
        <v>36</v>
      </c>
      <c r="I100" s="5">
        <v>9648</v>
      </c>
      <c r="J100" s="5">
        <v>9417</v>
      </c>
      <c r="K100" s="5">
        <v>237</v>
      </c>
      <c r="L100" s="5" t="s">
        <v>43</v>
      </c>
      <c r="M100" s="5"/>
      <c r="N100" s="13">
        <f>(Posts1114[[#This Row],[Likes]]+Posts1114[[#This Row],[Shares]]+Posts1114[[#This Row],[Comments]])/Posts1114[[#This Row],[Impressions]]</f>
        <v>0.15339966832504145</v>
      </c>
    </row>
    <row r="101" spans="1:14" hidden="1">
      <c r="A101" s="9" t="s">
        <v>219</v>
      </c>
      <c r="B101" s="5" t="s">
        <v>49</v>
      </c>
      <c r="C101" s="10">
        <v>45586</v>
      </c>
      <c r="D101" s="5" t="s">
        <v>36</v>
      </c>
      <c r="E101" s="5" t="s">
        <v>80</v>
      </c>
      <c r="F101" s="5">
        <v>3256</v>
      </c>
      <c r="G101" s="5">
        <v>459</v>
      </c>
      <c r="H101" s="5">
        <v>266</v>
      </c>
      <c r="I101" s="5">
        <v>26048</v>
      </c>
      <c r="J101" s="5">
        <v>25529</v>
      </c>
      <c r="K101" s="5">
        <v>143</v>
      </c>
      <c r="L101" s="5" t="s">
        <v>43</v>
      </c>
      <c r="M101" s="5" t="s">
        <v>11</v>
      </c>
      <c r="N101" s="13">
        <f>(Posts1114[[#This Row],[Likes]]+Posts1114[[#This Row],[Shares]]+Posts1114[[#This Row],[Comments]])/Posts1114[[#This Row],[Impressions]]</f>
        <v>0.15283323095823095</v>
      </c>
    </row>
    <row r="102" spans="1:14" hidden="1">
      <c r="A102" s="11" t="s">
        <v>48</v>
      </c>
      <c r="B102" s="6" t="s">
        <v>49</v>
      </c>
      <c r="C102" s="12">
        <v>45516</v>
      </c>
      <c r="D102" s="6" t="s">
        <v>50</v>
      </c>
      <c r="E102" s="6" t="s">
        <v>51</v>
      </c>
      <c r="F102" s="6">
        <v>2404</v>
      </c>
      <c r="G102" s="6">
        <v>363</v>
      </c>
      <c r="H102" s="6">
        <v>138</v>
      </c>
      <c r="I102" s="6">
        <v>19232</v>
      </c>
      <c r="J102" s="6">
        <v>18636</v>
      </c>
      <c r="K102" s="6">
        <v>128</v>
      </c>
      <c r="L102" s="6" t="s">
        <v>52</v>
      </c>
      <c r="M102" s="6" t="s">
        <v>19</v>
      </c>
      <c r="N102" s="14">
        <f>(Posts1114[[#This Row],[Likes]]+Posts1114[[#This Row],[Shares]]+Posts1114[[#This Row],[Comments]])/Posts1114[[#This Row],[Impressions]]</f>
        <v>0.15105033277870217</v>
      </c>
    </row>
    <row r="103" spans="1:14" hidden="1">
      <c r="A103" s="9" t="s">
        <v>72</v>
      </c>
      <c r="B103" s="5" t="s">
        <v>55</v>
      </c>
      <c r="C103" s="10">
        <v>45704</v>
      </c>
      <c r="D103" s="5" t="s">
        <v>50</v>
      </c>
      <c r="E103" s="5" t="s">
        <v>73</v>
      </c>
      <c r="F103" s="5">
        <v>4242</v>
      </c>
      <c r="G103" s="5">
        <v>555</v>
      </c>
      <c r="H103" s="5">
        <v>131</v>
      </c>
      <c r="I103" s="5">
        <v>33936</v>
      </c>
      <c r="J103" s="5">
        <v>33802</v>
      </c>
      <c r="K103" s="5">
        <v>265</v>
      </c>
      <c r="L103" s="5" t="s">
        <v>38</v>
      </c>
      <c r="M103" s="5"/>
      <c r="N103" s="13">
        <f>(Posts1114[[#This Row],[Likes]]+Posts1114[[#This Row],[Shares]]+Posts1114[[#This Row],[Comments]])/Posts1114[[#This Row],[Impressions]]</f>
        <v>0.14521452145214522</v>
      </c>
    </row>
    <row r="104" spans="1:14" hidden="1">
      <c r="A104" s="9" t="s">
        <v>264</v>
      </c>
      <c r="B104" s="5" t="s">
        <v>49</v>
      </c>
      <c r="C104" s="10">
        <v>45625</v>
      </c>
      <c r="D104" s="5" t="s">
        <v>75</v>
      </c>
      <c r="E104" s="5" t="s">
        <v>82</v>
      </c>
      <c r="F104" s="5">
        <v>1176</v>
      </c>
      <c r="G104" s="5">
        <v>464</v>
      </c>
      <c r="H104" s="5">
        <v>394</v>
      </c>
      <c r="I104" s="5">
        <v>14112</v>
      </c>
      <c r="J104" s="5">
        <v>13588</v>
      </c>
      <c r="K104" s="5">
        <v>272</v>
      </c>
      <c r="L104" s="5" t="s">
        <v>52</v>
      </c>
      <c r="M104" s="5"/>
      <c r="N104" s="13">
        <f>(Posts1114[[#This Row],[Likes]]+Posts1114[[#This Row],[Shares]]+Posts1114[[#This Row],[Comments]])/Posts1114[[#This Row],[Impressions]]</f>
        <v>0.1441326530612245</v>
      </c>
    </row>
    <row r="105" spans="1:14" hidden="1">
      <c r="A105" s="11" t="s">
        <v>245</v>
      </c>
      <c r="B105" s="6" t="s">
        <v>35</v>
      </c>
      <c r="C105" s="12">
        <v>45631</v>
      </c>
      <c r="D105" s="6" t="s">
        <v>75</v>
      </c>
      <c r="E105" s="6" t="s">
        <v>114</v>
      </c>
      <c r="F105" s="6">
        <v>1330</v>
      </c>
      <c r="G105" s="6">
        <v>925</v>
      </c>
      <c r="H105" s="6">
        <v>35</v>
      </c>
      <c r="I105" s="6">
        <v>15960</v>
      </c>
      <c r="J105" s="6">
        <v>15379</v>
      </c>
      <c r="K105" s="6">
        <v>229</v>
      </c>
      <c r="L105" s="6" t="s">
        <v>38</v>
      </c>
      <c r="M105" s="6" t="s">
        <v>15</v>
      </c>
      <c r="N105" s="14">
        <f>(Posts1114[[#This Row],[Likes]]+Posts1114[[#This Row],[Shares]]+Posts1114[[#This Row],[Comments]])/Posts1114[[#This Row],[Impressions]]</f>
        <v>0.14348370927318296</v>
      </c>
    </row>
    <row r="106" spans="1:14" hidden="1">
      <c r="A106" s="9" t="s">
        <v>238</v>
      </c>
      <c r="B106" s="5" t="s">
        <v>35</v>
      </c>
      <c r="C106" s="10">
        <v>45704</v>
      </c>
      <c r="D106" s="5" t="s">
        <v>36</v>
      </c>
      <c r="E106" s="5" t="s">
        <v>37</v>
      </c>
      <c r="F106" s="5">
        <v>1076</v>
      </c>
      <c r="G106" s="5">
        <v>313</v>
      </c>
      <c r="H106" s="5">
        <v>306</v>
      </c>
      <c r="I106" s="5">
        <v>11836</v>
      </c>
      <c r="J106" s="5">
        <v>11596</v>
      </c>
      <c r="K106" s="5">
        <v>104</v>
      </c>
      <c r="L106" s="5" t="s">
        <v>38</v>
      </c>
      <c r="M106" s="5" t="s">
        <v>7</v>
      </c>
      <c r="N106" s="13">
        <f>(Posts1114[[#This Row],[Likes]]+Posts1114[[#This Row],[Shares]]+Posts1114[[#This Row],[Comments]])/Posts1114[[#This Row],[Impressions]]</f>
        <v>0.14320716458262928</v>
      </c>
    </row>
    <row r="107" spans="1:14" hidden="1">
      <c r="A107" s="9" t="s">
        <v>279</v>
      </c>
      <c r="B107" s="5" t="s">
        <v>35</v>
      </c>
      <c r="C107" s="10">
        <v>45655</v>
      </c>
      <c r="D107" s="5" t="s">
        <v>56</v>
      </c>
      <c r="E107" s="5" t="s">
        <v>59</v>
      </c>
      <c r="F107" s="5">
        <v>4274</v>
      </c>
      <c r="G107" s="5">
        <v>340</v>
      </c>
      <c r="H107" s="5">
        <v>281</v>
      </c>
      <c r="I107" s="5">
        <v>34192</v>
      </c>
      <c r="J107" s="5">
        <v>33446</v>
      </c>
      <c r="K107" s="5">
        <v>129</v>
      </c>
      <c r="L107" s="5" t="s">
        <v>43</v>
      </c>
      <c r="M107" s="5" t="s">
        <v>15</v>
      </c>
      <c r="N107" s="13">
        <f>(Posts1114[[#This Row],[Likes]]+Posts1114[[#This Row],[Shares]]+Posts1114[[#This Row],[Comments]])/Posts1114[[#This Row],[Impressions]]</f>
        <v>0.14316214319138981</v>
      </c>
    </row>
    <row r="108" spans="1:14" hidden="1">
      <c r="A108" s="11" t="s">
        <v>279</v>
      </c>
      <c r="B108" s="6" t="s">
        <v>35</v>
      </c>
      <c r="C108" s="12">
        <v>45655</v>
      </c>
      <c r="D108" s="6" t="s">
        <v>56</v>
      </c>
      <c r="E108" s="6" t="s">
        <v>59</v>
      </c>
      <c r="F108" s="6">
        <v>4274</v>
      </c>
      <c r="G108" s="6">
        <v>340</v>
      </c>
      <c r="H108" s="6">
        <v>281</v>
      </c>
      <c r="I108" s="6">
        <v>34192</v>
      </c>
      <c r="J108" s="6">
        <v>33446</v>
      </c>
      <c r="K108" s="6">
        <v>129</v>
      </c>
      <c r="L108" s="6" t="s">
        <v>18</v>
      </c>
      <c r="M108" s="6" t="s">
        <v>15</v>
      </c>
      <c r="N108" s="14">
        <f>(Posts1114[[#This Row],[Likes]]+Posts1114[[#This Row],[Shares]]+Posts1114[[#This Row],[Comments]])/Posts1114[[#This Row],[Impressions]]</f>
        <v>0.14316214319138981</v>
      </c>
    </row>
    <row r="109" spans="1:14" hidden="1">
      <c r="A109" s="11" t="s">
        <v>131</v>
      </c>
      <c r="B109" s="6" t="s">
        <v>35</v>
      </c>
      <c r="C109" s="12">
        <v>45540</v>
      </c>
      <c r="D109" s="6" t="s">
        <v>75</v>
      </c>
      <c r="E109" s="6" t="s">
        <v>114</v>
      </c>
      <c r="F109" s="6">
        <v>4886</v>
      </c>
      <c r="G109" s="6">
        <v>983</v>
      </c>
      <c r="H109" s="6">
        <v>409</v>
      </c>
      <c r="I109" s="6">
        <v>43974</v>
      </c>
      <c r="J109" s="6">
        <v>43239</v>
      </c>
      <c r="K109" s="6">
        <v>65</v>
      </c>
      <c r="L109" s="6" t="s">
        <v>43</v>
      </c>
      <c r="M109" s="6" t="s">
        <v>7</v>
      </c>
      <c r="N109" s="14">
        <f>(Posts1114[[#This Row],[Likes]]+Posts1114[[#This Row],[Shares]]+Posts1114[[#This Row],[Comments]])/Posts1114[[#This Row],[Impressions]]</f>
        <v>0.14276618001546368</v>
      </c>
    </row>
    <row r="110" spans="1:14" hidden="1">
      <c r="A110" s="9" t="s">
        <v>197</v>
      </c>
      <c r="B110" s="5" t="s">
        <v>35</v>
      </c>
      <c r="C110" s="10">
        <v>45543</v>
      </c>
      <c r="D110" s="5" t="s">
        <v>56</v>
      </c>
      <c r="E110" s="5" t="s">
        <v>59</v>
      </c>
      <c r="F110" s="5">
        <v>3811</v>
      </c>
      <c r="G110" s="5">
        <v>866</v>
      </c>
      <c r="H110" s="5">
        <v>216</v>
      </c>
      <c r="I110" s="5">
        <v>34299</v>
      </c>
      <c r="J110" s="5">
        <v>34088</v>
      </c>
      <c r="K110" s="5">
        <v>233</v>
      </c>
      <c r="L110" s="5" t="s">
        <v>43</v>
      </c>
      <c r="M110" s="5" t="s">
        <v>19</v>
      </c>
      <c r="N110" s="13">
        <f>(Posts1114[[#This Row],[Likes]]+Posts1114[[#This Row],[Shares]]+Posts1114[[#This Row],[Comments]])/Posts1114[[#This Row],[Impressions]]</f>
        <v>0.14265722032712325</v>
      </c>
    </row>
    <row r="111" spans="1:14" hidden="1">
      <c r="A111" s="9" t="s">
        <v>344</v>
      </c>
      <c r="B111" s="5" t="s">
        <v>49</v>
      </c>
      <c r="C111" s="10">
        <v>45743</v>
      </c>
      <c r="D111" s="5" t="s">
        <v>41</v>
      </c>
      <c r="E111" s="5" t="s">
        <v>97</v>
      </c>
      <c r="F111" s="5">
        <v>4941</v>
      </c>
      <c r="G111" s="5">
        <v>414</v>
      </c>
      <c r="H111" s="5">
        <v>266</v>
      </c>
      <c r="I111" s="5">
        <v>39528</v>
      </c>
      <c r="J111" s="5">
        <v>39154</v>
      </c>
      <c r="K111" s="5">
        <v>217</v>
      </c>
      <c r="L111" s="5" t="s">
        <v>43</v>
      </c>
      <c r="M111" s="5" t="s">
        <v>15</v>
      </c>
      <c r="N111" s="13">
        <f>(Posts1114[[#This Row],[Likes]]+Posts1114[[#This Row],[Shares]]+Posts1114[[#This Row],[Comments]])/Posts1114[[#This Row],[Impressions]]</f>
        <v>0.14220299534507186</v>
      </c>
    </row>
    <row r="112" spans="1:14" hidden="1">
      <c r="A112" s="11" t="s">
        <v>106</v>
      </c>
      <c r="B112" s="6" t="s">
        <v>35</v>
      </c>
      <c r="C112" s="12">
        <v>45723</v>
      </c>
      <c r="D112" s="6" t="s">
        <v>61</v>
      </c>
      <c r="E112" s="6" t="s">
        <v>107</v>
      </c>
      <c r="F112" s="6">
        <v>4750</v>
      </c>
      <c r="G112" s="6">
        <v>151</v>
      </c>
      <c r="H112" s="6">
        <v>415</v>
      </c>
      <c r="I112" s="6">
        <v>38000</v>
      </c>
      <c r="J112" s="6">
        <v>37792</v>
      </c>
      <c r="K112" s="6">
        <v>299</v>
      </c>
      <c r="L112" s="6" t="s">
        <v>52</v>
      </c>
      <c r="M112" s="6" t="s">
        <v>19</v>
      </c>
      <c r="N112" s="14">
        <f>(Posts1114[[#This Row],[Likes]]+Posts1114[[#This Row],[Shares]]+Posts1114[[#This Row],[Comments]])/Posts1114[[#This Row],[Impressions]]</f>
        <v>0.13989473684210527</v>
      </c>
    </row>
    <row r="113" spans="1:14" hidden="1">
      <c r="A113" s="11" t="s">
        <v>371</v>
      </c>
      <c r="B113" s="6" t="s">
        <v>55</v>
      </c>
      <c r="C113" s="12">
        <v>45530</v>
      </c>
      <c r="D113" s="6" t="s">
        <v>61</v>
      </c>
      <c r="E113" s="6" t="s">
        <v>66</v>
      </c>
      <c r="F113" s="6">
        <v>2581</v>
      </c>
      <c r="G113" s="6">
        <v>517</v>
      </c>
      <c r="H113" s="6">
        <v>117</v>
      </c>
      <c r="I113" s="6">
        <v>23229</v>
      </c>
      <c r="J113" s="6">
        <v>22331</v>
      </c>
      <c r="K113" s="6">
        <v>70</v>
      </c>
      <c r="L113" s="6" t="s">
        <v>38</v>
      </c>
      <c r="M113" s="6" t="s">
        <v>15</v>
      </c>
      <c r="N113" s="14">
        <f>(Posts1114[[#This Row],[Likes]]+Posts1114[[#This Row],[Shares]]+Posts1114[[#This Row],[Comments]])/Posts1114[[#This Row],[Impressions]]</f>
        <v>0.13840458048129492</v>
      </c>
    </row>
    <row r="114" spans="1:14" hidden="1">
      <c r="A114" s="9" t="s">
        <v>246</v>
      </c>
      <c r="B114" s="5" t="s">
        <v>55</v>
      </c>
      <c r="C114" s="10">
        <v>45465</v>
      </c>
      <c r="D114" s="5" t="s">
        <v>41</v>
      </c>
      <c r="E114" s="5" t="s">
        <v>64</v>
      </c>
      <c r="F114" s="5">
        <v>3828</v>
      </c>
      <c r="G114" s="5">
        <v>148</v>
      </c>
      <c r="H114" s="5">
        <v>253</v>
      </c>
      <c r="I114" s="5">
        <v>30624</v>
      </c>
      <c r="J114" s="5">
        <v>30229</v>
      </c>
      <c r="K114" s="5">
        <v>235</v>
      </c>
      <c r="L114" s="5" t="s">
        <v>52</v>
      </c>
      <c r="M114" s="5"/>
      <c r="N114" s="13">
        <f>(Posts1114[[#This Row],[Likes]]+Posts1114[[#This Row],[Shares]]+Posts1114[[#This Row],[Comments]])/Posts1114[[#This Row],[Impressions]]</f>
        <v>0.13809430512016718</v>
      </c>
    </row>
    <row r="115" spans="1:14" hidden="1">
      <c r="A115" s="9" t="s">
        <v>176</v>
      </c>
      <c r="B115" s="5" t="s">
        <v>46</v>
      </c>
      <c r="C115" s="10">
        <v>45739</v>
      </c>
      <c r="D115" s="5" t="s">
        <v>50</v>
      </c>
      <c r="E115" s="5" t="s">
        <v>120</v>
      </c>
      <c r="F115" s="5">
        <v>3655</v>
      </c>
      <c r="G115" s="5">
        <v>568</v>
      </c>
      <c r="H115" s="5">
        <v>286</v>
      </c>
      <c r="I115" s="5">
        <v>32895</v>
      </c>
      <c r="J115" s="5">
        <v>32015</v>
      </c>
      <c r="K115" s="5">
        <v>199</v>
      </c>
      <c r="L115" s="5" t="s">
        <v>43</v>
      </c>
      <c r="M115" s="5" t="s">
        <v>15</v>
      </c>
      <c r="N115" s="13">
        <f>(Posts1114[[#This Row],[Likes]]+Posts1114[[#This Row],[Shares]]+Posts1114[[#This Row],[Comments]])/Posts1114[[#This Row],[Impressions]]</f>
        <v>0.13707250341997265</v>
      </c>
    </row>
    <row r="116" spans="1:14" hidden="1">
      <c r="A116" s="11" t="s">
        <v>267</v>
      </c>
      <c r="B116" s="6" t="s">
        <v>49</v>
      </c>
      <c r="C116" s="12">
        <v>45519</v>
      </c>
      <c r="D116" s="6" t="s">
        <v>56</v>
      </c>
      <c r="E116" s="6" t="s">
        <v>84</v>
      </c>
      <c r="F116" s="6">
        <v>914</v>
      </c>
      <c r="G116" s="6">
        <v>464</v>
      </c>
      <c r="H116" s="6">
        <v>246</v>
      </c>
      <c r="I116" s="6">
        <v>11882</v>
      </c>
      <c r="J116" s="6">
        <v>11500</v>
      </c>
      <c r="K116" s="6">
        <v>282</v>
      </c>
      <c r="L116" s="6" t="s">
        <v>38</v>
      </c>
      <c r="M116" s="6" t="s">
        <v>19</v>
      </c>
      <c r="N116" s="14">
        <f>(Posts1114[[#This Row],[Likes]]+Posts1114[[#This Row],[Shares]]+Posts1114[[#This Row],[Comments]])/Posts1114[[#This Row],[Impressions]]</f>
        <v>0.13667732704931829</v>
      </c>
    </row>
    <row r="117" spans="1:14" hidden="1">
      <c r="A117" s="9" t="s">
        <v>267</v>
      </c>
      <c r="B117" s="5" t="s">
        <v>49</v>
      </c>
      <c r="C117" s="10">
        <v>45519</v>
      </c>
      <c r="D117" s="5" t="s">
        <v>56</v>
      </c>
      <c r="E117" s="5" t="s">
        <v>84</v>
      </c>
      <c r="F117" s="5">
        <v>914</v>
      </c>
      <c r="G117" s="5">
        <v>464</v>
      </c>
      <c r="H117" s="5">
        <v>246</v>
      </c>
      <c r="I117" s="5">
        <v>11882</v>
      </c>
      <c r="J117" s="5">
        <v>11500</v>
      </c>
      <c r="K117" s="5">
        <v>282</v>
      </c>
      <c r="L117" s="5" t="s">
        <v>43</v>
      </c>
      <c r="M117" s="5" t="s">
        <v>19</v>
      </c>
      <c r="N117" s="13">
        <f>(Posts1114[[#This Row],[Likes]]+Posts1114[[#This Row],[Shares]]+Posts1114[[#This Row],[Comments]])/Posts1114[[#This Row],[Impressions]]</f>
        <v>0.13667732704931829</v>
      </c>
    </row>
    <row r="118" spans="1:14" hidden="1">
      <c r="A118" s="11" t="s">
        <v>267</v>
      </c>
      <c r="B118" s="6" t="s">
        <v>49</v>
      </c>
      <c r="C118" s="12">
        <v>45519</v>
      </c>
      <c r="D118" s="6" t="s">
        <v>56</v>
      </c>
      <c r="E118" s="6" t="s">
        <v>84</v>
      </c>
      <c r="F118" s="6">
        <v>914</v>
      </c>
      <c r="G118" s="6">
        <v>464</v>
      </c>
      <c r="H118" s="6">
        <v>246</v>
      </c>
      <c r="I118" s="6">
        <v>11882</v>
      </c>
      <c r="J118" s="6">
        <v>11500</v>
      </c>
      <c r="K118" s="6">
        <v>282</v>
      </c>
      <c r="L118" s="6" t="s">
        <v>39</v>
      </c>
      <c r="M118" s="6" t="s">
        <v>19</v>
      </c>
      <c r="N118" s="14">
        <f>(Posts1114[[#This Row],[Likes]]+Posts1114[[#This Row],[Shares]]+Posts1114[[#This Row],[Comments]])/Posts1114[[#This Row],[Impressions]]</f>
        <v>0.13667732704931829</v>
      </c>
    </row>
    <row r="119" spans="1:14" hidden="1">
      <c r="A119" s="9" t="s">
        <v>256</v>
      </c>
      <c r="B119" s="5" t="s">
        <v>35</v>
      </c>
      <c r="C119" s="10">
        <v>45501</v>
      </c>
      <c r="D119" s="5" t="s">
        <v>61</v>
      </c>
      <c r="E119" s="5" t="s">
        <v>107</v>
      </c>
      <c r="F119" s="5">
        <v>3215</v>
      </c>
      <c r="G119" s="5">
        <v>960</v>
      </c>
      <c r="H119" s="5">
        <v>202</v>
      </c>
      <c r="I119" s="5">
        <v>32150</v>
      </c>
      <c r="J119" s="5">
        <v>31404</v>
      </c>
      <c r="K119" s="5">
        <v>251</v>
      </c>
      <c r="L119" s="5" t="s">
        <v>52</v>
      </c>
      <c r="M119" s="5" t="s">
        <v>7</v>
      </c>
      <c r="N119" s="13">
        <f>(Posts1114[[#This Row],[Likes]]+Posts1114[[#This Row],[Shares]]+Posts1114[[#This Row],[Comments]])/Posts1114[[#This Row],[Impressions]]</f>
        <v>0.13614307931570763</v>
      </c>
    </row>
    <row r="120" spans="1:14" hidden="1">
      <c r="A120" s="11" t="s">
        <v>164</v>
      </c>
      <c r="B120" s="6" t="s">
        <v>35</v>
      </c>
      <c r="C120" s="12">
        <v>45586</v>
      </c>
      <c r="D120" s="6" t="s">
        <v>50</v>
      </c>
      <c r="E120" s="6" t="s">
        <v>117</v>
      </c>
      <c r="F120" s="6">
        <v>3801</v>
      </c>
      <c r="G120" s="6">
        <v>967</v>
      </c>
      <c r="H120" s="6">
        <v>401</v>
      </c>
      <c r="I120" s="6">
        <v>38010</v>
      </c>
      <c r="J120" s="6">
        <v>37625</v>
      </c>
      <c r="K120" s="6">
        <v>236</v>
      </c>
      <c r="L120" s="6" t="s">
        <v>38</v>
      </c>
      <c r="M120" s="6" t="s">
        <v>15</v>
      </c>
      <c r="N120" s="14">
        <f>(Posts1114[[#This Row],[Likes]]+Posts1114[[#This Row],[Shares]]+Posts1114[[#This Row],[Comments]])/Posts1114[[#This Row],[Impressions]]</f>
        <v>0.13599052880820836</v>
      </c>
    </row>
    <row r="121" spans="1:14" hidden="1">
      <c r="A121" s="11" t="s">
        <v>160</v>
      </c>
      <c r="B121" s="6" t="s">
        <v>55</v>
      </c>
      <c r="C121" s="12">
        <v>45480</v>
      </c>
      <c r="D121" s="6" t="s">
        <v>50</v>
      </c>
      <c r="E121" s="6" t="s">
        <v>73</v>
      </c>
      <c r="F121" s="6">
        <v>302</v>
      </c>
      <c r="G121" s="6">
        <v>47</v>
      </c>
      <c r="H121" s="6">
        <v>430</v>
      </c>
      <c r="I121" s="6">
        <v>5738</v>
      </c>
      <c r="J121" s="6">
        <v>4890</v>
      </c>
      <c r="K121" s="6">
        <v>25</v>
      </c>
      <c r="L121" s="6" t="s">
        <v>43</v>
      </c>
      <c r="M121" s="6" t="s">
        <v>19</v>
      </c>
      <c r="N121" s="14">
        <f>(Posts1114[[#This Row],[Likes]]+Posts1114[[#This Row],[Shares]]+Posts1114[[#This Row],[Comments]])/Posts1114[[#This Row],[Impressions]]</f>
        <v>0.13576158940397351</v>
      </c>
    </row>
    <row r="122" spans="1:14" hidden="1">
      <c r="A122" s="11" t="s">
        <v>357</v>
      </c>
      <c r="B122" s="6" t="s">
        <v>46</v>
      </c>
      <c r="C122" s="12">
        <v>45491</v>
      </c>
      <c r="D122" s="6" t="s">
        <v>41</v>
      </c>
      <c r="E122" s="6" t="s">
        <v>92</v>
      </c>
      <c r="F122" s="6">
        <v>4021</v>
      </c>
      <c r="G122" s="6">
        <v>794</v>
      </c>
      <c r="H122" s="6">
        <v>77</v>
      </c>
      <c r="I122" s="6">
        <v>36189</v>
      </c>
      <c r="J122" s="6">
        <v>35505</v>
      </c>
      <c r="K122" s="6">
        <v>174</v>
      </c>
      <c r="L122" s="6" t="s">
        <v>52</v>
      </c>
      <c r="M122" s="6"/>
      <c r="N122" s="14">
        <f>(Posts1114[[#This Row],[Likes]]+Posts1114[[#This Row],[Shares]]+Posts1114[[#This Row],[Comments]])/Posts1114[[#This Row],[Impressions]]</f>
        <v>0.13517919809886983</v>
      </c>
    </row>
    <row r="123" spans="1:14" hidden="1">
      <c r="A123" s="11" t="s">
        <v>119</v>
      </c>
      <c r="B123" s="6" t="s">
        <v>46</v>
      </c>
      <c r="C123" s="12">
        <v>45476</v>
      </c>
      <c r="D123" s="6" t="s">
        <v>50</v>
      </c>
      <c r="E123" s="6" t="s">
        <v>120</v>
      </c>
      <c r="F123" s="6">
        <v>2754</v>
      </c>
      <c r="G123" s="6">
        <v>130</v>
      </c>
      <c r="H123" s="6">
        <v>90</v>
      </c>
      <c r="I123" s="6">
        <v>22032</v>
      </c>
      <c r="J123" s="6">
        <v>21288</v>
      </c>
      <c r="K123" s="6">
        <v>112</v>
      </c>
      <c r="L123" s="6" t="s">
        <v>43</v>
      </c>
      <c r="M123" s="6" t="s">
        <v>15</v>
      </c>
      <c r="N123" s="14">
        <f>(Posts1114[[#This Row],[Likes]]+Posts1114[[#This Row],[Shares]]+Posts1114[[#This Row],[Comments]])/Posts1114[[#This Row],[Impressions]]</f>
        <v>0.13498547567175018</v>
      </c>
    </row>
    <row r="124" spans="1:14" hidden="1">
      <c r="A124" s="11" t="s">
        <v>204</v>
      </c>
      <c r="B124" s="6" t="s">
        <v>49</v>
      </c>
      <c r="C124" s="12">
        <v>45720</v>
      </c>
      <c r="D124" s="6" t="s">
        <v>50</v>
      </c>
      <c r="E124" s="6" t="s">
        <v>51</v>
      </c>
      <c r="F124" s="6">
        <v>1947</v>
      </c>
      <c r="G124" s="6">
        <v>842</v>
      </c>
      <c r="H124" s="6">
        <v>101</v>
      </c>
      <c r="I124" s="6">
        <v>21417</v>
      </c>
      <c r="J124" s="6">
        <v>20967</v>
      </c>
      <c r="K124" s="6">
        <v>186</v>
      </c>
      <c r="L124" s="6" t="s">
        <v>38</v>
      </c>
      <c r="M124" s="6" t="s">
        <v>11</v>
      </c>
      <c r="N124" s="14">
        <f>(Posts1114[[#This Row],[Likes]]+Posts1114[[#This Row],[Shares]]+Posts1114[[#This Row],[Comments]])/Posts1114[[#This Row],[Impressions]]</f>
        <v>0.13493953401503478</v>
      </c>
    </row>
    <row r="125" spans="1:14" hidden="1">
      <c r="A125" s="11" t="s">
        <v>301</v>
      </c>
      <c r="B125" s="6" t="s">
        <v>49</v>
      </c>
      <c r="C125" s="12">
        <v>45476</v>
      </c>
      <c r="D125" s="6" t="s">
        <v>56</v>
      </c>
      <c r="E125" s="6" t="s">
        <v>84</v>
      </c>
      <c r="F125" s="6">
        <v>4799</v>
      </c>
      <c r="G125" s="6">
        <v>694</v>
      </c>
      <c r="H125" s="6">
        <v>289</v>
      </c>
      <c r="I125" s="6">
        <v>43191</v>
      </c>
      <c r="J125" s="6">
        <v>42228</v>
      </c>
      <c r="K125" s="6">
        <v>118</v>
      </c>
      <c r="L125" s="6" t="s">
        <v>43</v>
      </c>
      <c r="M125" s="6"/>
      <c r="N125" s="14">
        <f>(Posts1114[[#This Row],[Likes]]+Posts1114[[#This Row],[Shares]]+Posts1114[[#This Row],[Comments]])/Posts1114[[#This Row],[Impressions]]</f>
        <v>0.13387048227640017</v>
      </c>
    </row>
    <row r="126" spans="1:14" hidden="1">
      <c r="A126" s="9" t="s">
        <v>144</v>
      </c>
      <c r="B126" s="5" t="s">
        <v>46</v>
      </c>
      <c r="C126" s="10">
        <v>45593</v>
      </c>
      <c r="D126" s="5" t="s">
        <v>36</v>
      </c>
      <c r="E126" s="5" t="s">
        <v>47</v>
      </c>
      <c r="F126" s="5">
        <v>1855</v>
      </c>
      <c r="G126" s="5">
        <v>200</v>
      </c>
      <c r="H126" s="5">
        <v>174</v>
      </c>
      <c r="I126" s="5">
        <v>16695</v>
      </c>
      <c r="J126" s="5">
        <v>16330</v>
      </c>
      <c r="K126" s="5">
        <v>123</v>
      </c>
      <c r="L126" s="5" t="s">
        <v>43</v>
      </c>
      <c r="M126" s="5" t="s">
        <v>15</v>
      </c>
      <c r="N126" s="13">
        <f>(Posts1114[[#This Row],[Likes]]+Posts1114[[#This Row],[Shares]]+Posts1114[[#This Row],[Comments]])/Posts1114[[#This Row],[Impressions]]</f>
        <v>0.13351302785265048</v>
      </c>
    </row>
    <row r="127" spans="1:14" hidden="1">
      <c r="A127" s="9" t="s">
        <v>326</v>
      </c>
      <c r="B127" s="5" t="s">
        <v>35</v>
      </c>
      <c r="C127" s="10">
        <v>45671</v>
      </c>
      <c r="D127" s="5" t="s">
        <v>61</v>
      </c>
      <c r="E127" s="5" t="s">
        <v>107</v>
      </c>
      <c r="F127" s="5">
        <v>2692</v>
      </c>
      <c r="G127" s="5">
        <v>115</v>
      </c>
      <c r="H127" s="5">
        <v>64</v>
      </c>
      <c r="I127" s="5">
        <v>21536</v>
      </c>
      <c r="J127" s="5">
        <v>21120</v>
      </c>
      <c r="K127" s="5">
        <v>224</v>
      </c>
      <c r="L127" s="5" t="s">
        <v>38</v>
      </c>
      <c r="M127" s="5" t="s">
        <v>11</v>
      </c>
      <c r="N127" s="13">
        <f>(Posts1114[[#This Row],[Likes]]+Posts1114[[#This Row],[Shares]]+Posts1114[[#This Row],[Comments]])/Posts1114[[#This Row],[Impressions]]</f>
        <v>0.13331166419019316</v>
      </c>
    </row>
    <row r="128" spans="1:14" hidden="1">
      <c r="A128" s="9" t="s">
        <v>203</v>
      </c>
      <c r="B128" s="5" t="s">
        <v>49</v>
      </c>
      <c r="C128" s="10">
        <v>45586</v>
      </c>
      <c r="D128" s="5" t="s">
        <v>36</v>
      </c>
      <c r="E128" s="5" t="s">
        <v>80</v>
      </c>
      <c r="F128" s="5">
        <v>4840</v>
      </c>
      <c r="G128" s="5">
        <v>658</v>
      </c>
      <c r="H128" s="5">
        <v>211</v>
      </c>
      <c r="I128" s="5">
        <v>43560</v>
      </c>
      <c r="J128" s="5">
        <v>43225</v>
      </c>
      <c r="K128" s="5">
        <v>57</v>
      </c>
      <c r="L128" s="5" t="s">
        <v>38</v>
      </c>
      <c r="M128" s="5" t="s">
        <v>15</v>
      </c>
      <c r="N128" s="13">
        <f>(Posts1114[[#This Row],[Likes]]+Posts1114[[#This Row],[Shares]]+Posts1114[[#This Row],[Comments]])/Posts1114[[#This Row],[Impressions]]</f>
        <v>0.13106060606060607</v>
      </c>
    </row>
    <row r="129" spans="1:14" hidden="1">
      <c r="A129" s="9" t="s">
        <v>308</v>
      </c>
      <c r="B129" s="5" t="s">
        <v>55</v>
      </c>
      <c r="C129" s="10">
        <v>45523</v>
      </c>
      <c r="D129" s="5" t="s">
        <v>41</v>
      </c>
      <c r="E129" s="5" t="s">
        <v>64</v>
      </c>
      <c r="F129" s="5">
        <v>1257</v>
      </c>
      <c r="G129" s="5">
        <v>19</v>
      </c>
      <c r="H129" s="5">
        <v>351</v>
      </c>
      <c r="I129" s="5">
        <v>12570</v>
      </c>
      <c r="J129" s="5">
        <v>11660</v>
      </c>
      <c r="K129" s="5">
        <v>194</v>
      </c>
      <c r="L129" s="5" t="s">
        <v>38</v>
      </c>
      <c r="M129" s="5" t="s">
        <v>11</v>
      </c>
      <c r="N129" s="13">
        <f>(Posts1114[[#This Row],[Likes]]+Posts1114[[#This Row],[Shares]]+Posts1114[[#This Row],[Comments]])/Posts1114[[#This Row],[Impressions]]</f>
        <v>0.12943516308671441</v>
      </c>
    </row>
    <row r="130" spans="1:14" hidden="1">
      <c r="A130" s="11" t="s">
        <v>308</v>
      </c>
      <c r="B130" s="6" t="s">
        <v>55</v>
      </c>
      <c r="C130" s="12">
        <v>45523</v>
      </c>
      <c r="D130" s="6" t="s">
        <v>41</v>
      </c>
      <c r="E130" s="6" t="s">
        <v>64</v>
      </c>
      <c r="F130" s="6">
        <v>1257</v>
      </c>
      <c r="G130" s="6">
        <v>19</v>
      </c>
      <c r="H130" s="6">
        <v>351</v>
      </c>
      <c r="I130" s="6">
        <v>12570</v>
      </c>
      <c r="J130" s="6">
        <v>11660</v>
      </c>
      <c r="K130" s="6">
        <v>194</v>
      </c>
      <c r="L130" s="6" t="s">
        <v>39</v>
      </c>
      <c r="M130" s="6" t="s">
        <v>11</v>
      </c>
      <c r="N130" s="14">
        <f>(Posts1114[[#This Row],[Likes]]+Posts1114[[#This Row],[Shares]]+Posts1114[[#This Row],[Comments]])/Posts1114[[#This Row],[Impressions]]</f>
        <v>0.12943516308671441</v>
      </c>
    </row>
    <row r="131" spans="1:14" hidden="1">
      <c r="A131" s="9" t="s">
        <v>308</v>
      </c>
      <c r="B131" s="5" t="s">
        <v>55</v>
      </c>
      <c r="C131" s="10">
        <v>45523</v>
      </c>
      <c r="D131" s="5" t="s">
        <v>41</v>
      </c>
      <c r="E131" s="5" t="s">
        <v>64</v>
      </c>
      <c r="F131" s="5">
        <v>1257</v>
      </c>
      <c r="G131" s="5">
        <v>19</v>
      </c>
      <c r="H131" s="5">
        <v>351</v>
      </c>
      <c r="I131" s="5">
        <v>12570</v>
      </c>
      <c r="J131" s="5">
        <v>11660</v>
      </c>
      <c r="K131" s="5">
        <v>194</v>
      </c>
      <c r="L131" s="5" t="s">
        <v>52</v>
      </c>
      <c r="M131" s="5" t="s">
        <v>11</v>
      </c>
      <c r="N131" s="13">
        <f>(Posts1114[[#This Row],[Likes]]+Posts1114[[#This Row],[Shares]]+Posts1114[[#This Row],[Comments]])/Posts1114[[#This Row],[Impressions]]</f>
        <v>0.12943516308671441</v>
      </c>
    </row>
    <row r="132" spans="1:14" hidden="1">
      <c r="A132" s="9" t="s">
        <v>186</v>
      </c>
      <c r="B132" s="5" t="s">
        <v>35</v>
      </c>
      <c r="C132" s="10">
        <v>45610</v>
      </c>
      <c r="D132" s="5" t="s">
        <v>50</v>
      </c>
      <c r="E132" s="5" t="s">
        <v>117</v>
      </c>
      <c r="F132" s="5">
        <v>4000</v>
      </c>
      <c r="G132" s="5">
        <v>689</v>
      </c>
      <c r="H132" s="5">
        <v>488</v>
      </c>
      <c r="I132" s="5">
        <v>40000</v>
      </c>
      <c r="J132" s="5">
        <v>39569</v>
      </c>
      <c r="K132" s="5">
        <v>44</v>
      </c>
      <c r="L132" s="5" t="s">
        <v>38</v>
      </c>
      <c r="M132" s="5" t="s">
        <v>7</v>
      </c>
      <c r="N132" s="13">
        <f>(Posts1114[[#This Row],[Likes]]+Posts1114[[#This Row],[Shares]]+Posts1114[[#This Row],[Comments]])/Posts1114[[#This Row],[Impressions]]</f>
        <v>0.12942500000000001</v>
      </c>
    </row>
    <row r="133" spans="1:14" hidden="1">
      <c r="A133" s="9" t="s">
        <v>126</v>
      </c>
      <c r="B133" s="5" t="s">
        <v>55</v>
      </c>
      <c r="C133" s="10">
        <v>45644</v>
      </c>
      <c r="D133" s="5" t="s">
        <v>56</v>
      </c>
      <c r="E133" s="5" t="s">
        <v>57</v>
      </c>
      <c r="F133" s="5">
        <v>2946</v>
      </c>
      <c r="G133" s="5">
        <v>498</v>
      </c>
      <c r="H133" s="5">
        <v>367</v>
      </c>
      <c r="I133" s="5">
        <v>29460</v>
      </c>
      <c r="J133" s="5">
        <v>28527</v>
      </c>
      <c r="K133" s="5">
        <v>60</v>
      </c>
      <c r="L133" s="5" t="s">
        <v>38</v>
      </c>
      <c r="M133" s="5" t="s">
        <v>15</v>
      </c>
      <c r="N133" s="13">
        <f>(Posts1114[[#This Row],[Likes]]+Posts1114[[#This Row],[Shares]]+Posts1114[[#This Row],[Comments]])/Posts1114[[#This Row],[Impressions]]</f>
        <v>0.12936184657162253</v>
      </c>
    </row>
    <row r="134" spans="1:14" hidden="1">
      <c r="A134" s="11" t="s">
        <v>177</v>
      </c>
      <c r="B134" s="6" t="s">
        <v>49</v>
      </c>
      <c r="C134" s="12">
        <v>45457</v>
      </c>
      <c r="D134" s="6" t="s">
        <v>56</v>
      </c>
      <c r="E134" s="6" t="s">
        <v>84</v>
      </c>
      <c r="F134" s="6">
        <v>498</v>
      </c>
      <c r="G134" s="6">
        <v>38</v>
      </c>
      <c r="H134" s="6">
        <v>42</v>
      </c>
      <c r="I134" s="6">
        <v>4482</v>
      </c>
      <c r="J134" s="6">
        <v>3647</v>
      </c>
      <c r="K134" s="6">
        <v>32</v>
      </c>
      <c r="L134" s="6" t="s">
        <v>38</v>
      </c>
      <c r="M134" s="6" t="s">
        <v>7</v>
      </c>
      <c r="N134" s="14">
        <f>(Posts1114[[#This Row],[Likes]]+Posts1114[[#This Row],[Shares]]+Posts1114[[#This Row],[Comments]])/Posts1114[[#This Row],[Impressions]]</f>
        <v>0.12896028558679162</v>
      </c>
    </row>
    <row r="135" spans="1:14" hidden="1">
      <c r="A135" s="9" t="s">
        <v>68</v>
      </c>
      <c r="B135" s="5" t="s">
        <v>55</v>
      </c>
      <c r="C135" s="10">
        <v>45494</v>
      </c>
      <c r="D135" s="5" t="s">
        <v>36</v>
      </c>
      <c r="E135" s="5" t="s">
        <v>69</v>
      </c>
      <c r="F135" s="5">
        <v>1946</v>
      </c>
      <c r="G135" s="5">
        <v>686</v>
      </c>
      <c r="H135" s="5">
        <v>377</v>
      </c>
      <c r="I135" s="5">
        <v>23352</v>
      </c>
      <c r="J135" s="5">
        <v>22982</v>
      </c>
      <c r="K135" s="5">
        <v>213</v>
      </c>
      <c r="L135" s="5" t="s">
        <v>38</v>
      </c>
      <c r="M135" s="5" t="s">
        <v>15</v>
      </c>
      <c r="N135" s="13">
        <f>(Posts1114[[#This Row],[Likes]]+Posts1114[[#This Row],[Shares]]+Posts1114[[#This Row],[Comments]])/Posts1114[[#This Row],[Impressions]]</f>
        <v>0.12885405960945528</v>
      </c>
    </row>
    <row r="136" spans="1:14" hidden="1">
      <c r="A136" s="11" t="s">
        <v>307</v>
      </c>
      <c r="B136" s="6" t="s">
        <v>55</v>
      </c>
      <c r="C136" s="12">
        <v>45648</v>
      </c>
      <c r="D136" s="6" t="s">
        <v>61</v>
      </c>
      <c r="E136" s="6" t="s">
        <v>66</v>
      </c>
      <c r="F136" s="6">
        <v>3196</v>
      </c>
      <c r="G136" s="6">
        <v>941</v>
      </c>
      <c r="H136" s="6">
        <v>376</v>
      </c>
      <c r="I136" s="6">
        <v>35156</v>
      </c>
      <c r="J136" s="6">
        <v>34444</v>
      </c>
      <c r="K136" s="6">
        <v>241</v>
      </c>
      <c r="L136" s="6" t="s">
        <v>43</v>
      </c>
      <c r="M136" s="6" t="s">
        <v>15</v>
      </c>
      <c r="N136" s="14">
        <f>(Posts1114[[#This Row],[Likes]]+Posts1114[[#This Row],[Shares]]+Posts1114[[#This Row],[Comments]])/Posts1114[[#This Row],[Impressions]]</f>
        <v>0.1283706906360223</v>
      </c>
    </row>
    <row r="137" spans="1:14" hidden="1">
      <c r="A137" s="9" t="s">
        <v>99</v>
      </c>
      <c r="B137" s="5" t="s">
        <v>55</v>
      </c>
      <c r="C137" s="10">
        <v>45525</v>
      </c>
      <c r="D137" s="5" t="s">
        <v>61</v>
      </c>
      <c r="E137" s="5" t="s">
        <v>66</v>
      </c>
      <c r="F137" s="5">
        <v>1407</v>
      </c>
      <c r="G137" s="5">
        <v>400</v>
      </c>
      <c r="H137" s="5">
        <v>351</v>
      </c>
      <c r="I137" s="5">
        <v>16884</v>
      </c>
      <c r="J137" s="5">
        <v>15954</v>
      </c>
      <c r="K137" s="5">
        <v>113</v>
      </c>
      <c r="L137" s="5" t="s">
        <v>43</v>
      </c>
      <c r="M137" s="5" t="s">
        <v>7</v>
      </c>
      <c r="N137" s="13">
        <f>(Posts1114[[#This Row],[Likes]]+Posts1114[[#This Row],[Shares]]+Posts1114[[#This Row],[Comments]])/Posts1114[[#This Row],[Impressions]]</f>
        <v>0.12781331438047855</v>
      </c>
    </row>
    <row r="138" spans="1:14" hidden="1">
      <c r="A138" s="11" t="s">
        <v>104</v>
      </c>
      <c r="B138" s="6" t="s">
        <v>46</v>
      </c>
      <c r="C138" s="12">
        <v>45705</v>
      </c>
      <c r="D138" s="6" t="s">
        <v>36</v>
      </c>
      <c r="E138" s="6" t="s">
        <v>47</v>
      </c>
      <c r="F138" s="6">
        <v>3138</v>
      </c>
      <c r="G138" s="6">
        <v>123</v>
      </c>
      <c r="H138" s="6">
        <v>291</v>
      </c>
      <c r="I138" s="6">
        <v>28242</v>
      </c>
      <c r="J138" s="6">
        <v>27550</v>
      </c>
      <c r="K138" s="6">
        <v>87</v>
      </c>
      <c r="L138" s="6" t="s">
        <v>43</v>
      </c>
      <c r="M138" s="6" t="s">
        <v>19</v>
      </c>
      <c r="N138" s="14">
        <f>(Posts1114[[#This Row],[Likes]]+Posts1114[[#This Row],[Shares]]+Posts1114[[#This Row],[Comments]])/Posts1114[[#This Row],[Impressions]]</f>
        <v>0.12577012959422137</v>
      </c>
    </row>
    <row r="139" spans="1:14" hidden="1">
      <c r="A139" s="9" t="s">
        <v>268</v>
      </c>
      <c r="B139" s="5" t="s">
        <v>49</v>
      </c>
      <c r="C139" s="10">
        <v>45645</v>
      </c>
      <c r="D139" s="5" t="s">
        <v>41</v>
      </c>
      <c r="E139" s="5" t="s">
        <v>97</v>
      </c>
      <c r="F139" s="5">
        <v>1813</v>
      </c>
      <c r="G139" s="5">
        <v>623</v>
      </c>
      <c r="H139" s="5">
        <v>72</v>
      </c>
      <c r="I139" s="5">
        <v>19943</v>
      </c>
      <c r="J139" s="5">
        <v>18959</v>
      </c>
      <c r="K139" s="5">
        <v>85</v>
      </c>
      <c r="L139" s="5" t="s">
        <v>52</v>
      </c>
      <c r="M139" s="5" t="s">
        <v>15</v>
      </c>
      <c r="N139" s="13">
        <f>(Posts1114[[#This Row],[Likes]]+Posts1114[[#This Row],[Shares]]+Posts1114[[#This Row],[Comments]])/Posts1114[[#This Row],[Impressions]]</f>
        <v>0.12575841147269717</v>
      </c>
    </row>
    <row r="140" spans="1:14" hidden="1">
      <c r="A140" s="11" t="s">
        <v>200</v>
      </c>
      <c r="B140" s="6" t="s">
        <v>35</v>
      </c>
      <c r="C140" s="12">
        <v>45667</v>
      </c>
      <c r="D140" s="6" t="s">
        <v>61</v>
      </c>
      <c r="E140" s="6" t="s">
        <v>107</v>
      </c>
      <c r="F140" s="6">
        <v>3092</v>
      </c>
      <c r="G140" s="6">
        <v>106</v>
      </c>
      <c r="H140" s="6">
        <v>291</v>
      </c>
      <c r="I140" s="6">
        <v>27828</v>
      </c>
      <c r="J140" s="6">
        <v>27217</v>
      </c>
      <c r="K140" s="6">
        <v>102</v>
      </c>
      <c r="L140" s="6" t="s">
        <v>38</v>
      </c>
      <c r="M140" s="6"/>
      <c r="N140" s="14">
        <f>(Posts1114[[#This Row],[Likes]]+Posts1114[[#This Row],[Shares]]+Posts1114[[#This Row],[Comments]])/Posts1114[[#This Row],[Impressions]]</f>
        <v>0.12537731780940059</v>
      </c>
    </row>
    <row r="141" spans="1:14" hidden="1">
      <c r="A141" s="11" t="s">
        <v>241</v>
      </c>
      <c r="B141" s="6" t="s">
        <v>46</v>
      </c>
      <c r="C141" s="12">
        <v>45629</v>
      </c>
      <c r="D141" s="6" t="s">
        <v>75</v>
      </c>
      <c r="E141" s="6" t="s">
        <v>155</v>
      </c>
      <c r="F141" s="6">
        <v>3809</v>
      </c>
      <c r="G141" s="6">
        <v>273</v>
      </c>
      <c r="H141" s="6">
        <v>200</v>
      </c>
      <c r="I141" s="6">
        <v>34281</v>
      </c>
      <c r="J141" s="6">
        <v>33534</v>
      </c>
      <c r="K141" s="6">
        <v>83</v>
      </c>
      <c r="L141" s="6" t="s">
        <v>52</v>
      </c>
      <c r="M141" s="6" t="s">
        <v>7</v>
      </c>
      <c r="N141" s="14">
        <f>(Posts1114[[#This Row],[Likes]]+Posts1114[[#This Row],[Shares]]+Posts1114[[#This Row],[Comments]])/Posts1114[[#This Row],[Impressions]]</f>
        <v>0.12490884163239112</v>
      </c>
    </row>
    <row r="142" spans="1:14" hidden="1">
      <c r="A142" s="9" t="s">
        <v>365</v>
      </c>
      <c r="B142" s="5" t="s">
        <v>55</v>
      </c>
      <c r="C142" s="10">
        <v>45791</v>
      </c>
      <c r="D142" s="5" t="s">
        <v>41</v>
      </c>
      <c r="E142" s="5" t="s">
        <v>64</v>
      </c>
      <c r="F142" s="5">
        <v>2634</v>
      </c>
      <c r="G142" s="5">
        <v>726</v>
      </c>
      <c r="H142" s="5">
        <v>241</v>
      </c>
      <c r="I142" s="5">
        <v>28974</v>
      </c>
      <c r="J142" s="5">
        <v>28102</v>
      </c>
      <c r="K142" s="5">
        <v>277</v>
      </c>
      <c r="L142" s="5" t="s">
        <v>52</v>
      </c>
      <c r="M142" s="5" t="s">
        <v>7</v>
      </c>
      <c r="N142" s="13">
        <f>(Posts1114[[#This Row],[Likes]]+Posts1114[[#This Row],[Shares]]+Posts1114[[#This Row],[Comments]])/Posts1114[[#This Row],[Impressions]]</f>
        <v>0.12428384068475185</v>
      </c>
    </row>
    <row r="143" spans="1:14" hidden="1">
      <c r="A143" s="9" t="s">
        <v>364</v>
      </c>
      <c r="B143" s="5" t="s">
        <v>55</v>
      </c>
      <c r="C143" s="10">
        <v>45613</v>
      </c>
      <c r="D143" s="5" t="s">
        <v>41</v>
      </c>
      <c r="E143" s="5" t="s">
        <v>64</v>
      </c>
      <c r="F143" s="5">
        <v>880</v>
      </c>
      <c r="G143" s="5">
        <v>297</v>
      </c>
      <c r="H143" s="5">
        <v>345</v>
      </c>
      <c r="I143" s="5">
        <v>12320</v>
      </c>
      <c r="J143" s="5">
        <v>11978</v>
      </c>
      <c r="K143" s="5">
        <v>238</v>
      </c>
      <c r="L143" s="5" t="s">
        <v>43</v>
      </c>
      <c r="M143" s="5"/>
      <c r="N143" s="13">
        <f>(Posts1114[[#This Row],[Likes]]+Posts1114[[#This Row],[Shares]]+Posts1114[[#This Row],[Comments]])/Posts1114[[#This Row],[Impressions]]</f>
        <v>0.12353896103896105</v>
      </c>
    </row>
    <row r="144" spans="1:14" hidden="1">
      <c r="A144" s="11" t="s">
        <v>364</v>
      </c>
      <c r="B144" s="6" t="s">
        <v>55</v>
      </c>
      <c r="C144" s="12">
        <v>45613</v>
      </c>
      <c r="D144" s="6" t="s">
        <v>41</v>
      </c>
      <c r="E144" s="6" t="s">
        <v>64</v>
      </c>
      <c r="F144" s="6">
        <v>880</v>
      </c>
      <c r="G144" s="6">
        <v>297</v>
      </c>
      <c r="H144" s="6">
        <v>345</v>
      </c>
      <c r="I144" s="6">
        <v>12320</v>
      </c>
      <c r="J144" s="6">
        <v>11978</v>
      </c>
      <c r="K144" s="6">
        <v>238</v>
      </c>
      <c r="L144" s="6" t="s">
        <v>39</v>
      </c>
      <c r="M144" s="6"/>
      <c r="N144" s="14">
        <f>(Posts1114[[#This Row],[Likes]]+Posts1114[[#This Row],[Shares]]+Posts1114[[#This Row],[Comments]])/Posts1114[[#This Row],[Impressions]]</f>
        <v>0.12353896103896105</v>
      </c>
    </row>
    <row r="145" spans="1:14" hidden="1">
      <c r="A145" s="11" t="s">
        <v>284</v>
      </c>
      <c r="B145" s="6" t="s">
        <v>46</v>
      </c>
      <c r="C145" s="12">
        <v>45719</v>
      </c>
      <c r="D145" s="6" t="s">
        <v>75</v>
      </c>
      <c r="E145" s="6" t="s">
        <v>155</v>
      </c>
      <c r="F145" s="6">
        <v>3874</v>
      </c>
      <c r="G145" s="6">
        <v>884</v>
      </c>
      <c r="H145" s="6">
        <v>19</v>
      </c>
      <c r="I145" s="6">
        <v>38740</v>
      </c>
      <c r="J145" s="6">
        <v>38552</v>
      </c>
      <c r="K145" s="6">
        <v>219</v>
      </c>
      <c r="L145" s="6" t="s">
        <v>43</v>
      </c>
      <c r="M145" s="6" t="s">
        <v>11</v>
      </c>
      <c r="N145" s="14">
        <f>(Posts1114[[#This Row],[Likes]]+Posts1114[[#This Row],[Shares]]+Posts1114[[#This Row],[Comments]])/Posts1114[[#This Row],[Impressions]]</f>
        <v>0.123309241094476</v>
      </c>
    </row>
    <row r="146" spans="1:14" hidden="1">
      <c r="A146" s="9" t="s">
        <v>182</v>
      </c>
      <c r="B146" s="5" t="s">
        <v>49</v>
      </c>
      <c r="C146" s="10">
        <v>45502</v>
      </c>
      <c r="D146" s="5" t="s">
        <v>36</v>
      </c>
      <c r="E146" s="5" t="s">
        <v>80</v>
      </c>
      <c r="F146" s="5">
        <v>3523</v>
      </c>
      <c r="G146" s="5">
        <v>753</v>
      </c>
      <c r="H146" s="5">
        <v>482</v>
      </c>
      <c r="I146" s="5">
        <v>38753</v>
      </c>
      <c r="J146" s="5">
        <v>38579</v>
      </c>
      <c r="K146" s="5">
        <v>270</v>
      </c>
      <c r="L146" s="5" t="s">
        <v>52</v>
      </c>
      <c r="M146" s="5" t="s">
        <v>11</v>
      </c>
      <c r="N146" s="13">
        <f>(Posts1114[[#This Row],[Likes]]+Posts1114[[#This Row],[Shares]]+Posts1114[[#This Row],[Comments]])/Posts1114[[#This Row],[Impressions]]</f>
        <v>0.12277759141227776</v>
      </c>
    </row>
    <row r="147" spans="1:14" hidden="1">
      <c r="A147" s="11" t="s">
        <v>317</v>
      </c>
      <c r="B147" s="6" t="s">
        <v>55</v>
      </c>
      <c r="C147" s="12">
        <v>45669</v>
      </c>
      <c r="D147" s="6" t="s">
        <v>36</v>
      </c>
      <c r="E147" s="6" t="s">
        <v>69</v>
      </c>
      <c r="F147" s="6">
        <v>4134</v>
      </c>
      <c r="G147" s="6">
        <v>824</v>
      </c>
      <c r="H147" s="6">
        <v>99</v>
      </c>
      <c r="I147" s="6">
        <v>41340</v>
      </c>
      <c r="J147" s="6">
        <v>41050</v>
      </c>
      <c r="K147" s="6">
        <v>177</v>
      </c>
      <c r="L147" s="6" t="s">
        <v>52</v>
      </c>
      <c r="M147" s="6" t="s">
        <v>7</v>
      </c>
      <c r="N147" s="14">
        <f>(Posts1114[[#This Row],[Likes]]+Posts1114[[#This Row],[Shares]]+Posts1114[[#This Row],[Comments]])/Posts1114[[#This Row],[Impressions]]</f>
        <v>0.12232704402515723</v>
      </c>
    </row>
    <row r="148" spans="1:14" hidden="1">
      <c r="A148" s="11" t="s">
        <v>145</v>
      </c>
      <c r="B148" s="6" t="s">
        <v>49</v>
      </c>
      <c r="C148" s="12">
        <v>45505</v>
      </c>
      <c r="D148" s="6" t="s">
        <v>36</v>
      </c>
      <c r="E148" s="6" t="s">
        <v>80</v>
      </c>
      <c r="F148" s="6">
        <v>1674</v>
      </c>
      <c r="G148" s="6">
        <v>929</v>
      </c>
      <c r="H148" s="6">
        <v>37</v>
      </c>
      <c r="I148" s="6">
        <v>21762</v>
      </c>
      <c r="J148" s="6">
        <v>20998</v>
      </c>
      <c r="K148" s="6">
        <v>255</v>
      </c>
      <c r="L148" s="6" t="s">
        <v>43</v>
      </c>
      <c r="M148" s="6" t="s">
        <v>19</v>
      </c>
      <c r="N148" s="14">
        <f>(Posts1114[[#This Row],[Likes]]+Posts1114[[#This Row],[Shares]]+Posts1114[[#This Row],[Comments]])/Posts1114[[#This Row],[Impressions]]</f>
        <v>0.12131237937689551</v>
      </c>
    </row>
    <row r="149" spans="1:14" hidden="1">
      <c r="A149" s="11" t="s">
        <v>327</v>
      </c>
      <c r="B149" s="6" t="s">
        <v>55</v>
      </c>
      <c r="C149" s="12">
        <v>45750</v>
      </c>
      <c r="D149" s="6" t="s">
        <v>50</v>
      </c>
      <c r="E149" s="6" t="s">
        <v>73</v>
      </c>
      <c r="F149" s="6">
        <v>3767</v>
      </c>
      <c r="G149" s="6">
        <v>514</v>
      </c>
      <c r="H149" s="6">
        <v>238</v>
      </c>
      <c r="I149" s="6">
        <v>37670</v>
      </c>
      <c r="J149" s="6">
        <v>36807</v>
      </c>
      <c r="K149" s="6">
        <v>226</v>
      </c>
      <c r="L149" s="6" t="s">
        <v>38</v>
      </c>
      <c r="M149" s="6" t="s">
        <v>19</v>
      </c>
      <c r="N149" s="14">
        <f>(Posts1114[[#This Row],[Likes]]+Posts1114[[#This Row],[Shares]]+Posts1114[[#This Row],[Comments]])/Posts1114[[#This Row],[Impressions]]</f>
        <v>0.11996283514733209</v>
      </c>
    </row>
    <row r="150" spans="1:14" hidden="1">
      <c r="A150" s="11" t="s">
        <v>141</v>
      </c>
      <c r="B150" s="6" t="s">
        <v>46</v>
      </c>
      <c r="C150" s="12">
        <v>45537</v>
      </c>
      <c r="D150" s="6" t="s">
        <v>56</v>
      </c>
      <c r="E150" s="6" t="s">
        <v>71</v>
      </c>
      <c r="F150" s="6">
        <v>2551</v>
      </c>
      <c r="G150" s="6">
        <v>915</v>
      </c>
      <c r="H150" s="6">
        <v>205</v>
      </c>
      <c r="I150" s="6">
        <v>30612</v>
      </c>
      <c r="J150" s="6">
        <v>30360</v>
      </c>
      <c r="K150" s="6">
        <v>227</v>
      </c>
      <c r="L150" s="6" t="s">
        <v>43</v>
      </c>
      <c r="M150" s="6" t="s">
        <v>11</v>
      </c>
      <c r="N150" s="14">
        <f>(Posts1114[[#This Row],[Likes]]+Posts1114[[#This Row],[Shares]]+Posts1114[[#This Row],[Comments]])/Posts1114[[#This Row],[Impressions]]</f>
        <v>0.1199202926956749</v>
      </c>
    </row>
    <row r="151" spans="1:14" hidden="1">
      <c r="A151" s="11" t="s">
        <v>135</v>
      </c>
      <c r="B151" s="6" t="s">
        <v>49</v>
      </c>
      <c r="C151" s="12">
        <v>45744</v>
      </c>
      <c r="D151" s="6" t="s">
        <v>50</v>
      </c>
      <c r="E151" s="6" t="s">
        <v>51</v>
      </c>
      <c r="F151" s="6">
        <v>1881</v>
      </c>
      <c r="G151" s="6">
        <v>501</v>
      </c>
      <c r="H151" s="6">
        <v>99</v>
      </c>
      <c r="I151" s="6">
        <v>20691</v>
      </c>
      <c r="J151" s="6">
        <v>19987</v>
      </c>
      <c r="K151" s="6">
        <v>289</v>
      </c>
      <c r="L151" s="6" t="s">
        <v>52</v>
      </c>
      <c r="M151" s="6"/>
      <c r="N151" s="14">
        <f>(Posts1114[[#This Row],[Likes]]+Posts1114[[#This Row],[Shares]]+Posts1114[[#This Row],[Comments]])/Posts1114[[#This Row],[Impressions]]</f>
        <v>0.11990720603160794</v>
      </c>
    </row>
    <row r="152" spans="1:14" hidden="1">
      <c r="A152" s="11" t="s">
        <v>319</v>
      </c>
      <c r="B152" s="6" t="s">
        <v>55</v>
      </c>
      <c r="C152" s="12">
        <v>45531</v>
      </c>
      <c r="D152" s="6" t="s">
        <v>36</v>
      </c>
      <c r="E152" s="6" t="s">
        <v>69</v>
      </c>
      <c r="F152" s="6">
        <v>3960</v>
      </c>
      <c r="G152" s="6">
        <v>266</v>
      </c>
      <c r="H152" s="6">
        <v>8</v>
      </c>
      <c r="I152" s="6">
        <v>35640</v>
      </c>
      <c r="J152" s="6">
        <v>34850</v>
      </c>
      <c r="K152" s="6">
        <v>208</v>
      </c>
      <c r="L152" s="6" t="s">
        <v>38</v>
      </c>
      <c r="M152" s="6"/>
      <c r="N152" s="14">
        <f>(Posts1114[[#This Row],[Likes]]+Posts1114[[#This Row],[Shares]]+Posts1114[[#This Row],[Comments]])/Posts1114[[#This Row],[Impressions]]</f>
        <v>0.11879910213243547</v>
      </c>
    </row>
    <row r="153" spans="1:14" hidden="1">
      <c r="A153" s="9" t="s">
        <v>319</v>
      </c>
      <c r="B153" s="5" t="s">
        <v>55</v>
      </c>
      <c r="C153" s="10">
        <v>45531</v>
      </c>
      <c r="D153" s="5" t="s">
        <v>36</v>
      </c>
      <c r="E153" s="5" t="s">
        <v>69</v>
      </c>
      <c r="F153" s="5">
        <v>3960</v>
      </c>
      <c r="G153" s="5">
        <v>266</v>
      </c>
      <c r="H153" s="5">
        <v>8</v>
      </c>
      <c r="I153" s="5">
        <v>35640</v>
      </c>
      <c r="J153" s="5">
        <v>34850</v>
      </c>
      <c r="K153" s="5">
        <v>208</v>
      </c>
      <c r="L153" s="5" t="s">
        <v>52</v>
      </c>
      <c r="M153" s="5"/>
      <c r="N153" s="13">
        <f>(Posts1114[[#This Row],[Likes]]+Posts1114[[#This Row],[Shares]]+Posts1114[[#This Row],[Comments]])/Posts1114[[#This Row],[Impressions]]</f>
        <v>0.11879910213243547</v>
      </c>
    </row>
    <row r="154" spans="1:14" hidden="1">
      <c r="A154" s="11" t="s">
        <v>319</v>
      </c>
      <c r="B154" s="6" t="s">
        <v>55</v>
      </c>
      <c r="C154" s="12">
        <v>45531</v>
      </c>
      <c r="D154" s="6" t="s">
        <v>36</v>
      </c>
      <c r="E154" s="6" t="s">
        <v>69</v>
      </c>
      <c r="F154" s="6">
        <v>3960</v>
      </c>
      <c r="G154" s="6">
        <v>266</v>
      </c>
      <c r="H154" s="6">
        <v>8</v>
      </c>
      <c r="I154" s="6">
        <v>35640</v>
      </c>
      <c r="J154" s="6">
        <v>34850</v>
      </c>
      <c r="K154" s="6">
        <v>208</v>
      </c>
      <c r="L154" s="6" t="s">
        <v>44</v>
      </c>
      <c r="M154" s="6"/>
      <c r="N154" s="14">
        <f>(Posts1114[[#This Row],[Likes]]+Posts1114[[#This Row],[Shares]]+Posts1114[[#This Row],[Comments]])/Posts1114[[#This Row],[Impressions]]</f>
        <v>0.11879910213243547</v>
      </c>
    </row>
    <row r="155" spans="1:14" hidden="1">
      <c r="A155" s="9" t="s">
        <v>101</v>
      </c>
      <c r="B155" s="5" t="s">
        <v>49</v>
      </c>
      <c r="C155" s="10">
        <v>45626</v>
      </c>
      <c r="D155" s="5" t="s">
        <v>75</v>
      </c>
      <c r="E155" s="5" t="s">
        <v>82</v>
      </c>
      <c r="F155" s="5">
        <v>3775</v>
      </c>
      <c r="G155" s="5">
        <v>16</v>
      </c>
      <c r="H155" s="5">
        <v>239</v>
      </c>
      <c r="I155" s="5">
        <v>33975</v>
      </c>
      <c r="J155" s="5">
        <v>33310</v>
      </c>
      <c r="K155" s="5">
        <v>271</v>
      </c>
      <c r="L155" s="5" t="s">
        <v>38</v>
      </c>
      <c r="M155" s="5" t="s">
        <v>11</v>
      </c>
      <c r="N155" s="13">
        <f>(Posts1114[[#This Row],[Likes]]+Posts1114[[#This Row],[Shares]]+Posts1114[[#This Row],[Comments]])/Posts1114[[#This Row],[Impressions]]</f>
        <v>0.11861662987490802</v>
      </c>
    </row>
    <row r="156" spans="1:14" hidden="1">
      <c r="A156" s="9" t="s">
        <v>189</v>
      </c>
      <c r="B156" s="5" t="s">
        <v>35</v>
      </c>
      <c r="C156" s="10">
        <v>45600</v>
      </c>
      <c r="D156" s="5" t="s">
        <v>61</v>
      </c>
      <c r="E156" s="5" t="s">
        <v>107</v>
      </c>
      <c r="F156" s="5">
        <v>1606</v>
      </c>
      <c r="G156" s="5">
        <v>451</v>
      </c>
      <c r="H156" s="5">
        <v>405</v>
      </c>
      <c r="I156" s="5">
        <v>20878</v>
      </c>
      <c r="J156" s="5">
        <v>20190</v>
      </c>
      <c r="K156" s="5">
        <v>219</v>
      </c>
      <c r="L156" s="5" t="s">
        <v>52</v>
      </c>
      <c r="M156" s="5" t="s">
        <v>19</v>
      </c>
      <c r="N156" s="13">
        <f>(Posts1114[[#This Row],[Likes]]+Posts1114[[#This Row],[Shares]]+Posts1114[[#This Row],[Comments]])/Posts1114[[#This Row],[Impressions]]</f>
        <v>0.11792317271769326</v>
      </c>
    </row>
    <row r="157" spans="1:14" hidden="1">
      <c r="A157" s="11" t="s">
        <v>323</v>
      </c>
      <c r="B157" s="6" t="s">
        <v>49</v>
      </c>
      <c r="C157" s="12">
        <v>45743</v>
      </c>
      <c r="D157" s="6" t="s">
        <v>56</v>
      </c>
      <c r="E157" s="6" t="s">
        <v>84</v>
      </c>
      <c r="F157" s="6">
        <v>1377</v>
      </c>
      <c r="G157" s="6">
        <v>796</v>
      </c>
      <c r="H157" s="6">
        <v>387</v>
      </c>
      <c r="I157" s="6">
        <v>22032</v>
      </c>
      <c r="J157" s="6">
        <v>21869</v>
      </c>
      <c r="K157" s="6">
        <v>189</v>
      </c>
      <c r="L157" s="6" t="s">
        <v>38</v>
      </c>
      <c r="M157" s="6"/>
      <c r="N157" s="14">
        <f>(Posts1114[[#This Row],[Likes]]+Posts1114[[#This Row],[Shares]]+Posts1114[[#This Row],[Comments]])/Posts1114[[#This Row],[Impressions]]</f>
        <v>0.11619462599854757</v>
      </c>
    </row>
    <row r="158" spans="1:14" hidden="1">
      <c r="A158" s="11" t="s">
        <v>67</v>
      </c>
      <c r="B158" s="6" t="s">
        <v>49</v>
      </c>
      <c r="C158" s="12">
        <v>45690</v>
      </c>
      <c r="D158" s="6" t="s">
        <v>50</v>
      </c>
      <c r="E158" s="6" t="s">
        <v>51</v>
      </c>
      <c r="F158" s="6">
        <v>1792</v>
      </c>
      <c r="G158" s="6">
        <v>614</v>
      </c>
      <c r="H158" s="6">
        <v>497</v>
      </c>
      <c r="I158" s="6">
        <v>25088</v>
      </c>
      <c r="J158" s="6">
        <v>24675</v>
      </c>
      <c r="K158" s="6">
        <v>65</v>
      </c>
      <c r="L158" s="6" t="s">
        <v>38</v>
      </c>
      <c r="M158" s="6" t="s">
        <v>19</v>
      </c>
      <c r="N158" s="14">
        <f>(Posts1114[[#This Row],[Likes]]+Posts1114[[#This Row],[Shares]]+Posts1114[[#This Row],[Comments]])/Posts1114[[#This Row],[Impressions]]</f>
        <v>0.11571269132653061</v>
      </c>
    </row>
    <row r="159" spans="1:14" hidden="1">
      <c r="A159" s="9" t="s">
        <v>233</v>
      </c>
      <c r="B159" s="5" t="s">
        <v>35</v>
      </c>
      <c r="C159" s="10">
        <v>45707</v>
      </c>
      <c r="D159" s="5" t="s">
        <v>41</v>
      </c>
      <c r="E159" s="5" t="s">
        <v>42</v>
      </c>
      <c r="F159" s="5">
        <v>4671</v>
      </c>
      <c r="G159" s="5">
        <v>876</v>
      </c>
      <c r="H159" s="5">
        <v>366</v>
      </c>
      <c r="I159" s="5">
        <v>51381</v>
      </c>
      <c r="J159" s="5">
        <v>50565</v>
      </c>
      <c r="K159" s="5">
        <v>245</v>
      </c>
      <c r="L159" s="5" t="s">
        <v>43</v>
      </c>
      <c r="M159" s="5" t="s">
        <v>19</v>
      </c>
      <c r="N159" s="13">
        <f>(Posts1114[[#This Row],[Likes]]+Posts1114[[#This Row],[Shares]]+Posts1114[[#This Row],[Comments]])/Posts1114[[#This Row],[Impressions]]</f>
        <v>0.11508145034156594</v>
      </c>
    </row>
    <row r="160" spans="1:14" hidden="1">
      <c r="A160" s="9" t="s">
        <v>227</v>
      </c>
      <c r="B160" s="5" t="s">
        <v>46</v>
      </c>
      <c r="C160" s="10">
        <v>45647</v>
      </c>
      <c r="D160" s="5" t="s">
        <v>61</v>
      </c>
      <c r="E160" s="5" t="s">
        <v>62</v>
      </c>
      <c r="F160" s="5">
        <v>2283</v>
      </c>
      <c r="G160" s="5">
        <v>210</v>
      </c>
      <c r="H160" s="5">
        <v>130</v>
      </c>
      <c r="I160" s="5">
        <v>22830</v>
      </c>
      <c r="J160" s="5">
        <v>22617</v>
      </c>
      <c r="K160" s="5">
        <v>143</v>
      </c>
      <c r="L160" s="5" t="s">
        <v>38</v>
      </c>
      <c r="M160" s="5" t="s">
        <v>11</v>
      </c>
      <c r="N160" s="13">
        <f>(Posts1114[[#This Row],[Likes]]+Posts1114[[#This Row],[Shares]]+Posts1114[[#This Row],[Comments]])/Posts1114[[#This Row],[Impressions]]</f>
        <v>0.11489268506351293</v>
      </c>
    </row>
    <row r="161" spans="1:14" hidden="1">
      <c r="A161" s="9" t="s">
        <v>356</v>
      </c>
      <c r="B161" s="5" t="s">
        <v>35</v>
      </c>
      <c r="C161" s="10">
        <v>45552</v>
      </c>
      <c r="D161" s="5" t="s">
        <v>41</v>
      </c>
      <c r="E161" s="5" t="s">
        <v>42</v>
      </c>
      <c r="F161" s="5">
        <v>571</v>
      </c>
      <c r="G161" s="5">
        <v>190</v>
      </c>
      <c r="H161" s="5">
        <v>352</v>
      </c>
      <c r="I161" s="5">
        <v>9707</v>
      </c>
      <c r="J161" s="5">
        <v>9418</v>
      </c>
      <c r="K161" s="5">
        <v>231</v>
      </c>
      <c r="L161" s="5" t="s">
        <v>43</v>
      </c>
      <c r="M161" s="5" t="s">
        <v>19</v>
      </c>
      <c r="N161" s="13">
        <f>(Posts1114[[#This Row],[Likes]]+Posts1114[[#This Row],[Shares]]+Posts1114[[#This Row],[Comments]])/Posts1114[[#This Row],[Impressions]]</f>
        <v>0.11465952405480581</v>
      </c>
    </row>
    <row r="162" spans="1:14" hidden="1">
      <c r="A162" s="11" t="s">
        <v>185</v>
      </c>
      <c r="B162" s="6" t="s">
        <v>35</v>
      </c>
      <c r="C162" s="12">
        <v>45567</v>
      </c>
      <c r="D162" s="6" t="s">
        <v>56</v>
      </c>
      <c r="E162" s="6" t="s">
        <v>59</v>
      </c>
      <c r="F162" s="6">
        <v>4419</v>
      </c>
      <c r="G162" s="6">
        <v>236</v>
      </c>
      <c r="H162" s="6">
        <v>369</v>
      </c>
      <c r="I162" s="6">
        <v>44190</v>
      </c>
      <c r="J162" s="6">
        <v>43582</v>
      </c>
      <c r="K162" s="6">
        <v>10</v>
      </c>
      <c r="L162" s="6" t="s">
        <v>52</v>
      </c>
      <c r="M162" s="6" t="s">
        <v>7</v>
      </c>
      <c r="N162" s="14">
        <f>(Posts1114[[#This Row],[Likes]]+Posts1114[[#This Row],[Shares]]+Posts1114[[#This Row],[Comments]])/Posts1114[[#This Row],[Impressions]]</f>
        <v>0.11369088028965829</v>
      </c>
    </row>
    <row r="163" spans="1:14" hidden="1">
      <c r="A163" s="11" t="s">
        <v>230</v>
      </c>
      <c r="B163" s="6" t="s">
        <v>49</v>
      </c>
      <c r="C163" s="12">
        <v>45515</v>
      </c>
      <c r="D163" s="6" t="s">
        <v>50</v>
      </c>
      <c r="E163" s="6" t="s">
        <v>51</v>
      </c>
      <c r="F163" s="6">
        <v>1762</v>
      </c>
      <c r="G163" s="6">
        <v>405</v>
      </c>
      <c r="H163" s="6">
        <v>423</v>
      </c>
      <c r="I163" s="6">
        <v>22906</v>
      </c>
      <c r="J163" s="6">
        <v>21925</v>
      </c>
      <c r="K163" s="6">
        <v>25</v>
      </c>
      <c r="L163" s="6" t="s">
        <v>43</v>
      </c>
      <c r="M163" s="6" t="s">
        <v>7</v>
      </c>
      <c r="N163" s="14">
        <f>(Posts1114[[#This Row],[Likes]]+Posts1114[[#This Row],[Shares]]+Posts1114[[#This Row],[Comments]])/Posts1114[[#This Row],[Impressions]]</f>
        <v>0.11307081114118571</v>
      </c>
    </row>
    <row r="164" spans="1:14" hidden="1">
      <c r="A164" s="9" t="s">
        <v>170</v>
      </c>
      <c r="B164" s="5" t="s">
        <v>35</v>
      </c>
      <c r="C164" s="10">
        <v>45453</v>
      </c>
      <c r="D164" s="5" t="s">
        <v>50</v>
      </c>
      <c r="E164" s="5" t="s">
        <v>117</v>
      </c>
      <c r="F164" s="5">
        <v>1575</v>
      </c>
      <c r="G164" s="5">
        <v>771</v>
      </c>
      <c r="H164" s="5">
        <v>486</v>
      </c>
      <c r="I164" s="5">
        <v>25200</v>
      </c>
      <c r="J164" s="5">
        <v>24826</v>
      </c>
      <c r="K164" s="5">
        <v>17</v>
      </c>
      <c r="L164" s="5" t="s">
        <v>38</v>
      </c>
      <c r="M164" s="5" t="s">
        <v>19</v>
      </c>
      <c r="N164" s="13">
        <f>(Posts1114[[#This Row],[Likes]]+Posts1114[[#This Row],[Shares]]+Posts1114[[#This Row],[Comments]])/Posts1114[[#This Row],[Impressions]]</f>
        <v>0.11238095238095239</v>
      </c>
    </row>
    <row r="165" spans="1:14" hidden="1">
      <c r="A165" s="11" t="s">
        <v>299</v>
      </c>
      <c r="B165" s="6" t="s">
        <v>49</v>
      </c>
      <c r="C165" s="12">
        <v>45455</v>
      </c>
      <c r="D165" s="6" t="s">
        <v>41</v>
      </c>
      <c r="E165" s="6" t="s">
        <v>97</v>
      </c>
      <c r="F165" s="6">
        <v>246</v>
      </c>
      <c r="G165" s="6">
        <v>149</v>
      </c>
      <c r="H165" s="6">
        <v>130</v>
      </c>
      <c r="I165" s="6">
        <v>4674</v>
      </c>
      <c r="J165" s="6">
        <v>4390</v>
      </c>
      <c r="K165" s="6">
        <v>217</v>
      </c>
      <c r="L165" s="6" t="s">
        <v>38</v>
      </c>
      <c r="M165" s="6" t="s">
        <v>15</v>
      </c>
      <c r="N165" s="14">
        <f>(Posts1114[[#This Row],[Likes]]+Posts1114[[#This Row],[Shares]]+Posts1114[[#This Row],[Comments]])/Posts1114[[#This Row],[Impressions]]</f>
        <v>0.11232349165596919</v>
      </c>
    </row>
    <row r="166" spans="1:14" hidden="1">
      <c r="A166" s="11" t="s">
        <v>294</v>
      </c>
      <c r="B166" s="6" t="s">
        <v>55</v>
      </c>
      <c r="C166" s="12">
        <v>45573</v>
      </c>
      <c r="D166" s="6" t="s">
        <v>36</v>
      </c>
      <c r="E166" s="6" t="s">
        <v>69</v>
      </c>
      <c r="F166" s="6">
        <v>1814</v>
      </c>
      <c r="G166" s="6">
        <v>653</v>
      </c>
      <c r="H166" s="6">
        <v>363</v>
      </c>
      <c r="I166" s="6">
        <v>25396</v>
      </c>
      <c r="J166" s="6">
        <v>25286</v>
      </c>
      <c r="K166" s="6">
        <v>39</v>
      </c>
      <c r="L166" s="6" t="s">
        <v>38</v>
      </c>
      <c r="M166" s="6" t="s">
        <v>7</v>
      </c>
      <c r="N166" s="14">
        <f>(Posts1114[[#This Row],[Likes]]+Posts1114[[#This Row],[Shares]]+Posts1114[[#This Row],[Comments]])/Posts1114[[#This Row],[Impressions]]</f>
        <v>0.11143487163332809</v>
      </c>
    </row>
    <row r="167" spans="1:14" hidden="1">
      <c r="A167" s="9" t="s">
        <v>294</v>
      </c>
      <c r="B167" s="5" t="s">
        <v>55</v>
      </c>
      <c r="C167" s="10">
        <v>45573</v>
      </c>
      <c r="D167" s="5" t="s">
        <v>36</v>
      </c>
      <c r="E167" s="5" t="s">
        <v>69</v>
      </c>
      <c r="F167" s="5">
        <v>1814</v>
      </c>
      <c r="G167" s="5">
        <v>653</v>
      </c>
      <c r="H167" s="5">
        <v>363</v>
      </c>
      <c r="I167" s="5">
        <v>25396</v>
      </c>
      <c r="J167" s="5">
        <v>25286</v>
      </c>
      <c r="K167" s="5">
        <v>39</v>
      </c>
      <c r="L167" s="5" t="s">
        <v>18</v>
      </c>
      <c r="M167" s="5" t="s">
        <v>7</v>
      </c>
      <c r="N167" s="13">
        <f>(Posts1114[[#This Row],[Likes]]+Posts1114[[#This Row],[Shares]]+Posts1114[[#This Row],[Comments]])/Posts1114[[#This Row],[Impressions]]</f>
        <v>0.11143487163332809</v>
      </c>
    </row>
    <row r="168" spans="1:14" hidden="1">
      <c r="A168" s="9" t="s">
        <v>350</v>
      </c>
      <c r="B168" s="5" t="s">
        <v>35</v>
      </c>
      <c r="C168" s="10">
        <v>45622</v>
      </c>
      <c r="D168" s="5" t="s">
        <v>41</v>
      </c>
      <c r="E168" s="5" t="s">
        <v>42</v>
      </c>
      <c r="F168" s="5">
        <v>4516</v>
      </c>
      <c r="G168" s="5">
        <v>836</v>
      </c>
      <c r="H168" s="5">
        <v>169</v>
      </c>
      <c r="I168" s="5">
        <v>49676</v>
      </c>
      <c r="J168" s="5">
        <v>49257</v>
      </c>
      <c r="K168" s="5">
        <v>282</v>
      </c>
      <c r="L168" s="5" t="s">
        <v>52</v>
      </c>
      <c r="M168" s="5" t="s">
        <v>19</v>
      </c>
      <c r="N168" s="13">
        <f>(Posts1114[[#This Row],[Likes]]+Posts1114[[#This Row],[Shares]]+Posts1114[[#This Row],[Comments]])/Posts1114[[#This Row],[Impressions]]</f>
        <v>0.11114018842096787</v>
      </c>
    </row>
    <row r="169" spans="1:14" hidden="1">
      <c r="A169" s="9" t="s">
        <v>223</v>
      </c>
      <c r="B169" s="5" t="s">
        <v>49</v>
      </c>
      <c r="C169" s="10">
        <v>45499</v>
      </c>
      <c r="D169" s="5" t="s">
        <v>61</v>
      </c>
      <c r="E169" s="5" t="s">
        <v>153</v>
      </c>
      <c r="F169" s="5">
        <v>3559</v>
      </c>
      <c r="G169" s="5">
        <v>59</v>
      </c>
      <c r="H169" s="5">
        <v>289</v>
      </c>
      <c r="I169" s="5">
        <v>35590</v>
      </c>
      <c r="J169" s="5">
        <v>35105</v>
      </c>
      <c r="K169" s="5">
        <v>122</v>
      </c>
      <c r="L169" s="5" t="s">
        <v>52</v>
      </c>
      <c r="M169" s="5" t="s">
        <v>7</v>
      </c>
      <c r="N169" s="13">
        <f>(Posts1114[[#This Row],[Likes]]+Posts1114[[#This Row],[Shares]]+Posts1114[[#This Row],[Comments]])/Posts1114[[#This Row],[Impressions]]</f>
        <v>0.10977802753582468</v>
      </c>
    </row>
    <row r="170" spans="1:14" hidden="1">
      <c r="A170" s="11" t="s">
        <v>228</v>
      </c>
      <c r="B170" s="6" t="s">
        <v>55</v>
      </c>
      <c r="C170" s="12">
        <v>45587</v>
      </c>
      <c r="D170" s="6" t="s">
        <v>56</v>
      </c>
      <c r="E170" s="6" t="s">
        <v>57</v>
      </c>
      <c r="F170" s="6">
        <v>3352</v>
      </c>
      <c r="G170" s="6">
        <v>941</v>
      </c>
      <c r="H170" s="6">
        <v>482</v>
      </c>
      <c r="I170" s="6">
        <v>43576</v>
      </c>
      <c r="J170" s="6">
        <v>43338</v>
      </c>
      <c r="K170" s="6">
        <v>240</v>
      </c>
      <c r="L170" s="6" t="s">
        <v>38</v>
      </c>
      <c r="M170" s="6" t="s">
        <v>11</v>
      </c>
      <c r="N170" s="14">
        <f>(Posts1114[[#This Row],[Likes]]+Posts1114[[#This Row],[Shares]]+Posts1114[[#This Row],[Comments]])/Posts1114[[#This Row],[Impressions]]</f>
        <v>0.1095786671562328</v>
      </c>
    </row>
    <row r="171" spans="1:14" hidden="1">
      <c r="A171" s="9" t="s">
        <v>229</v>
      </c>
      <c r="B171" s="5" t="s">
        <v>46</v>
      </c>
      <c r="C171" s="10">
        <v>45496</v>
      </c>
      <c r="D171" s="5" t="s">
        <v>50</v>
      </c>
      <c r="E171" s="5" t="s">
        <v>120</v>
      </c>
      <c r="F171" s="5">
        <v>4775</v>
      </c>
      <c r="G171" s="5">
        <v>173</v>
      </c>
      <c r="H171" s="5">
        <v>206</v>
      </c>
      <c r="I171" s="5">
        <v>47750</v>
      </c>
      <c r="J171" s="5">
        <v>47544</v>
      </c>
      <c r="K171" s="5">
        <v>187</v>
      </c>
      <c r="L171" s="5" t="s">
        <v>38</v>
      </c>
      <c r="M171" s="5" t="s">
        <v>11</v>
      </c>
      <c r="N171" s="13">
        <f>(Posts1114[[#This Row],[Likes]]+Posts1114[[#This Row],[Shares]]+Posts1114[[#This Row],[Comments]])/Posts1114[[#This Row],[Impressions]]</f>
        <v>0.10793717277486911</v>
      </c>
    </row>
    <row r="172" spans="1:14" hidden="1">
      <c r="A172" s="11" t="s">
        <v>278</v>
      </c>
      <c r="B172" s="6" t="s">
        <v>35</v>
      </c>
      <c r="C172" s="12">
        <v>45467</v>
      </c>
      <c r="D172" s="6" t="s">
        <v>41</v>
      </c>
      <c r="E172" s="6" t="s">
        <v>42</v>
      </c>
      <c r="F172" s="6">
        <v>941</v>
      </c>
      <c r="G172" s="6">
        <v>121</v>
      </c>
      <c r="H172" s="6">
        <v>458</v>
      </c>
      <c r="I172" s="6">
        <v>14115</v>
      </c>
      <c r="J172" s="6">
        <v>13838</v>
      </c>
      <c r="K172" s="6">
        <v>87</v>
      </c>
      <c r="L172" s="6" t="s">
        <v>52</v>
      </c>
      <c r="M172" s="6" t="s">
        <v>7</v>
      </c>
      <c r="N172" s="14">
        <f>(Posts1114[[#This Row],[Likes]]+Posts1114[[#This Row],[Shares]]+Posts1114[[#This Row],[Comments]])/Posts1114[[#This Row],[Impressions]]</f>
        <v>0.10768685795253277</v>
      </c>
    </row>
    <row r="173" spans="1:14" hidden="1">
      <c r="A173" s="9" t="s">
        <v>354</v>
      </c>
      <c r="B173" s="5" t="s">
        <v>49</v>
      </c>
      <c r="C173" s="10">
        <v>45568</v>
      </c>
      <c r="D173" s="5" t="s">
        <v>75</v>
      </c>
      <c r="E173" s="5" t="s">
        <v>82</v>
      </c>
      <c r="F173" s="5">
        <v>1488</v>
      </c>
      <c r="G173" s="5">
        <v>417</v>
      </c>
      <c r="H173" s="5">
        <v>168</v>
      </c>
      <c r="I173" s="5">
        <v>19344</v>
      </c>
      <c r="J173" s="5">
        <v>18395</v>
      </c>
      <c r="K173" s="5">
        <v>30</v>
      </c>
      <c r="L173" s="5" t="s">
        <v>38</v>
      </c>
      <c r="M173" s="5" t="s">
        <v>15</v>
      </c>
      <c r="N173" s="13">
        <f>(Posts1114[[#This Row],[Likes]]+Posts1114[[#This Row],[Shares]]+Posts1114[[#This Row],[Comments]])/Posts1114[[#This Row],[Impressions]]</f>
        <v>0.1071650124069479</v>
      </c>
    </row>
    <row r="174" spans="1:14" hidden="1">
      <c r="A174" s="9" t="s">
        <v>118</v>
      </c>
      <c r="B174" s="5" t="s">
        <v>35</v>
      </c>
      <c r="C174" s="10">
        <v>45453</v>
      </c>
      <c r="D174" s="5" t="s">
        <v>50</v>
      </c>
      <c r="E174" s="5" t="s">
        <v>117</v>
      </c>
      <c r="F174" s="5">
        <v>2164</v>
      </c>
      <c r="G174" s="5">
        <v>549</v>
      </c>
      <c r="H174" s="5">
        <v>274</v>
      </c>
      <c r="I174" s="5">
        <v>28132</v>
      </c>
      <c r="J174" s="5">
        <v>27361</v>
      </c>
      <c r="K174" s="5">
        <v>177</v>
      </c>
      <c r="L174" s="5" t="s">
        <v>43</v>
      </c>
      <c r="M174" s="5" t="s">
        <v>19</v>
      </c>
      <c r="N174" s="13">
        <f>(Posts1114[[#This Row],[Likes]]+Posts1114[[#This Row],[Shares]]+Posts1114[[#This Row],[Comments]])/Posts1114[[#This Row],[Impressions]]</f>
        <v>0.10617801791554102</v>
      </c>
    </row>
    <row r="175" spans="1:14" hidden="1">
      <c r="A175" s="11" t="s">
        <v>277</v>
      </c>
      <c r="B175" s="6" t="s">
        <v>35</v>
      </c>
      <c r="C175" s="12">
        <v>45771</v>
      </c>
      <c r="D175" s="6" t="s">
        <v>75</v>
      </c>
      <c r="E175" s="6" t="s">
        <v>114</v>
      </c>
      <c r="F175" s="6">
        <v>3820</v>
      </c>
      <c r="G175" s="6">
        <v>697</v>
      </c>
      <c r="H175" s="6">
        <v>268</v>
      </c>
      <c r="I175" s="6">
        <v>45840</v>
      </c>
      <c r="J175" s="6">
        <v>45631</v>
      </c>
      <c r="K175" s="6">
        <v>171</v>
      </c>
      <c r="L175" s="6" t="s">
        <v>43</v>
      </c>
      <c r="M175" s="6" t="s">
        <v>19</v>
      </c>
      <c r="N175" s="14">
        <f>(Posts1114[[#This Row],[Likes]]+Posts1114[[#This Row],[Shares]]+Posts1114[[#This Row],[Comments]])/Posts1114[[#This Row],[Impressions]]</f>
        <v>0.1043848167539267</v>
      </c>
    </row>
    <row r="176" spans="1:14" hidden="1">
      <c r="A176" s="9" t="s">
        <v>277</v>
      </c>
      <c r="B176" s="5" t="s">
        <v>35</v>
      </c>
      <c r="C176" s="10">
        <v>45771</v>
      </c>
      <c r="D176" s="5" t="s">
        <v>75</v>
      </c>
      <c r="E176" s="5" t="s">
        <v>114</v>
      </c>
      <c r="F176" s="5">
        <v>3820</v>
      </c>
      <c r="G176" s="5">
        <v>697</v>
      </c>
      <c r="H176" s="5">
        <v>268</v>
      </c>
      <c r="I176" s="5">
        <v>45840</v>
      </c>
      <c r="J176" s="5">
        <v>45631</v>
      </c>
      <c r="K176" s="5">
        <v>171</v>
      </c>
      <c r="L176" s="5" t="s">
        <v>18</v>
      </c>
      <c r="M176" s="5" t="s">
        <v>19</v>
      </c>
      <c r="N176" s="13">
        <f>(Posts1114[[#This Row],[Likes]]+Posts1114[[#This Row],[Shares]]+Posts1114[[#This Row],[Comments]])/Posts1114[[#This Row],[Impressions]]</f>
        <v>0.1043848167539267</v>
      </c>
    </row>
    <row r="177" spans="1:14" hidden="1">
      <c r="A177" s="9" t="s">
        <v>60</v>
      </c>
      <c r="B177" s="5" t="s">
        <v>46</v>
      </c>
      <c r="C177" s="10">
        <v>45486</v>
      </c>
      <c r="D177" s="5" t="s">
        <v>61</v>
      </c>
      <c r="E177" s="5" t="s">
        <v>62</v>
      </c>
      <c r="F177" s="5">
        <v>3929</v>
      </c>
      <c r="G177" s="5">
        <v>262</v>
      </c>
      <c r="H177" s="5">
        <v>278</v>
      </c>
      <c r="I177" s="5">
        <v>43219</v>
      </c>
      <c r="J177" s="5">
        <v>42841</v>
      </c>
      <c r="K177" s="5">
        <v>39</v>
      </c>
      <c r="L177" s="5" t="s">
        <v>52</v>
      </c>
      <c r="M177" s="5" t="s">
        <v>19</v>
      </c>
      <c r="N177" s="13">
        <f>(Posts1114[[#This Row],[Likes]]+Posts1114[[#This Row],[Shares]]+Posts1114[[#This Row],[Comments]])/Posts1114[[#This Row],[Impressions]]</f>
        <v>0.10340359564080613</v>
      </c>
    </row>
    <row r="178" spans="1:14" hidden="1">
      <c r="A178" s="11" t="s">
        <v>168</v>
      </c>
      <c r="B178" s="6" t="s">
        <v>35</v>
      </c>
      <c r="C178" s="12">
        <v>45545</v>
      </c>
      <c r="D178" s="6" t="s">
        <v>61</v>
      </c>
      <c r="E178" s="6" t="s">
        <v>107</v>
      </c>
      <c r="F178" s="6">
        <v>1238</v>
      </c>
      <c r="G178" s="6">
        <v>366</v>
      </c>
      <c r="H178" s="6">
        <v>444</v>
      </c>
      <c r="I178" s="6">
        <v>19808</v>
      </c>
      <c r="J178" s="6">
        <v>19334</v>
      </c>
      <c r="K178" s="6">
        <v>123</v>
      </c>
      <c r="L178" s="6" t="s">
        <v>38</v>
      </c>
      <c r="M178" s="6"/>
      <c r="N178" s="14">
        <f>(Posts1114[[#This Row],[Likes]]+Posts1114[[#This Row],[Shares]]+Posts1114[[#This Row],[Comments]])/Posts1114[[#This Row],[Impressions]]</f>
        <v>0.10339256865912763</v>
      </c>
    </row>
    <row r="179" spans="1:14" hidden="1">
      <c r="A179" s="9" t="s">
        <v>79</v>
      </c>
      <c r="B179" s="5" t="s">
        <v>49</v>
      </c>
      <c r="C179" s="10">
        <v>45523</v>
      </c>
      <c r="D179" s="5" t="s">
        <v>36</v>
      </c>
      <c r="E179" s="5" t="s">
        <v>80</v>
      </c>
      <c r="F179" s="5">
        <v>3000</v>
      </c>
      <c r="G179" s="5">
        <v>382</v>
      </c>
      <c r="H179" s="5">
        <v>325</v>
      </c>
      <c r="I179" s="5">
        <v>36000</v>
      </c>
      <c r="J179" s="5">
        <v>35819</v>
      </c>
      <c r="K179" s="5">
        <v>19</v>
      </c>
      <c r="L179" s="5" t="s">
        <v>38</v>
      </c>
      <c r="M179" s="5" t="s">
        <v>7</v>
      </c>
      <c r="N179" s="13">
        <f>(Posts1114[[#This Row],[Likes]]+Posts1114[[#This Row],[Shares]]+Posts1114[[#This Row],[Comments]])/Posts1114[[#This Row],[Impressions]]</f>
        <v>0.10297222222222223</v>
      </c>
    </row>
    <row r="180" spans="1:14" hidden="1">
      <c r="A180" s="9" t="s">
        <v>254</v>
      </c>
      <c r="B180" s="5" t="s">
        <v>55</v>
      </c>
      <c r="C180" s="10">
        <v>45504</v>
      </c>
      <c r="D180" s="5" t="s">
        <v>61</v>
      </c>
      <c r="E180" s="5" t="s">
        <v>66</v>
      </c>
      <c r="F180" s="5">
        <v>4689</v>
      </c>
      <c r="G180" s="5">
        <v>134</v>
      </c>
      <c r="H180" s="5">
        <v>403</v>
      </c>
      <c r="I180" s="5">
        <v>51579</v>
      </c>
      <c r="J180" s="5">
        <v>50924</v>
      </c>
      <c r="K180" s="5">
        <v>173</v>
      </c>
      <c r="L180" s="5" t="s">
        <v>43</v>
      </c>
      <c r="M180" s="5" t="s">
        <v>19</v>
      </c>
      <c r="N180" s="13">
        <f>(Posts1114[[#This Row],[Likes]]+Posts1114[[#This Row],[Shares]]+Posts1114[[#This Row],[Comments]])/Posts1114[[#This Row],[Impressions]]</f>
        <v>0.10132030477519921</v>
      </c>
    </row>
    <row r="181" spans="1:14" hidden="1">
      <c r="A181" s="9" t="s">
        <v>338</v>
      </c>
      <c r="B181" s="5" t="s">
        <v>55</v>
      </c>
      <c r="C181" s="10">
        <v>45621</v>
      </c>
      <c r="D181" s="5" t="s">
        <v>50</v>
      </c>
      <c r="E181" s="5" t="s">
        <v>73</v>
      </c>
      <c r="F181" s="5">
        <v>4182</v>
      </c>
      <c r="G181" s="5">
        <v>640</v>
      </c>
      <c r="H181" s="5">
        <v>240</v>
      </c>
      <c r="I181" s="5">
        <v>50184</v>
      </c>
      <c r="J181" s="5">
        <v>49351</v>
      </c>
      <c r="K181" s="5">
        <v>10</v>
      </c>
      <c r="L181" s="5" t="s">
        <v>43</v>
      </c>
      <c r="M181" s="5" t="s">
        <v>15</v>
      </c>
      <c r="N181" s="13">
        <f>(Posts1114[[#This Row],[Likes]]+Posts1114[[#This Row],[Shares]]+Posts1114[[#This Row],[Comments]])/Posts1114[[#This Row],[Impressions]]</f>
        <v>0.10086880280567512</v>
      </c>
    </row>
    <row r="182" spans="1:14" hidden="1">
      <c r="A182" s="11" t="s">
        <v>81</v>
      </c>
      <c r="B182" s="6" t="s">
        <v>49</v>
      </c>
      <c r="C182" s="12">
        <v>45466</v>
      </c>
      <c r="D182" s="6" t="s">
        <v>75</v>
      </c>
      <c r="E182" s="6" t="s">
        <v>82</v>
      </c>
      <c r="F182" s="6">
        <v>1071</v>
      </c>
      <c r="G182" s="6">
        <v>519</v>
      </c>
      <c r="H182" s="6">
        <v>22</v>
      </c>
      <c r="I182" s="6">
        <v>16065</v>
      </c>
      <c r="J182" s="6">
        <v>15865</v>
      </c>
      <c r="K182" s="6">
        <v>103</v>
      </c>
      <c r="L182" s="6" t="s">
        <v>43</v>
      </c>
      <c r="M182" s="6" t="s">
        <v>19</v>
      </c>
      <c r="N182" s="14">
        <f>(Posts1114[[#This Row],[Likes]]+Posts1114[[#This Row],[Shares]]+Posts1114[[#This Row],[Comments]])/Posts1114[[#This Row],[Impressions]]</f>
        <v>0.10034235916588857</v>
      </c>
    </row>
    <row r="183" spans="1:14" hidden="1">
      <c r="A183" s="9" t="s">
        <v>180</v>
      </c>
      <c r="B183" s="5" t="s">
        <v>35</v>
      </c>
      <c r="C183" s="10">
        <v>45741</v>
      </c>
      <c r="D183" s="5" t="s">
        <v>75</v>
      </c>
      <c r="E183" s="5" t="s">
        <v>114</v>
      </c>
      <c r="F183" s="5">
        <v>4050</v>
      </c>
      <c r="G183" s="5">
        <v>871</v>
      </c>
      <c r="H183" s="5">
        <v>347</v>
      </c>
      <c r="I183" s="5">
        <v>52650</v>
      </c>
      <c r="J183" s="5">
        <v>51755</v>
      </c>
      <c r="K183" s="5">
        <v>209</v>
      </c>
      <c r="L183" s="5" t="s">
        <v>43</v>
      </c>
      <c r="M183" s="5" t="s">
        <v>11</v>
      </c>
      <c r="N183" s="13">
        <f>(Posts1114[[#This Row],[Likes]]+Posts1114[[#This Row],[Shares]]+Posts1114[[#This Row],[Comments]])/Posts1114[[#This Row],[Impressions]]</f>
        <v>0.10005698005698006</v>
      </c>
    </row>
    <row r="184" spans="1:14" hidden="1">
      <c r="A184" s="11" t="s">
        <v>198</v>
      </c>
      <c r="B184" s="6" t="s">
        <v>49</v>
      </c>
      <c r="C184" s="12">
        <v>45744</v>
      </c>
      <c r="D184" s="6" t="s">
        <v>56</v>
      </c>
      <c r="E184" s="6" t="s">
        <v>84</v>
      </c>
      <c r="F184" s="6">
        <v>4158</v>
      </c>
      <c r="G184" s="6">
        <v>167</v>
      </c>
      <c r="H184" s="6">
        <v>241</v>
      </c>
      <c r="I184" s="6">
        <v>45738</v>
      </c>
      <c r="J184" s="6">
        <v>45183</v>
      </c>
      <c r="K184" s="6">
        <v>142</v>
      </c>
      <c r="L184" s="6" t="s">
        <v>38</v>
      </c>
      <c r="M184" s="6"/>
      <c r="N184" s="14">
        <f>(Posts1114[[#This Row],[Likes]]+Posts1114[[#This Row],[Shares]]+Posts1114[[#This Row],[Comments]])/Posts1114[[#This Row],[Impressions]]</f>
        <v>9.9829463465827106E-2</v>
      </c>
    </row>
    <row r="185" spans="1:14" hidden="1">
      <c r="A185" s="11" t="s">
        <v>175</v>
      </c>
      <c r="B185" s="6" t="s">
        <v>55</v>
      </c>
      <c r="C185" s="12">
        <v>45454</v>
      </c>
      <c r="D185" s="6" t="s">
        <v>61</v>
      </c>
      <c r="E185" s="6" t="s">
        <v>66</v>
      </c>
      <c r="F185" s="6">
        <v>3689</v>
      </c>
      <c r="G185" s="6">
        <v>48</v>
      </c>
      <c r="H185" s="6">
        <v>306</v>
      </c>
      <c r="I185" s="6">
        <v>40579</v>
      </c>
      <c r="J185" s="6">
        <v>39588</v>
      </c>
      <c r="K185" s="6">
        <v>212</v>
      </c>
      <c r="L185" s="6" t="s">
        <v>52</v>
      </c>
      <c r="M185" s="6" t="s">
        <v>11</v>
      </c>
      <c r="N185" s="14">
        <f>(Posts1114[[#This Row],[Likes]]+Posts1114[[#This Row],[Shares]]+Posts1114[[#This Row],[Comments]])/Posts1114[[#This Row],[Impressions]]</f>
        <v>9.9632815002833983E-2</v>
      </c>
    </row>
    <row r="186" spans="1:14" hidden="1">
      <c r="A186" s="11" t="s">
        <v>263</v>
      </c>
      <c r="B186" s="6" t="s">
        <v>46</v>
      </c>
      <c r="C186" s="12">
        <v>45629</v>
      </c>
      <c r="D186" s="6" t="s">
        <v>50</v>
      </c>
      <c r="E186" s="6" t="s">
        <v>120</v>
      </c>
      <c r="F186" s="6">
        <v>4285</v>
      </c>
      <c r="G186" s="6">
        <v>886</v>
      </c>
      <c r="H186" s="6">
        <v>376</v>
      </c>
      <c r="I186" s="6">
        <v>55705</v>
      </c>
      <c r="J186" s="6">
        <v>55556</v>
      </c>
      <c r="K186" s="6">
        <v>51</v>
      </c>
      <c r="L186" s="6" t="s">
        <v>38</v>
      </c>
      <c r="M186" s="6" t="s">
        <v>15</v>
      </c>
      <c r="N186" s="14">
        <f>(Posts1114[[#This Row],[Likes]]+Posts1114[[#This Row],[Shares]]+Posts1114[[#This Row],[Comments]])/Posts1114[[#This Row],[Impressions]]</f>
        <v>9.9578134817341346E-2</v>
      </c>
    </row>
    <row r="187" spans="1:14" hidden="1">
      <c r="A187" s="11" t="s">
        <v>265</v>
      </c>
      <c r="B187" s="6" t="s">
        <v>35</v>
      </c>
      <c r="C187" s="12">
        <v>45546</v>
      </c>
      <c r="D187" s="6" t="s">
        <v>61</v>
      </c>
      <c r="E187" s="6" t="s">
        <v>107</v>
      </c>
      <c r="F187" s="6">
        <v>4858</v>
      </c>
      <c r="G187" s="6">
        <v>317</v>
      </c>
      <c r="H187" s="6">
        <v>129</v>
      </c>
      <c r="I187" s="6">
        <v>53438</v>
      </c>
      <c r="J187" s="6">
        <v>52687</v>
      </c>
      <c r="K187" s="6">
        <v>223</v>
      </c>
      <c r="L187" s="6" t="s">
        <v>52</v>
      </c>
      <c r="M187" s="6" t="s">
        <v>15</v>
      </c>
      <c r="N187" s="14">
        <f>(Posts1114[[#This Row],[Likes]]+Posts1114[[#This Row],[Shares]]+Posts1114[[#This Row],[Comments]])/Posts1114[[#This Row],[Impressions]]</f>
        <v>9.9255211647142488E-2</v>
      </c>
    </row>
    <row r="188" spans="1:14" hidden="1">
      <c r="A188" s="11" t="s">
        <v>239</v>
      </c>
      <c r="B188" s="6" t="s">
        <v>49</v>
      </c>
      <c r="C188" s="12">
        <v>45624</v>
      </c>
      <c r="D188" s="6" t="s">
        <v>41</v>
      </c>
      <c r="E188" s="6" t="s">
        <v>97</v>
      </c>
      <c r="F188" s="6">
        <v>4771</v>
      </c>
      <c r="G188" s="6">
        <v>818</v>
      </c>
      <c r="H188" s="6">
        <v>56</v>
      </c>
      <c r="I188" s="6">
        <v>57252</v>
      </c>
      <c r="J188" s="6">
        <v>56378</v>
      </c>
      <c r="K188" s="6">
        <v>150</v>
      </c>
      <c r="L188" s="6" t="s">
        <v>38</v>
      </c>
      <c r="M188" s="6"/>
      <c r="N188" s="14">
        <f>(Posts1114[[#This Row],[Likes]]+Posts1114[[#This Row],[Shares]]+Posts1114[[#This Row],[Comments]])/Posts1114[[#This Row],[Impressions]]</f>
        <v>9.859917557465242E-2</v>
      </c>
    </row>
    <row r="189" spans="1:14" hidden="1">
      <c r="A189" s="11" t="s">
        <v>111</v>
      </c>
      <c r="B189" s="6" t="s">
        <v>35</v>
      </c>
      <c r="C189" s="12">
        <v>45718</v>
      </c>
      <c r="D189" s="6" t="s">
        <v>61</v>
      </c>
      <c r="E189" s="6" t="s">
        <v>107</v>
      </c>
      <c r="F189" s="6">
        <v>2358</v>
      </c>
      <c r="G189" s="6">
        <v>784</v>
      </c>
      <c r="H189" s="6">
        <v>344</v>
      </c>
      <c r="I189" s="6">
        <v>35370</v>
      </c>
      <c r="J189" s="6">
        <v>34475</v>
      </c>
      <c r="K189" s="6">
        <v>216</v>
      </c>
      <c r="L189" s="6" t="s">
        <v>43</v>
      </c>
      <c r="M189" s="6"/>
      <c r="N189" s="14">
        <f>(Posts1114[[#This Row],[Likes]]+Posts1114[[#This Row],[Shares]]+Posts1114[[#This Row],[Comments]])/Posts1114[[#This Row],[Impressions]]</f>
        <v>9.8558100084817649E-2</v>
      </c>
    </row>
    <row r="190" spans="1:14" hidden="1">
      <c r="A190" s="11" t="s">
        <v>243</v>
      </c>
      <c r="B190" s="6" t="s">
        <v>46</v>
      </c>
      <c r="C190" s="12">
        <v>45657</v>
      </c>
      <c r="D190" s="6" t="s">
        <v>75</v>
      </c>
      <c r="E190" s="6" t="s">
        <v>155</v>
      </c>
      <c r="F190" s="6">
        <v>1018</v>
      </c>
      <c r="G190" s="6">
        <v>447</v>
      </c>
      <c r="H190" s="6">
        <v>332</v>
      </c>
      <c r="I190" s="6">
        <v>18324</v>
      </c>
      <c r="J190" s="6">
        <v>18164</v>
      </c>
      <c r="K190" s="6">
        <v>38</v>
      </c>
      <c r="L190" s="6" t="s">
        <v>38</v>
      </c>
      <c r="M190" s="6" t="s">
        <v>11</v>
      </c>
      <c r="N190" s="14">
        <f>(Posts1114[[#This Row],[Likes]]+Posts1114[[#This Row],[Shares]]+Posts1114[[#This Row],[Comments]])/Posts1114[[#This Row],[Impressions]]</f>
        <v>9.8068107400130972E-2</v>
      </c>
    </row>
    <row r="191" spans="1:14" hidden="1">
      <c r="A191" s="11" t="s">
        <v>345</v>
      </c>
      <c r="B191" s="6" t="s">
        <v>46</v>
      </c>
      <c r="C191" s="12">
        <v>45577</v>
      </c>
      <c r="D191" s="6" t="s">
        <v>50</v>
      </c>
      <c r="E191" s="6" t="s">
        <v>120</v>
      </c>
      <c r="F191" s="6">
        <v>3641</v>
      </c>
      <c r="G191" s="6">
        <v>226</v>
      </c>
      <c r="H191" s="6">
        <v>46</v>
      </c>
      <c r="I191" s="6">
        <v>40051</v>
      </c>
      <c r="J191" s="6">
        <v>39319</v>
      </c>
      <c r="K191" s="6">
        <v>296</v>
      </c>
      <c r="L191" s="6" t="s">
        <v>52</v>
      </c>
      <c r="M191" s="6" t="s">
        <v>19</v>
      </c>
      <c r="N191" s="14">
        <f>(Posts1114[[#This Row],[Likes]]+Posts1114[[#This Row],[Shares]]+Posts1114[[#This Row],[Comments]])/Posts1114[[#This Row],[Impressions]]</f>
        <v>9.7700431949264685E-2</v>
      </c>
    </row>
    <row r="192" spans="1:14" hidden="1">
      <c r="A192" s="11" t="s">
        <v>315</v>
      </c>
      <c r="B192" s="6" t="s">
        <v>35</v>
      </c>
      <c r="C192" s="12">
        <v>45722</v>
      </c>
      <c r="D192" s="6" t="s">
        <v>61</v>
      </c>
      <c r="E192" s="6" t="s">
        <v>107</v>
      </c>
      <c r="F192" s="6">
        <v>3592</v>
      </c>
      <c r="G192" s="6">
        <v>911</v>
      </c>
      <c r="H192" s="6">
        <v>375</v>
      </c>
      <c r="I192" s="6">
        <v>50288</v>
      </c>
      <c r="J192" s="6">
        <v>49490</v>
      </c>
      <c r="K192" s="6">
        <v>32</v>
      </c>
      <c r="L192" s="6" t="s">
        <v>38</v>
      </c>
      <c r="M192" s="6" t="s">
        <v>19</v>
      </c>
      <c r="N192" s="14">
        <f>(Posts1114[[#This Row],[Likes]]+Posts1114[[#This Row],[Shares]]+Posts1114[[#This Row],[Comments]])/Posts1114[[#This Row],[Impressions]]</f>
        <v>9.7001272669424113E-2</v>
      </c>
    </row>
    <row r="193" spans="1:14" hidden="1">
      <c r="A193" s="11" t="s">
        <v>257</v>
      </c>
      <c r="B193" s="6" t="s">
        <v>49</v>
      </c>
      <c r="C193" s="12">
        <v>45668</v>
      </c>
      <c r="D193" s="6" t="s">
        <v>56</v>
      </c>
      <c r="E193" s="6" t="s">
        <v>84</v>
      </c>
      <c r="F193" s="6">
        <v>4523</v>
      </c>
      <c r="G193" s="6">
        <v>61</v>
      </c>
      <c r="H193" s="6">
        <v>157</v>
      </c>
      <c r="I193" s="6">
        <v>49753</v>
      </c>
      <c r="J193" s="6">
        <v>49329</v>
      </c>
      <c r="K193" s="6">
        <v>71</v>
      </c>
      <c r="L193" s="6" t="s">
        <v>52</v>
      </c>
      <c r="M193" s="6"/>
      <c r="N193" s="14">
        <f>(Posts1114[[#This Row],[Likes]]+Posts1114[[#This Row],[Shares]]+Posts1114[[#This Row],[Comments]])/Posts1114[[#This Row],[Impressions]]</f>
        <v>9.5290736237010829E-2</v>
      </c>
    </row>
    <row r="194" spans="1:14" hidden="1">
      <c r="A194" s="11" t="s">
        <v>151</v>
      </c>
      <c r="B194" s="6" t="s">
        <v>49</v>
      </c>
      <c r="C194" s="12">
        <v>45584</v>
      </c>
      <c r="D194" s="6" t="s">
        <v>50</v>
      </c>
      <c r="E194" s="6" t="s">
        <v>51</v>
      </c>
      <c r="F194" s="6">
        <v>1816</v>
      </c>
      <c r="G194" s="6">
        <v>29</v>
      </c>
      <c r="H194" s="6">
        <v>41</v>
      </c>
      <c r="I194" s="6">
        <v>19976</v>
      </c>
      <c r="J194" s="6">
        <v>19262</v>
      </c>
      <c r="K194" s="6">
        <v>283</v>
      </c>
      <c r="L194" s="6" t="s">
        <v>43</v>
      </c>
      <c r="M194" s="6" t="s">
        <v>15</v>
      </c>
      <c r="N194" s="14">
        <f>(Posts1114[[#This Row],[Likes]]+Posts1114[[#This Row],[Shares]]+Posts1114[[#This Row],[Comments]])/Posts1114[[#This Row],[Impressions]]</f>
        <v>9.4413295955146179E-2</v>
      </c>
    </row>
    <row r="195" spans="1:14" hidden="1">
      <c r="A195" s="11" t="s">
        <v>78</v>
      </c>
      <c r="B195" s="6" t="s">
        <v>55</v>
      </c>
      <c r="C195" s="12">
        <v>45782</v>
      </c>
      <c r="D195" s="6" t="s">
        <v>41</v>
      </c>
      <c r="E195" s="6" t="s">
        <v>64</v>
      </c>
      <c r="F195" s="6">
        <v>4441</v>
      </c>
      <c r="G195" s="6">
        <v>511</v>
      </c>
      <c r="H195" s="6">
        <v>70</v>
      </c>
      <c r="I195" s="6">
        <v>53292</v>
      </c>
      <c r="J195" s="6">
        <v>53082</v>
      </c>
      <c r="K195" s="6">
        <v>159</v>
      </c>
      <c r="L195" s="6" t="s">
        <v>52</v>
      </c>
      <c r="M195" s="6" t="s">
        <v>19</v>
      </c>
      <c r="N195" s="14">
        <f>(Posts1114[[#This Row],[Likes]]+Posts1114[[#This Row],[Shares]]+Posts1114[[#This Row],[Comments]])/Posts1114[[#This Row],[Impressions]]</f>
        <v>9.4235532537716729E-2</v>
      </c>
    </row>
    <row r="196" spans="1:14" hidden="1">
      <c r="A196" s="9" t="s">
        <v>211</v>
      </c>
      <c r="B196" s="5" t="s">
        <v>46</v>
      </c>
      <c r="C196" s="10">
        <v>45594</v>
      </c>
      <c r="D196" s="5" t="s">
        <v>41</v>
      </c>
      <c r="E196" s="5" t="s">
        <v>92</v>
      </c>
      <c r="F196" s="5">
        <v>2746</v>
      </c>
      <c r="G196" s="5">
        <v>156</v>
      </c>
      <c r="H196" s="5">
        <v>203</v>
      </c>
      <c r="I196" s="5">
        <v>32952</v>
      </c>
      <c r="J196" s="5">
        <v>32147</v>
      </c>
      <c r="K196" s="5">
        <v>147</v>
      </c>
      <c r="L196" s="5" t="s">
        <v>52</v>
      </c>
      <c r="M196" s="5" t="s">
        <v>7</v>
      </c>
      <c r="N196" s="13">
        <f>(Posts1114[[#This Row],[Likes]]+Posts1114[[#This Row],[Shares]]+Posts1114[[#This Row],[Comments]])/Posts1114[[#This Row],[Impressions]]</f>
        <v>9.422796795338674E-2</v>
      </c>
    </row>
    <row r="197" spans="1:14" hidden="1">
      <c r="A197" s="11" t="s">
        <v>139</v>
      </c>
      <c r="B197" s="6" t="s">
        <v>35</v>
      </c>
      <c r="C197" s="12">
        <v>45724</v>
      </c>
      <c r="D197" s="6" t="s">
        <v>41</v>
      </c>
      <c r="E197" s="6" t="s">
        <v>42</v>
      </c>
      <c r="F197" s="6">
        <v>1292</v>
      </c>
      <c r="G197" s="6">
        <v>626</v>
      </c>
      <c r="H197" s="6">
        <v>496</v>
      </c>
      <c r="I197" s="6">
        <v>25840</v>
      </c>
      <c r="J197" s="6">
        <v>24916</v>
      </c>
      <c r="K197" s="6">
        <v>149</v>
      </c>
      <c r="L197" s="6" t="s">
        <v>38</v>
      </c>
      <c r="M197" s="6" t="s">
        <v>15</v>
      </c>
      <c r="N197" s="14">
        <f>(Posts1114[[#This Row],[Likes]]+Posts1114[[#This Row],[Shares]]+Posts1114[[#This Row],[Comments]])/Posts1114[[#This Row],[Impressions]]</f>
        <v>9.3421052631578946E-2</v>
      </c>
    </row>
    <row r="198" spans="1:14" hidden="1">
      <c r="A198" s="11" t="s">
        <v>129</v>
      </c>
      <c r="B198" s="6" t="s">
        <v>49</v>
      </c>
      <c r="C198" s="12">
        <v>45465</v>
      </c>
      <c r="D198" s="6" t="s">
        <v>41</v>
      </c>
      <c r="E198" s="6" t="s">
        <v>97</v>
      </c>
      <c r="F198" s="6">
        <v>2180</v>
      </c>
      <c r="G198" s="6">
        <v>263</v>
      </c>
      <c r="H198" s="6">
        <v>387</v>
      </c>
      <c r="I198" s="6">
        <v>30520</v>
      </c>
      <c r="J198" s="6">
        <v>30059</v>
      </c>
      <c r="K198" s="6">
        <v>174</v>
      </c>
      <c r="L198" s="6" t="s">
        <v>52</v>
      </c>
      <c r="M198" s="6"/>
      <c r="N198" s="14">
        <f>(Posts1114[[#This Row],[Likes]]+Posts1114[[#This Row],[Shares]]+Posts1114[[#This Row],[Comments]])/Posts1114[[#This Row],[Impressions]]</f>
        <v>9.2726081258191345E-2</v>
      </c>
    </row>
    <row r="199" spans="1:14" hidden="1">
      <c r="A199" s="9" t="s">
        <v>172</v>
      </c>
      <c r="B199" s="5" t="s">
        <v>46</v>
      </c>
      <c r="C199" s="10">
        <v>45698</v>
      </c>
      <c r="D199" s="5" t="s">
        <v>75</v>
      </c>
      <c r="E199" s="5" t="s">
        <v>155</v>
      </c>
      <c r="F199" s="5">
        <v>1766</v>
      </c>
      <c r="G199" s="5">
        <v>92</v>
      </c>
      <c r="H199" s="5">
        <v>424</v>
      </c>
      <c r="I199" s="5">
        <v>24724</v>
      </c>
      <c r="J199" s="5">
        <v>24333</v>
      </c>
      <c r="K199" s="5">
        <v>52</v>
      </c>
      <c r="L199" s="5" t="s">
        <v>52</v>
      </c>
      <c r="M199" s="5"/>
      <c r="N199" s="13">
        <f>(Posts1114[[#This Row],[Likes]]+Posts1114[[#This Row],[Shares]]+Posts1114[[#This Row],[Comments]])/Posts1114[[#This Row],[Impressions]]</f>
        <v>9.2298980747451867E-2</v>
      </c>
    </row>
    <row r="200" spans="1:14" hidden="1">
      <c r="A200" s="11" t="s">
        <v>125</v>
      </c>
      <c r="B200" s="6" t="s">
        <v>55</v>
      </c>
      <c r="C200" s="12">
        <v>45460</v>
      </c>
      <c r="D200" s="6" t="s">
        <v>61</v>
      </c>
      <c r="E200" s="6" t="s">
        <v>66</v>
      </c>
      <c r="F200" s="6">
        <v>1226</v>
      </c>
      <c r="G200" s="6">
        <v>119</v>
      </c>
      <c r="H200" s="6">
        <v>7</v>
      </c>
      <c r="I200" s="6">
        <v>14712</v>
      </c>
      <c r="J200" s="6">
        <v>14049</v>
      </c>
      <c r="K200" s="6">
        <v>123</v>
      </c>
      <c r="L200" s="6" t="s">
        <v>52</v>
      </c>
      <c r="M200" s="6" t="s">
        <v>19</v>
      </c>
      <c r="N200" s="14">
        <f>(Posts1114[[#This Row],[Likes]]+Posts1114[[#This Row],[Shares]]+Posts1114[[#This Row],[Comments]])/Posts1114[[#This Row],[Impressions]]</f>
        <v>9.1897770527460579E-2</v>
      </c>
    </row>
    <row r="201" spans="1:14" hidden="1">
      <c r="A201" s="11" t="s">
        <v>249</v>
      </c>
      <c r="B201" s="6" t="s">
        <v>49</v>
      </c>
      <c r="C201" s="12">
        <v>45483</v>
      </c>
      <c r="D201" s="6" t="s">
        <v>56</v>
      </c>
      <c r="E201" s="6" t="s">
        <v>84</v>
      </c>
      <c r="F201" s="6">
        <v>3099</v>
      </c>
      <c r="G201" s="6">
        <v>694</v>
      </c>
      <c r="H201" s="6">
        <v>171</v>
      </c>
      <c r="I201" s="6">
        <v>43386</v>
      </c>
      <c r="J201" s="6">
        <v>42921</v>
      </c>
      <c r="K201" s="6">
        <v>52</v>
      </c>
      <c r="L201" s="6" t="s">
        <v>43</v>
      </c>
      <c r="M201" s="6" t="s">
        <v>15</v>
      </c>
      <c r="N201" s="14">
        <f>(Posts1114[[#This Row],[Likes]]+Posts1114[[#This Row],[Shares]]+Posts1114[[#This Row],[Comments]])/Posts1114[[#This Row],[Impressions]]</f>
        <v>9.1365878393951966E-2</v>
      </c>
    </row>
    <row r="202" spans="1:14" hidden="1">
      <c r="A202" s="11" t="s">
        <v>232</v>
      </c>
      <c r="B202" s="6" t="s">
        <v>35</v>
      </c>
      <c r="C202" s="12">
        <v>45528</v>
      </c>
      <c r="D202" s="6" t="s">
        <v>75</v>
      </c>
      <c r="E202" s="6" t="s">
        <v>114</v>
      </c>
      <c r="F202" s="6">
        <v>1082</v>
      </c>
      <c r="G202" s="6">
        <v>209</v>
      </c>
      <c r="H202" s="6">
        <v>484</v>
      </c>
      <c r="I202" s="6">
        <v>19476</v>
      </c>
      <c r="J202" s="6">
        <v>18654</v>
      </c>
      <c r="K202" s="6">
        <v>20</v>
      </c>
      <c r="L202" s="6" t="s">
        <v>43</v>
      </c>
      <c r="M202" s="6"/>
      <c r="N202" s="14">
        <f>(Posts1114[[#This Row],[Likes]]+Posts1114[[#This Row],[Shares]]+Posts1114[[#This Row],[Comments]])/Posts1114[[#This Row],[Impressions]]</f>
        <v>9.1137810638734856E-2</v>
      </c>
    </row>
    <row r="203" spans="1:14" hidden="1">
      <c r="A203" s="9" t="s">
        <v>34</v>
      </c>
      <c r="B203" s="5" t="s">
        <v>35</v>
      </c>
      <c r="C203" s="10">
        <v>45649</v>
      </c>
      <c r="D203" s="5" t="s">
        <v>36</v>
      </c>
      <c r="E203" s="5" t="s">
        <v>37</v>
      </c>
      <c r="F203" s="5">
        <v>1461</v>
      </c>
      <c r="G203" s="5">
        <v>184</v>
      </c>
      <c r="H203" s="5">
        <v>344</v>
      </c>
      <c r="I203" s="5">
        <v>21915</v>
      </c>
      <c r="J203" s="5">
        <v>21675</v>
      </c>
      <c r="K203" s="5">
        <v>15</v>
      </c>
      <c r="L203" s="5" t="s">
        <v>38</v>
      </c>
      <c r="M203" s="5" t="s">
        <v>7</v>
      </c>
      <c r="N203" s="13">
        <f>(Posts1114[[#This Row],[Likes]]+Posts1114[[#This Row],[Shares]]+Posts1114[[#This Row],[Comments]])/Posts1114[[#This Row],[Impressions]]</f>
        <v>9.0759753593429152E-2</v>
      </c>
    </row>
    <row r="204" spans="1:14" hidden="1">
      <c r="A204" s="11" t="s">
        <v>34</v>
      </c>
      <c r="B204" s="6" t="s">
        <v>35</v>
      </c>
      <c r="C204" s="12">
        <v>45649</v>
      </c>
      <c r="D204" s="6" t="s">
        <v>36</v>
      </c>
      <c r="E204" s="6" t="s">
        <v>37</v>
      </c>
      <c r="F204" s="6">
        <v>1461</v>
      </c>
      <c r="G204" s="6">
        <v>184</v>
      </c>
      <c r="H204" s="6">
        <v>344</v>
      </c>
      <c r="I204" s="6">
        <v>21915</v>
      </c>
      <c r="J204" s="6">
        <v>21675</v>
      </c>
      <c r="K204" s="6">
        <v>15</v>
      </c>
      <c r="L204" s="6" t="s">
        <v>39</v>
      </c>
      <c r="M204" s="6" t="s">
        <v>7</v>
      </c>
      <c r="N204" s="14">
        <f>(Posts1114[[#This Row],[Likes]]+Posts1114[[#This Row],[Shares]]+Posts1114[[#This Row],[Comments]])/Posts1114[[#This Row],[Impressions]]</f>
        <v>9.0759753593429152E-2</v>
      </c>
    </row>
    <row r="205" spans="1:14" hidden="1">
      <c r="A205" s="11" t="s">
        <v>273</v>
      </c>
      <c r="B205" s="6" t="s">
        <v>35</v>
      </c>
      <c r="C205" s="12">
        <v>45672</v>
      </c>
      <c r="D205" s="6" t="s">
        <v>36</v>
      </c>
      <c r="E205" s="6" t="s">
        <v>37</v>
      </c>
      <c r="F205" s="6">
        <v>802</v>
      </c>
      <c r="G205" s="6">
        <v>262</v>
      </c>
      <c r="H205" s="6">
        <v>244</v>
      </c>
      <c r="I205" s="6">
        <v>14436</v>
      </c>
      <c r="J205" s="6">
        <v>14280</v>
      </c>
      <c r="K205" s="6">
        <v>49</v>
      </c>
      <c r="L205" s="6" t="s">
        <v>52</v>
      </c>
      <c r="M205" s="6" t="s">
        <v>7</v>
      </c>
      <c r="N205" s="14">
        <f>(Posts1114[[#This Row],[Likes]]+Posts1114[[#This Row],[Shares]]+Posts1114[[#This Row],[Comments]])/Posts1114[[#This Row],[Impressions]]</f>
        <v>9.0606816292601824E-2</v>
      </c>
    </row>
    <row r="206" spans="1:14" hidden="1">
      <c r="A206" s="9" t="s">
        <v>252</v>
      </c>
      <c r="B206" s="5" t="s">
        <v>46</v>
      </c>
      <c r="C206" s="10">
        <v>45629</v>
      </c>
      <c r="D206" s="5" t="s">
        <v>41</v>
      </c>
      <c r="E206" s="5" t="s">
        <v>92</v>
      </c>
      <c r="F206" s="5">
        <v>3711</v>
      </c>
      <c r="G206" s="5">
        <v>352</v>
      </c>
      <c r="H206" s="5">
        <v>290</v>
      </c>
      <c r="I206" s="5">
        <v>48243</v>
      </c>
      <c r="J206" s="5">
        <v>47579</v>
      </c>
      <c r="K206" s="5">
        <v>11</v>
      </c>
      <c r="L206" s="5" t="s">
        <v>43</v>
      </c>
      <c r="M206" s="5" t="s">
        <v>7</v>
      </c>
      <c r="N206" s="13">
        <f>(Posts1114[[#This Row],[Likes]]+Posts1114[[#This Row],[Shares]]+Posts1114[[#This Row],[Comments]])/Posts1114[[#This Row],[Impressions]]</f>
        <v>9.023070704558174E-2</v>
      </c>
    </row>
    <row r="207" spans="1:14" hidden="1">
      <c r="A207" s="11" t="s">
        <v>90</v>
      </c>
      <c r="B207" s="6" t="s">
        <v>46</v>
      </c>
      <c r="C207" s="12">
        <v>45752</v>
      </c>
      <c r="D207" s="6" t="s">
        <v>36</v>
      </c>
      <c r="E207" s="6" t="s">
        <v>47</v>
      </c>
      <c r="F207" s="6">
        <v>3009</v>
      </c>
      <c r="G207" s="6">
        <v>413</v>
      </c>
      <c r="H207" s="6">
        <v>358</v>
      </c>
      <c r="I207" s="6">
        <v>42126</v>
      </c>
      <c r="J207" s="6">
        <v>41309</v>
      </c>
      <c r="K207" s="6">
        <v>211</v>
      </c>
      <c r="L207" s="6" t="s">
        <v>38</v>
      </c>
      <c r="M207" s="6" t="s">
        <v>11</v>
      </c>
      <c r="N207" s="14">
        <f>(Posts1114[[#This Row],[Likes]]+Posts1114[[#This Row],[Shares]]+Posts1114[[#This Row],[Comments]])/Posts1114[[#This Row],[Impressions]]</f>
        <v>8.9730807577268201E-2</v>
      </c>
    </row>
    <row r="208" spans="1:14" hidden="1">
      <c r="A208" s="11" t="s">
        <v>202</v>
      </c>
      <c r="B208" s="6" t="s">
        <v>46</v>
      </c>
      <c r="C208" s="12">
        <v>45564</v>
      </c>
      <c r="D208" s="6" t="s">
        <v>36</v>
      </c>
      <c r="E208" s="6" t="s">
        <v>47</v>
      </c>
      <c r="F208" s="6">
        <v>2936</v>
      </c>
      <c r="G208" s="6">
        <v>439</v>
      </c>
      <c r="H208" s="6">
        <v>44</v>
      </c>
      <c r="I208" s="6">
        <v>38168</v>
      </c>
      <c r="J208" s="6">
        <v>37571</v>
      </c>
      <c r="K208" s="6">
        <v>22</v>
      </c>
      <c r="L208" s="6" t="s">
        <v>52</v>
      </c>
      <c r="M208" s="6" t="s">
        <v>19</v>
      </c>
      <c r="N208" s="14">
        <f>(Posts1114[[#This Row],[Likes]]+Posts1114[[#This Row],[Shares]]+Posts1114[[#This Row],[Comments]])/Posts1114[[#This Row],[Impressions]]</f>
        <v>8.9577656675749323E-2</v>
      </c>
    </row>
    <row r="209" spans="1:14" hidden="1">
      <c r="A209" s="11" t="s">
        <v>149</v>
      </c>
      <c r="B209" s="6" t="s">
        <v>49</v>
      </c>
      <c r="C209" s="12">
        <v>45574</v>
      </c>
      <c r="D209" s="6" t="s">
        <v>56</v>
      </c>
      <c r="E209" s="6" t="s">
        <v>84</v>
      </c>
      <c r="F209" s="6">
        <v>3068</v>
      </c>
      <c r="G209" s="6">
        <v>137</v>
      </c>
      <c r="H209" s="6">
        <v>329</v>
      </c>
      <c r="I209" s="6">
        <v>39884</v>
      </c>
      <c r="J209" s="6">
        <v>39404</v>
      </c>
      <c r="K209" s="6">
        <v>266</v>
      </c>
      <c r="L209" s="6" t="s">
        <v>52</v>
      </c>
      <c r="M209" s="6" t="s">
        <v>11</v>
      </c>
      <c r="N209" s="14">
        <f>(Posts1114[[#This Row],[Likes]]+Posts1114[[#This Row],[Shares]]+Posts1114[[#This Row],[Comments]])/Posts1114[[#This Row],[Impressions]]</f>
        <v>8.860696018453515E-2</v>
      </c>
    </row>
    <row r="210" spans="1:14" hidden="1">
      <c r="A210" s="9" t="s">
        <v>142</v>
      </c>
      <c r="B210" s="5" t="s">
        <v>46</v>
      </c>
      <c r="C210" s="10">
        <v>45719</v>
      </c>
      <c r="D210" s="5" t="s">
        <v>36</v>
      </c>
      <c r="E210" s="5" t="s">
        <v>47</v>
      </c>
      <c r="F210" s="5">
        <v>296</v>
      </c>
      <c r="G210" s="5">
        <v>60</v>
      </c>
      <c r="H210" s="5">
        <v>141</v>
      </c>
      <c r="I210" s="5">
        <v>5624</v>
      </c>
      <c r="J210" s="5">
        <v>5239</v>
      </c>
      <c r="K210" s="5">
        <v>88</v>
      </c>
      <c r="L210" s="5" t="s">
        <v>52</v>
      </c>
      <c r="M210" s="5" t="s">
        <v>11</v>
      </c>
      <c r="N210" s="13">
        <f>(Posts1114[[#This Row],[Likes]]+Posts1114[[#This Row],[Shares]]+Posts1114[[#This Row],[Comments]])/Posts1114[[#This Row],[Impressions]]</f>
        <v>8.837126600284495E-2</v>
      </c>
    </row>
    <row r="211" spans="1:14" hidden="1">
      <c r="A211" s="11" t="s">
        <v>63</v>
      </c>
      <c r="B211" s="6" t="s">
        <v>55</v>
      </c>
      <c r="C211" s="12">
        <v>45534</v>
      </c>
      <c r="D211" s="6" t="s">
        <v>41</v>
      </c>
      <c r="E211" s="6" t="s">
        <v>64</v>
      </c>
      <c r="F211" s="6">
        <v>3784</v>
      </c>
      <c r="G211" s="6">
        <v>808</v>
      </c>
      <c r="H211" s="6">
        <v>404</v>
      </c>
      <c r="I211" s="6">
        <v>56760</v>
      </c>
      <c r="J211" s="6">
        <v>56343</v>
      </c>
      <c r="K211" s="6">
        <v>131</v>
      </c>
      <c r="L211" s="6" t="s">
        <v>43</v>
      </c>
      <c r="M211" s="6" t="s">
        <v>11</v>
      </c>
      <c r="N211" s="14">
        <f>(Posts1114[[#This Row],[Likes]]+Posts1114[[#This Row],[Shares]]+Posts1114[[#This Row],[Comments]])/Posts1114[[#This Row],[Impressions]]</f>
        <v>8.8019732205778717E-2</v>
      </c>
    </row>
    <row r="212" spans="1:14" hidden="1">
      <c r="A212" s="9" t="s">
        <v>332</v>
      </c>
      <c r="B212" s="5" t="s">
        <v>49</v>
      </c>
      <c r="C212" s="10">
        <v>45700</v>
      </c>
      <c r="D212" s="5" t="s">
        <v>50</v>
      </c>
      <c r="E212" s="5" t="s">
        <v>51</v>
      </c>
      <c r="F212" s="5">
        <v>4332</v>
      </c>
      <c r="G212" s="5">
        <v>771</v>
      </c>
      <c r="H212" s="5">
        <v>219</v>
      </c>
      <c r="I212" s="5">
        <v>60648</v>
      </c>
      <c r="J212" s="5">
        <v>60397</v>
      </c>
      <c r="K212" s="5">
        <v>10</v>
      </c>
      <c r="L212" s="5" t="s">
        <v>43</v>
      </c>
      <c r="M212" s="5" t="s">
        <v>15</v>
      </c>
      <c r="N212" s="13">
        <f>(Posts1114[[#This Row],[Likes]]+Posts1114[[#This Row],[Shares]]+Posts1114[[#This Row],[Comments]])/Posts1114[[#This Row],[Impressions]]</f>
        <v>8.7752275425405618E-2</v>
      </c>
    </row>
    <row r="213" spans="1:14" hidden="1">
      <c r="A213" s="11" t="s">
        <v>332</v>
      </c>
      <c r="B213" s="6" t="s">
        <v>49</v>
      </c>
      <c r="C213" s="12">
        <v>45700</v>
      </c>
      <c r="D213" s="6" t="s">
        <v>50</v>
      </c>
      <c r="E213" s="6" t="s">
        <v>51</v>
      </c>
      <c r="F213" s="6">
        <v>4332</v>
      </c>
      <c r="G213" s="6">
        <v>771</v>
      </c>
      <c r="H213" s="6">
        <v>219</v>
      </c>
      <c r="I213" s="6">
        <v>60648</v>
      </c>
      <c r="J213" s="6">
        <v>60397</v>
      </c>
      <c r="K213" s="6">
        <v>10</v>
      </c>
      <c r="L213" s="6" t="s">
        <v>52</v>
      </c>
      <c r="M213" s="6" t="s">
        <v>15</v>
      </c>
      <c r="N213" s="14">
        <f>(Posts1114[[#This Row],[Likes]]+Posts1114[[#This Row],[Shares]]+Posts1114[[#This Row],[Comments]])/Posts1114[[#This Row],[Impressions]]</f>
        <v>8.7752275425405618E-2</v>
      </c>
    </row>
    <row r="214" spans="1:14" hidden="1">
      <c r="A214" s="9" t="s">
        <v>332</v>
      </c>
      <c r="B214" s="5" t="s">
        <v>49</v>
      </c>
      <c r="C214" s="10">
        <v>45700</v>
      </c>
      <c r="D214" s="5" t="s">
        <v>50</v>
      </c>
      <c r="E214" s="5" t="s">
        <v>51</v>
      </c>
      <c r="F214" s="5">
        <v>4332</v>
      </c>
      <c r="G214" s="5">
        <v>771</v>
      </c>
      <c r="H214" s="5">
        <v>219</v>
      </c>
      <c r="I214" s="5">
        <v>60648</v>
      </c>
      <c r="J214" s="5">
        <v>60397</v>
      </c>
      <c r="K214" s="5">
        <v>10</v>
      </c>
      <c r="L214" s="5" t="s">
        <v>44</v>
      </c>
      <c r="M214" s="5" t="s">
        <v>15</v>
      </c>
      <c r="N214" s="13">
        <f>(Posts1114[[#This Row],[Likes]]+Posts1114[[#This Row],[Shares]]+Posts1114[[#This Row],[Comments]])/Posts1114[[#This Row],[Impressions]]</f>
        <v>8.7752275425405618E-2</v>
      </c>
    </row>
    <row r="215" spans="1:14" hidden="1">
      <c r="A215" s="11" t="s">
        <v>321</v>
      </c>
      <c r="B215" s="6" t="s">
        <v>35</v>
      </c>
      <c r="C215" s="12">
        <v>45491</v>
      </c>
      <c r="D215" s="6" t="s">
        <v>61</v>
      </c>
      <c r="E215" s="6" t="s">
        <v>107</v>
      </c>
      <c r="F215" s="6">
        <v>827</v>
      </c>
      <c r="G215" s="6">
        <v>77</v>
      </c>
      <c r="H215" s="6">
        <v>402</v>
      </c>
      <c r="I215" s="6">
        <v>14886</v>
      </c>
      <c r="J215" s="6">
        <v>14129</v>
      </c>
      <c r="K215" s="6">
        <v>254</v>
      </c>
      <c r="L215" s="6" t="s">
        <v>52</v>
      </c>
      <c r="M215" s="6" t="s">
        <v>11</v>
      </c>
      <c r="N215" s="14">
        <f>(Posts1114[[#This Row],[Likes]]+Posts1114[[#This Row],[Shares]]+Posts1114[[#This Row],[Comments]])/Posts1114[[#This Row],[Impressions]]</f>
        <v>8.7733440816874911E-2</v>
      </c>
    </row>
    <row r="216" spans="1:14" hidden="1">
      <c r="A216" s="9" t="s">
        <v>169</v>
      </c>
      <c r="B216" s="5" t="s">
        <v>49</v>
      </c>
      <c r="C216" s="10">
        <v>45517</v>
      </c>
      <c r="D216" s="5" t="s">
        <v>61</v>
      </c>
      <c r="E216" s="5" t="s">
        <v>153</v>
      </c>
      <c r="F216" s="5">
        <v>4739</v>
      </c>
      <c r="G216" s="5">
        <v>527</v>
      </c>
      <c r="H216" s="5">
        <v>135</v>
      </c>
      <c r="I216" s="5">
        <v>61607</v>
      </c>
      <c r="J216" s="5">
        <v>61333</v>
      </c>
      <c r="K216" s="5">
        <v>36</v>
      </c>
      <c r="L216" s="5" t="s">
        <v>43</v>
      </c>
      <c r="M216" s="5" t="s">
        <v>11</v>
      </c>
      <c r="N216" s="13">
        <f>(Posts1114[[#This Row],[Likes]]+Posts1114[[#This Row],[Shares]]+Posts1114[[#This Row],[Comments]])/Posts1114[[#This Row],[Impressions]]</f>
        <v>8.7668609086629767E-2</v>
      </c>
    </row>
    <row r="217" spans="1:14" hidden="1">
      <c r="A217" s="11" t="s">
        <v>169</v>
      </c>
      <c r="B217" s="6" t="s">
        <v>49</v>
      </c>
      <c r="C217" s="12">
        <v>45517</v>
      </c>
      <c r="D217" s="6" t="s">
        <v>61</v>
      </c>
      <c r="E217" s="6" t="s">
        <v>153</v>
      </c>
      <c r="F217" s="6">
        <v>4739</v>
      </c>
      <c r="G217" s="6">
        <v>527</v>
      </c>
      <c r="H217" s="6">
        <v>135</v>
      </c>
      <c r="I217" s="6">
        <v>61607</v>
      </c>
      <c r="J217" s="6">
        <v>61333</v>
      </c>
      <c r="K217" s="6">
        <v>36</v>
      </c>
      <c r="L217" s="6" t="s">
        <v>39</v>
      </c>
      <c r="M217" s="6" t="s">
        <v>11</v>
      </c>
      <c r="N217" s="14">
        <f>(Posts1114[[#This Row],[Likes]]+Posts1114[[#This Row],[Shares]]+Posts1114[[#This Row],[Comments]])/Posts1114[[#This Row],[Impressions]]</f>
        <v>8.7668609086629767E-2</v>
      </c>
    </row>
    <row r="218" spans="1:14" hidden="1">
      <c r="A218" s="11" t="s">
        <v>325</v>
      </c>
      <c r="B218" s="6" t="s">
        <v>35</v>
      </c>
      <c r="C218" s="12">
        <v>45507</v>
      </c>
      <c r="D218" s="6" t="s">
        <v>36</v>
      </c>
      <c r="E218" s="6" t="s">
        <v>37</v>
      </c>
      <c r="F218" s="6">
        <v>3791</v>
      </c>
      <c r="G218" s="6">
        <v>593</v>
      </c>
      <c r="H218" s="6">
        <v>228</v>
      </c>
      <c r="I218" s="6">
        <v>53074</v>
      </c>
      <c r="J218" s="6">
        <v>52613</v>
      </c>
      <c r="K218" s="6">
        <v>205</v>
      </c>
      <c r="L218" s="6" t="s">
        <v>52</v>
      </c>
      <c r="M218" s="6"/>
      <c r="N218" s="14">
        <f>(Posts1114[[#This Row],[Likes]]+Posts1114[[#This Row],[Shares]]+Posts1114[[#This Row],[Comments]])/Posts1114[[#This Row],[Impressions]]</f>
        <v>8.6897539284772202E-2</v>
      </c>
    </row>
    <row r="219" spans="1:14" hidden="1">
      <c r="A219" s="9" t="s">
        <v>156</v>
      </c>
      <c r="B219" s="5" t="s">
        <v>55</v>
      </c>
      <c r="C219" s="10">
        <v>45635</v>
      </c>
      <c r="D219" s="5" t="s">
        <v>61</v>
      </c>
      <c r="E219" s="5" t="s">
        <v>66</v>
      </c>
      <c r="F219" s="5">
        <v>1841</v>
      </c>
      <c r="G219" s="5">
        <v>851</v>
      </c>
      <c r="H219" s="5">
        <v>342</v>
      </c>
      <c r="I219" s="5">
        <v>34979</v>
      </c>
      <c r="J219" s="5">
        <v>34154</v>
      </c>
      <c r="K219" s="5">
        <v>255</v>
      </c>
      <c r="L219" s="5" t="s">
        <v>38</v>
      </c>
      <c r="M219" s="5" t="s">
        <v>19</v>
      </c>
      <c r="N219" s="13">
        <f>(Posts1114[[#This Row],[Likes]]+Posts1114[[#This Row],[Shares]]+Posts1114[[#This Row],[Comments]])/Posts1114[[#This Row],[Impressions]]</f>
        <v>8.6737756939878216E-2</v>
      </c>
    </row>
    <row r="220" spans="1:14" hidden="1">
      <c r="A220" s="11" t="s">
        <v>234</v>
      </c>
      <c r="B220" s="6" t="s">
        <v>55</v>
      </c>
      <c r="C220" s="12">
        <v>45748</v>
      </c>
      <c r="D220" s="6" t="s">
        <v>50</v>
      </c>
      <c r="E220" s="6" t="s">
        <v>73</v>
      </c>
      <c r="F220" s="6">
        <v>3430</v>
      </c>
      <c r="G220" s="6">
        <v>566</v>
      </c>
      <c r="H220" s="6">
        <v>164</v>
      </c>
      <c r="I220" s="6">
        <v>48020</v>
      </c>
      <c r="J220" s="6">
        <v>47305</v>
      </c>
      <c r="K220" s="6">
        <v>120</v>
      </c>
      <c r="L220" s="6" t="s">
        <v>38</v>
      </c>
      <c r="M220" s="6"/>
      <c r="N220" s="14">
        <f>(Posts1114[[#This Row],[Likes]]+Posts1114[[#This Row],[Shares]]+Posts1114[[#This Row],[Comments]])/Posts1114[[#This Row],[Impressions]]</f>
        <v>8.6630570595585168E-2</v>
      </c>
    </row>
    <row r="221" spans="1:14" hidden="1">
      <c r="A221" s="9" t="s">
        <v>280</v>
      </c>
      <c r="B221" s="5" t="s">
        <v>46</v>
      </c>
      <c r="C221" s="10">
        <v>45467</v>
      </c>
      <c r="D221" s="5" t="s">
        <v>75</v>
      </c>
      <c r="E221" s="5" t="s">
        <v>155</v>
      </c>
      <c r="F221" s="5">
        <v>2949</v>
      </c>
      <c r="G221" s="5">
        <v>476</v>
      </c>
      <c r="H221" s="5">
        <v>403</v>
      </c>
      <c r="I221" s="5">
        <v>44235</v>
      </c>
      <c r="J221" s="5">
        <v>43705</v>
      </c>
      <c r="K221" s="5">
        <v>135</v>
      </c>
      <c r="L221" s="5" t="s">
        <v>43</v>
      </c>
      <c r="M221" s="5" t="s">
        <v>11</v>
      </c>
      <c r="N221" s="13">
        <f>(Posts1114[[#This Row],[Likes]]+Posts1114[[#This Row],[Shares]]+Posts1114[[#This Row],[Comments]])/Posts1114[[#This Row],[Impressions]]</f>
        <v>8.6537809426924378E-2</v>
      </c>
    </row>
    <row r="222" spans="1:14" hidden="1">
      <c r="A222" s="9" t="s">
        <v>312</v>
      </c>
      <c r="B222" s="5" t="s">
        <v>35</v>
      </c>
      <c r="C222" s="10">
        <v>45530</v>
      </c>
      <c r="D222" s="5" t="s">
        <v>56</v>
      </c>
      <c r="E222" s="5" t="s">
        <v>59</v>
      </c>
      <c r="F222" s="5">
        <v>929</v>
      </c>
      <c r="G222" s="5">
        <v>192</v>
      </c>
      <c r="H222" s="5">
        <v>322</v>
      </c>
      <c r="I222" s="5">
        <v>16722</v>
      </c>
      <c r="J222" s="5">
        <v>15996</v>
      </c>
      <c r="K222" s="5">
        <v>145</v>
      </c>
      <c r="L222" s="5" t="s">
        <v>52</v>
      </c>
      <c r="M222" s="5" t="s">
        <v>15</v>
      </c>
      <c r="N222" s="13">
        <f>(Posts1114[[#This Row],[Likes]]+Posts1114[[#This Row],[Shares]]+Posts1114[[#This Row],[Comments]])/Posts1114[[#This Row],[Impressions]]</f>
        <v>8.6293505561535699E-2</v>
      </c>
    </row>
    <row r="223" spans="1:14" hidden="1">
      <c r="A223" s="11" t="s">
        <v>312</v>
      </c>
      <c r="B223" s="6" t="s">
        <v>35</v>
      </c>
      <c r="C223" s="12">
        <v>45530</v>
      </c>
      <c r="D223" s="6" t="s">
        <v>56</v>
      </c>
      <c r="E223" s="6" t="s">
        <v>59</v>
      </c>
      <c r="F223" s="6">
        <v>929</v>
      </c>
      <c r="G223" s="6">
        <v>192</v>
      </c>
      <c r="H223" s="6">
        <v>322</v>
      </c>
      <c r="I223" s="6">
        <v>16722</v>
      </c>
      <c r="J223" s="6">
        <v>15996</v>
      </c>
      <c r="K223" s="6">
        <v>145</v>
      </c>
      <c r="L223" s="6" t="s">
        <v>43</v>
      </c>
      <c r="M223" s="6" t="s">
        <v>15</v>
      </c>
      <c r="N223" s="14">
        <f>(Posts1114[[#This Row],[Likes]]+Posts1114[[#This Row],[Shares]]+Posts1114[[#This Row],[Comments]])/Posts1114[[#This Row],[Impressions]]</f>
        <v>8.6293505561535699E-2</v>
      </c>
    </row>
    <row r="224" spans="1:14" hidden="1">
      <c r="A224" s="9" t="s">
        <v>312</v>
      </c>
      <c r="B224" s="5" t="s">
        <v>35</v>
      </c>
      <c r="C224" s="10">
        <v>45530</v>
      </c>
      <c r="D224" s="5" t="s">
        <v>56</v>
      </c>
      <c r="E224" s="5" t="s">
        <v>59</v>
      </c>
      <c r="F224" s="5">
        <v>929</v>
      </c>
      <c r="G224" s="5">
        <v>192</v>
      </c>
      <c r="H224" s="5">
        <v>322</v>
      </c>
      <c r="I224" s="5">
        <v>16722</v>
      </c>
      <c r="J224" s="5">
        <v>15996</v>
      </c>
      <c r="K224" s="5">
        <v>145</v>
      </c>
      <c r="L224" s="5" t="s">
        <v>39</v>
      </c>
      <c r="M224" s="5" t="s">
        <v>15</v>
      </c>
      <c r="N224" s="13">
        <f>(Posts1114[[#This Row],[Likes]]+Posts1114[[#This Row],[Shares]]+Posts1114[[#This Row],[Comments]])/Posts1114[[#This Row],[Impressions]]</f>
        <v>8.6293505561535699E-2</v>
      </c>
    </row>
    <row r="225" spans="1:14" hidden="1">
      <c r="A225" s="11" t="s">
        <v>303</v>
      </c>
      <c r="B225" s="6" t="s">
        <v>49</v>
      </c>
      <c r="C225" s="12">
        <v>45778</v>
      </c>
      <c r="D225" s="6" t="s">
        <v>41</v>
      </c>
      <c r="E225" s="6" t="s">
        <v>97</v>
      </c>
      <c r="F225" s="6">
        <v>1430</v>
      </c>
      <c r="G225" s="6">
        <v>376</v>
      </c>
      <c r="H225" s="6">
        <v>33</v>
      </c>
      <c r="I225" s="6">
        <v>21450</v>
      </c>
      <c r="J225" s="6">
        <v>20509</v>
      </c>
      <c r="K225" s="6">
        <v>251</v>
      </c>
      <c r="L225" s="6" t="s">
        <v>38</v>
      </c>
      <c r="M225" s="6" t="s">
        <v>7</v>
      </c>
      <c r="N225" s="14">
        <f>(Posts1114[[#This Row],[Likes]]+Posts1114[[#This Row],[Shares]]+Posts1114[[#This Row],[Comments]])/Posts1114[[#This Row],[Impressions]]</f>
        <v>8.5734265734265735E-2</v>
      </c>
    </row>
    <row r="226" spans="1:14" hidden="1">
      <c r="A226" s="9" t="s">
        <v>178</v>
      </c>
      <c r="B226" s="5" t="s">
        <v>49</v>
      </c>
      <c r="C226" s="10">
        <v>45692</v>
      </c>
      <c r="D226" s="5" t="s">
        <v>61</v>
      </c>
      <c r="E226" s="5" t="s">
        <v>153</v>
      </c>
      <c r="F226" s="5">
        <v>4619</v>
      </c>
      <c r="G226" s="5">
        <v>821</v>
      </c>
      <c r="H226" s="5">
        <v>499</v>
      </c>
      <c r="I226" s="5">
        <v>69285</v>
      </c>
      <c r="J226" s="5">
        <v>69141</v>
      </c>
      <c r="K226" s="5">
        <v>298</v>
      </c>
      <c r="L226" s="5" t="s">
        <v>43</v>
      </c>
      <c r="M226" s="5" t="s">
        <v>19</v>
      </c>
      <c r="N226" s="13">
        <f>(Posts1114[[#This Row],[Likes]]+Posts1114[[#This Row],[Shares]]+Posts1114[[#This Row],[Comments]])/Posts1114[[#This Row],[Impressions]]</f>
        <v>8.5718409468138843E-2</v>
      </c>
    </row>
    <row r="227" spans="1:14" hidden="1">
      <c r="A227" s="9" t="s">
        <v>152</v>
      </c>
      <c r="B227" s="5" t="s">
        <v>49</v>
      </c>
      <c r="C227" s="10">
        <v>45497</v>
      </c>
      <c r="D227" s="5" t="s">
        <v>61</v>
      </c>
      <c r="E227" s="5" t="s">
        <v>153</v>
      </c>
      <c r="F227" s="5">
        <v>725</v>
      </c>
      <c r="G227" s="5">
        <v>88</v>
      </c>
      <c r="H227" s="5">
        <v>428</v>
      </c>
      <c r="I227" s="5">
        <v>14500</v>
      </c>
      <c r="J227" s="5">
        <v>13637</v>
      </c>
      <c r="K227" s="5">
        <v>200</v>
      </c>
      <c r="L227" s="5" t="s">
        <v>38</v>
      </c>
      <c r="M227" s="5" t="s">
        <v>15</v>
      </c>
      <c r="N227" s="13">
        <f>(Posts1114[[#This Row],[Likes]]+Posts1114[[#This Row],[Shares]]+Posts1114[[#This Row],[Comments]])/Posts1114[[#This Row],[Impressions]]</f>
        <v>8.558620689655172E-2</v>
      </c>
    </row>
    <row r="228" spans="1:14" hidden="1">
      <c r="A228" s="11" t="s">
        <v>152</v>
      </c>
      <c r="B228" s="6" t="s">
        <v>49</v>
      </c>
      <c r="C228" s="12">
        <v>45497</v>
      </c>
      <c r="D228" s="6" t="s">
        <v>61</v>
      </c>
      <c r="E228" s="6" t="s">
        <v>153</v>
      </c>
      <c r="F228" s="6">
        <v>725</v>
      </c>
      <c r="G228" s="6">
        <v>88</v>
      </c>
      <c r="H228" s="6">
        <v>428</v>
      </c>
      <c r="I228" s="6">
        <v>14500</v>
      </c>
      <c r="J228" s="6">
        <v>13637</v>
      </c>
      <c r="K228" s="6">
        <v>200</v>
      </c>
      <c r="L228" s="6" t="s">
        <v>43</v>
      </c>
      <c r="M228" s="6" t="s">
        <v>15</v>
      </c>
      <c r="N228" s="14">
        <f>(Posts1114[[#This Row],[Likes]]+Posts1114[[#This Row],[Shares]]+Posts1114[[#This Row],[Comments]])/Posts1114[[#This Row],[Impressions]]</f>
        <v>8.558620689655172E-2</v>
      </c>
    </row>
    <row r="229" spans="1:14" hidden="1">
      <c r="A229" s="9" t="s">
        <v>152</v>
      </c>
      <c r="B229" s="5" t="s">
        <v>49</v>
      </c>
      <c r="C229" s="10">
        <v>45497</v>
      </c>
      <c r="D229" s="5" t="s">
        <v>61</v>
      </c>
      <c r="E229" s="5" t="s">
        <v>153</v>
      </c>
      <c r="F229" s="5">
        <v>725</v>
      </c>
      <c r="G229" s="5">
        <v>88</v>
      </c>
      <c r="H229" s="5">
        <v>428</v>
      </c>
      <c r="I229" s="5">
        <v>14500</v>
      </c>
      <c r="J229" s="5">
        <v>13637</v>
      </c>
      <c r="K229" s="5">
        <v>200</v>
      </c>
      <c r="L229" s="5" t="s">
        <v>39</v>
      </c>
      <c r="M229" s="5" t="s">
        <v>15</v>
      </c>
      <c r="N229" s="13">
        <f>(Posts1114[[#This Row],[Likes]]+Posts1114[[#This Row],[Shares]]+Posts1114[[#This Row],[Comments]])/Posts1114[[#This Row],[Impressions]]</f>
        <v>8.558620689655172E-2</v>
      </c>
    </row>
    <row r="230" spans="1:14" hidden="1">
      <c r="A230" s="11" t="s">
        <v>271</v>
      </c>
      <c r="B230" s="6" t="s">
        <v>46</v>
      </c>
      <c r="C230" s="12">
        <v>45626</v>
      </c>
      <c r="D230" s="6" t="s">
        <v>56</v>
      </c>
      <c r="E230" s="6" t="s">
        <v>71</v>
      </c>
      <c r="F230" s="6">
        <v>2509</v>
      </c>
      <c r="G230" s="6">
        <v>324</v>
      </c>
      <c r="H230" s="6">
        <v>171</v>
      </c>
      <c r="I230" s="6">
        <v>35126</v>
      </c>
      <c r="J230" s="6">
        <v>34685</v>
      </c>
      <c r="K230" s="6">
        <v>277</v>
      </c>
      <c r="L230" s="6" t="s">
        <v>43</v>
      </c>
      <c r="M230" s="6" t="s">
        <v>11</v>
      </c>
      <c r="N230" s="14">
        <f>(Posts1114[[#This Row],[Likes]]+Posts1114[[#This Row],[Shares]]+Posts1114[[#This Row],[Comments]])/Posts1114[[#This Row],[Impressions]]</f>
        <v>8.5520696919660646E-2</v>
      </c>
    </row>
    <row r="231" spans="1:14" hidden="1">
      <c r="A231" s="9" t="s">
        <v>260</v>
      </c>
      <c r="B231" s="5" t="s">
        <v>46</v>
      </c>
      <c r="C231" s="10">
        <v>45449</v>
      </c>
      <c r="D231" s="5" t="s">
        <v>36</v>
      </c>
      <c r="E231" s="5" t="s">
        <v>47</v>
      </c>
      <c r="F231" s="5">
        <v>2728</v>
      </c>
      <c r="G231" s="5">
        <v>533</v>
      </c>
      <c r="H231" s="5">
        <v>215</v>
      </c>
      <c r="I231" s="5">
        <v>40920</v>
      </c>
      <c r="J231" s="5">
        <v>40816</v>
      </c>
      <c r="K231" s="5">
        <v>137</v>
      </c>
      <c r="L231" s="5" t="s">
        <v>38</v>
      </c>
      <c r="M231" s="5" t="s">
        <v>11</v>
      </c>
      <c r="N231" s="13">
        <f>(Posts1114[[#This Row],[Likes]]+Posts1114[[#This Row],[Shares]]+Posts1114[[#This Row],[Comments]])/Posts1114[[#This Row],[Impressions]]</f>
        <v>8.4946236559139784E-2</v>
      </c>
    </row>
    <row r="232" spans="1:14" hidden="1">
      <c r="A232" s="9" t="s">
        <v>258</v>
      </c>
      <c r="B232" s="5" t="s">
        <v>55</v>
      </c>
      <c r="C232" s="10">
        <v>45528</v>
      </c>
      <c r="D232" s="5" t="s">
        <v>56</v>
      </c>
      <c r="E232" s="5" t="s">
        <v>57</v>
      </c>
      <c r="F232" s="5">
        <v>4292</v>
      </c>
      <c r="G232" s="5">
        <v>51</v>
      </c>
      <c r="H232" s="5">
        <v>392</v>
      </c>
      <c r="I232" s="5">
        <v>55796</v>
      </c>
      <c r="J232" s="5">
        <v>54826</v>
      </c>
      <c r="K232" s="5">
        <v>264</v>
      </c>
      <c r="L232" s="5" t="s">
        <v>52</v>
      </c>
      <c r="M232" s="5" t="s">
        <v>15</v>
      </c>
      <c r="N232" s="13">
        <f>(Posts1114[[#This Row],[Likes]]+Posts1114[[#This Row],[Shares]]+Posts1114[[#This Row],[Comments]])/Posts1114[[#This Row],[Impressions]]</f>
        <v>8.4862714173059003E-2</v>
      </c>
    </row>
    <row r="233" spans="1:14" hidden="1">
      <c r="A233" s="9" t="s">
        <v>266</v>
      </c>
      <c r="B233" s="5" t="s">
        <v>46</v>
      </c>
      <c r="C233" s="10">
        <v>45567</v>
      </c>
      <c r="D233" s="5" t="s">
        <v>50</v>
      </c>
      <c r="E233" s="5" t="s">
        <v>120</v>
      </c>
      <c r="F233" s="5">
        <v>4350</v>
      </c>
      <c r="G233" s="5">
        <v>771</v>
      </c>
      <c r="H233" s="5">
        <v>7</v>
      </c>
      <c r="I233" s="5">
        <v>60900</v>
      </c>
      <c r="J233" s="5">
        <v>60592</v>
      </c>
      <c r="K233" s="5">
        <v>195</v>
      </c>
      <c r="L233" s="5" t="s">
        <v>52</v>
      </c>
      <c r="M233" s="5" t="s">
        <v>7</v>
      </c>
      <c r="N233" s="13">
        <f>(Posts1114[[#This Row],[Likes]]+Posts1114[[#This Row],[Shares]]+Posts1114[[#This Row],[Comments]])/Posts1114[[#This Row],[Impressions]]</f>
        <v>8.4203612479474554E-2</v>
      </c>
    </row>
    <row r="234" spans="1:14" hidden="1">
      <c r="A234" s="9" t="s">
        <v>340</v>
      </c>
      <c r="B234" s="5" t="s">
        <v>49</v>
      </c>
      <c r="C234" s="10">
        <v>45760</v>
      </c>
      <c r="D234" s="5" t="s">
        <v>36</v>
      </c>
      <c r="E234" s="5" t="s">
        <v>80</v>
      </c>
      <c r="F234" s="5">
        <v>4579</v>
      </c>
      <c r="G234" s="5">
        <v>125</v>
      </c>
      <c r="H234" s="5">
        <v>300</v>
      </c>
      <c r="I234" s="5">
        <v>59527</v>
      </c>
      <c r="J234" s="5">
        <v>59400</v>
      </c>
      <c r="K234" s="5">
        <v>269</v>
      </c>
      <c r="L234" s="5" t="s">
        <v>52</v>
      </c>
      <c r="M234" s="5" t="s">
        <v>7</v>
      </c>
      <c r="N234" s="13">
        <f>(Posts1114[[#This Row],[Likes]]+Posts1114[[#This Row],[Shares]]+Posts1114[[#This Row],[Comments]])/Posts1114[[#This Row],[Impressions]]</f>
        <v>8.4062694239588759E-2</v>
      </c>
    </row>
    <row r="235" spans="1:14" hidden="1">
      <c r="A235" s="9" t="s">
        <v>362</v>
      </c>
      <c r="B235" s="5" t="s">
        <v>49</v>
      </c>
      <c r="C235" s="10">
        <v>45646</v>
      </c>
      <c r="D235" s="5" t="s">
        <v>56</v>
      </c>
      <c r="E235" s="5" t="s">
        <v>84</v>
      </c>
      <c r="F235" s="5">
        <v>2107</v>
      </c>
      <c r="G235" s="5">
        <v>550</v>
      </c>
      <c r="H235" s="5">
        <v>349</v>
      </c>
      <c r="I235" s="5">
        <v>35819</v>
      </c>
      <c r="J235" s="5">
        <v>35340</v>
      </c>
      <c r="K235" s="5">
        <v>191</v>
      </c>
      <c r="L235" s="5" t="s">
        <v>52</v>
      </c>
      <c r="M235" s="5" t="s">
        <v>19</v>
      </c>
      <c r="N235" s="13">
        <f>(Posts1114[[#This Row],[Likes]]+Posts1114[[#This Row],[Shares]]+Posts1114[[#This Row],[Comments]])/Posts1114[[#This Row],[Impressions]]</f>
        <v>8.3921940869371006E-2</v>
      </c>
    </row>
    <row r="236" spans="1:14" hidden="1">
      <c r="A236" s="11" t="s">
        <v>259</v>
      </c>
      <c r="B236" s="6" t="s">
        <v>35</v>
      </c>
      <c r="C236" s="12">
        <v>45648</v>
      </c>
      <c r="D236" s="6" t="s">
        <v>36</v>
      </c>
      <c r="E236" s="6" t="s">
        <v>37</v>
      </c>
      <c r="F236" s="6">
        <v>1644</v>
      </c>
      <c r="G236" s="6">
        <v>546</v>
      </c>
      <c r="H236" s="6">
        <v>150</v>
      </c>
      <c r="I236" s="6">
        <v>27948</v>
      </c>
      <c r="J236" s="6">
        <v>27184</v>
      </c>
      <c r="K236" s="6">
        <v>300</v>
      </c>
      <c r="L236" s="6" t="s">
        <v>52</v>
      </c>
      <c r="M236" s="6" t="s">
        <v>15</v>
      </c>
      <c r="N236" s="14">
        <f>(Posts1114[[#This Row],[Likes]]+Posts1114[[#This Row],[Shares]]+Posts1114[[#This Row],[Comments]])/Posts1114[[#This Row],[Impressions]]</f>
        <v>8.3726921425504502E-2</v>
      </c>
    </row>
    <row r="237" spans="1:14" hidden="1">
      <c r="A237" s="9" t="s">
        <v>372</v>
      </c>
      <c r="B237" s="5" t="s">
        <v>35</v>
      </c>
      <c r="C237" s="10">
        <v>45535</v>
      </c>
      <c r="D237" s="5" t="s">
        <v>56</v>
      </c>
      <c r="E237" s="5" t="s">
        <v>59</v>
      </c>
      <c r="F237" s="5">
        <v>4494</v>
      </c>
      <c r="G237" s="5">
        <v>717</v>
      </c>
      <c r="H237" s="5">
        <v>45</v>
      </c>
      <c r="I237" s="5">
        <v>62916</v>
      </c>
      <c r="J237" s="5">
        <v>62688</v>
      </c>
      <c r="K237" s="5">
        <v>191</v>
      </c>
      <c r="L237" s="5" t="s">
        <v>43</v>
      </c>
      <c r="M237" s="5" t="s">
        <v>7</v>
      </c>
      <c r="N237" s="13">
        <f>(Posts1114[[#This Row],[Likes]]+Posts1114[[#This Row],[Shares]]+Posts1114[[#This Row],[Comments]])/Posts1114[[#This Row],[Impressions]]</f>
        <v>8.3539958039290485E-2</v>
      </c>
    </row>
    <row r="238" spans="1:14" hidden="1">
      <c r="A238" s="11" t="s">
        <v>372</v>
      </c>
      <c r="B238" s="6" t="s">
        <v>35</v>
      </c>
      <c r="C238" s="12">
        <v>45535</v>
      </c>
      <c r="D238" s="6" t="s">
        <v>56</v>
      </c>
      <c r="E238" s="6" t="s">
        <v>59</v>
      </c>
      <c r="F238" s="6">
        <v>4494</v>
      </c>
      <c r="G238" s="6">
        <v>717</v>
      </c>
      <c r="H238" s="6">
        <v>45</v>
      </c>
      <c r="I238" s="6">
        <v>62916</v>
      </c>
      <c r="J238" s="6">
        <v>62688</v>
      </c>
      <c r="K238" s="6">
        <v>191</v>
      </c>
      <c r="L238" s="6" t="s">
        <v>52</v>
      </c>
      <c r="M238" s="6" t="s">
        <v>7</v>
      </c>
      <c r="N238" s="14">
        <f>(Posts1114[[#This Row],[Likes]]+Posts1114[[#This Row],[Shares]]+Posts1114[[#This Row],[Comments]])/Posts1114[[#This Row],[Impressions]]</f>
        <v>8.3539958039290485E-2</v>
      </c>
    </row>
    <row r="239" spans="1:14" hidden="1">
      <c r="A239" s="9" t="s">
        <v>372</v>
      </c>
      <c r="B239" s="5" t="s">
        <v>35</v>
      </c>
      <c r="C239" s="10">
        <v>45535</v>
      </c>
      <c r="D239" s="5" t="s">
        <v>56</v>
      </c>
      <c r="E239" s="5" t="s">
        <v>59</v>
      </c>
      <c r="F239" s="5">
        <v>4494</v>
      </c>
      <c r="G239" s="5">
        <v>717</v>
      </c>
      <c r="H239" s="5">
        <v>45</v>
      </c>
      <c r="I239" s="5">
        <v>62916</v>
      </c>
      <c r="J239" s="5">
        <v>62688</v>
      </c>
      <c r="K239" s="5">
        <v>191</v>
      </c>
      <c r="L239" s="5" t="s">
        <v>44</v>
      </c>
      <c r="M239" s="5" t="s">
        <v>7</v>
      </c>
      <c r="N239" s="13">
        <f>(Posts1114[[#This Row],[Likes]]+Posts1114[[#This Row],[Shares]]+Posts1114[[#This Row],[Comments]])/Posts1114[[#This Row],[Impressions]]</f>
        <v>8.3539958039290485E-2</v>
      </c>
    </row>
    <row r="240" spans="1:14" hidden="1">
      <c r="A240" s="9" t="s">
        <v>352</v>
      </c>
      <c r="B240" s="5" t="s">
        <v>46</v>
      </c>
      <c r="C240" s="10">
        <v>45586</v>
      </c>
      <c r="D240" s="5" t="s">
        <v>75</v>
      </c>
      <c r="E240" s="5" t="s">
        <v>155</v>
      </c>
      <c r="F240" s="5">
        <v>4275</v>
      </c>
      <c r="G240" s="5">
        <v>680</v>
      </c>
      <c r="H240" s="5">
        <v>385</v>
      </c>
      <c r="I240" s="5">
        <v>64125</v>
      </c>
      <c r="J240" s="5">
        <v>63650</v>
      </c>
      <c r="K240" s="5">
        <v>104</v>
      </c>
      <c r="L240" s="5" t="s">
        <v>52</v>
      </c>
      <c r="M240" s="5" t="s">
        <v>19</v>
      </c>
      <c r="N240" s="13">
        <f>(Posts1114[[#This Row],[Likes]]+Posts1114[[#This Row],[Shares]]+Posts1114[[#This Row],[Comments]])/Posts1114[[#This Row],[Impressions]]</f>
        <v>8.3274853801169585E-2</v>
      </c>
    </row>
    <row r="241" spans="1:14" hidden="1">
      <c r="A241" s="11" t="s">
        <v>352</v>
      </c>
      <c r="B241" s="6" t="s">
        <v>46</v>
      </c>
      <c r="C241" s="12">
        <v>45586</v>
      </c>
      <c r="D241" s="6" t="s">
        <v>75</v>
      </c>
      <c r="E241" s="6" t="s">
        <v>155</v>
      </c>
      <c r="F241" s="6">
        <v>4275</v>
      </c>
      <c r="G241" s="6">
        <v>680</v>
      </c>
      <c r="H241" s="6">
        <v>385</v>
      </c>
      <c r="I241" s="6">
        <v>64125</v>
      </c>
      <c r="J241" s="6">
        <v>63650</v>
      </c>
      <c r="K241" s="6">
        <v>104</v>
      </c>
      <c r="L241" s="6" t="s">
        <v>43</v>
      </c>
      <c r="M241" s="6" t="s">
        <v>19</v>
      </c>
      <c r="N241" s="14">
        <f>(Posts1114[[#This Row],[Likes]]+Posts1114[[#This Row],[Shares]]+Posts1114[[#This Row],[Comments]])/Posts1114[[#This Row],[Impressions]]</f>
        <v>8.3274853801169585E-2</v>
      </c>
    </row>
    <row r="242" spans="1:14" hidden="1">
      <c r="A242" s="9" t="s">
        <v>352</v>
      </c>
      <c r="B242" s="5" t="s">
        <v>46</v>
      </c>
      <c r="C242" s="10">
        <v>45586</v>
      </c>
      <c r="D242" s="5" t="s">
        <v>75</v>
      </c>
      <c r="E242" s="5" t="s">
        <v>155</v>
      </c>
      <c r="F242" s="5">
        <v>4275</v>
      </c>
      <c r="G242" s="5">
        <v>680</v>
      </c>
      <c r="H242" s="5">
        <v>385</v>
      </c>
      <c r="I242" s="5">
        <v>64125</v>
      </c>
      <c r="J242" s="5">
        <v>63650</v>
      </c>
      <c r="K242" s="5">
        <v>104</v>
      </c>
      <c r="L242" s="5" t="s">
        <v>39</v>
      </c>
      <c r="M242" s="5" t="s">
        <v>19</v>
      </c>
      <c r="N242" s="13">
        <f>(Posts1114[[#This Row],[Likes]]+Posts1114[[#This Row],[Shares]]+Posts1114[[#This Row],[Comments]])/Posts1114[[#This Row],[Impressions]]</f>
        <v>8.3274853801169585E-2</v>
      </c>
    </row>
    <row r="243" spans="1:14" hidden="1">
      <c r="A243" s="11" t="s">
        <v>333</v>
      </c>
      <c r="B243" s="6" t="s">
        <v>49</v>
      </c>
      <c r="C243" s="12">
        <v>45592</v>
      </c>
      <c r="D243" s="6" t="s">
        <v>61</v>
      </c>
      <c r="E243" s="6" t="s">
        <v>153</v>
      </c>
      <c r="F243" s="6">
        <v>4853</v>
      </c>
      <c r="G243" s="6">
        <v>837</v>
      </c>
      <c r="H243" s="6">
        <v>340</v>
      </c>
      <c r="I243" s="6">
        <v>72795</v>
      </c>
      <c r="J243" s="6">
        <v>72237</v>
      </c>
      <c r="K243" s="6">
        <v>170</v>
      </c>
      <c r="L243" s="6" t="s">
        <v>52</v>
      </c>
      <c r="M243" s="6" t="s">
        <v>7</v>
      </c>
      <c r="N243" s="14">
        <f>(Posts1114[[#This Row],[Likes]]+Posts1114[[#This Row],[Shares]]+Posts1114[[#This Row],[Comments]])/Posts1114[[#This Row],[Impressions]]</f>
        <v>8.2835359571399134E-2</v>
      </c>
    </row>
    <row r="244" spans="1:14" hidden="1">
      <c r="A244" s="11" t="s">
        <v>281</v>
      </c>
      <c r="B244" s="6" t="s">
        <v>35</v>
      </c>
      <c r="C244" s="12">
        <v>45735</v>
      </c>
      <c r="D244" s="6" t="s">
        <v>75</v>
      </c>
      <c r="E244" s="6" t="s">
        <v>114</v>
      </c>
      <c r="F244" s="6">
        <v>3160</v>
      </c>
      <c r="G244" s="6">
        <v>204</v>
      </c>
      <c r="H244" s="6">
        <v>297</v>
      </c>
      <c r="I244" s="6">
        <v>44240</v>
      </c>
      <c r="J244" s="6">
        <v>43666</v>
      </c>
      <c r="K244" s="6">
        <v>49</v>
      </c>
      <c r="L244" s="6" t="s">
        <v>38</v>
      </c>
      <c r="M244" s="6" t="s">
        <v>19</v>
      </c>
      <c r="N244" s="14">
        <f>(Posts1114[[#This Row],[Likes]]+Posts1114[[#This Row],[Shares]]+Posts1114[[#This Row],[Comments]])/Posts1114[[#This Row],[Impressions]]</f>
        <v>8.2753164556962022E-2</v>
      </c>
    </row>
    <row r="245" spans="1:14" hidden="1">
      <c r="A245" s="9" t="s">
        <v>281</v>
      </c>
      <c r="B245" s="5" t="s">
        <v>35</v>
      </c>
      <c r="C245" s="10">
        <v>45735</v>
      </c>
      <c r="D245" s="5" t="s">
        <v>75</v>
      </c>
      <c r="E245" s="5" t="s">
        <v>114</v>
      </c>
      <c r="F245" s="5">
        <v>3160</v>
      </c>
      <c r="G245" s="5">
        <v>204</v>
      </c>
      <c r="H245" s="5">
        <v>297</v>
      </c>
      <c r="I245" s="5">
        <v>44240</v>
      </c>
      <c r="J245" s="5">
        <v>43666</v>
      </c>
      <c r="K245" s="5">
        <v>49</v>
      </c>
      <c r="L245" s="5" t="s">
        <v>39</v>
      </c>
      <c r="M245" s="5" t="s">
        <v>19</v>
      </c>
      <c r="N245" s="13">
        <f>(Posts1114[[#This Row],[Likes]]+Posts1114[[#This Row],[Shares]]+Posts1114[[#This Row],[Comments]])/Posts1114[[#This Row],[Impressions]]</f>
        <v>8.2753164556962022E-2</v>
      </c>
    </row>
    <row r="246" spans="1:14" hidden="1">
      <c r="A246" s="9" t="s">
        <v>285</v>
      </c>
      <c r="B246" s="5" t="s">
        <v>55</v>
      </c>
      <c r="C246" s="10">
        <v>45778</v>
      </c>
      <c r="D246" s="5" t="s">
        <v>56</v>
      </c>
      <c r="E246" s="5" t="s">
        <v>57</v>
      </c>
      <c r="F246" s="5">
        <v>2696</v>
      </c>
      <c r="G246" s="5">
        <v>628</v>
      </c>
      <c r="H246" s="5">
        <v>443</v>
      </c>
      <c r="I246" s="5">
        <v>45832</v>
      </c>
      <c r="J246" s="5">
        <v>45632</v>
      </c>
      <c r="K246" s="5">
        <v>248</v>
      </c>
      <c r="L246" s="5" t="s">
        <v>52</v>
      </c>
      <c r="M246" s="5" t="s">
        <v>19</v>
      </c>
      <c r="N246" s="13">
        <f>(Posts1114[[#This Row],[Likes]]+Posts1114[[#This Row],[Shares]]+Posts1114[[#This Row],[Comments]])/Posts1114[[#This Row],[Impressions]]</f>
        <v>8.21914819340199E-2</v>
      </c>
    </row>
    <row r="247" spans="1:14" hidden="1">
      <c r="A247" s="9" t="s">
        <v>274</v>
      </c>
      <c r="B247" s="5" t="s">
        <v>55</v>
      </c>
      <c r="C247" s="10">
        <v>45445</v>
      </c>
      <c r="D247" s="5" t="s">
        <v>61</v>
      </c>
      <c r="E247" s="5" t="s">
        <v>66</v>
      </c>
      <c r="F247" s="5">
        <v>1871</v>
      </c>
      <c r="G247" s="5">
        <v>252</v>
      </c>
      <c r="H247" s="5">
        <v>335</v>
      </c>
      <c r="I247" s="5">
        <v>29936</v>
      </c>
      <c r="J247" s="5">
        <v>29576</v>
      </c>
      <c r="K247" s="5">
        <v>288</v>
      </c>
      <c r="L247" s="5" t="s">
        <v>52</v>
      </c>
      <c r="M247" s="5" t="s">
        <v>15</v>
      </c>
      <c r="N247" s="13">
        <f>(Posts1114[[#This Row],[Likes]]+Posts1114[[#This Row],[Shares]]+Posts1114[[#This Row],[Comments]])/Posts1114[[#This Row],[Impressions]]</f>
        <v>8.2108498129342594E-2</v>
      </c>
    </row>
    <row r="248" spans="1:14" hidden="1">
      <c r="A248" s="9" t="s">
        <v>148</v>
      </c>
      <c r="B248" s="5" t="s">
        <v>35</v>
      </c>
      <c r="C248" s="10">
        <v>45460</v>
      </c>
      <c r="D248" s="5" t="s">
        <v>61</v>
      </c>
      <c r="E248" s="5" t="s">
        <v>107</v>
      </c>
      <c r="F248" s="5">
        <v>954</v>
      </c>
      <c r="G248" s="5">
        <v>324</v>
      </c>
      <c r="H248" s="5">
        <v>288</v>
      </c>
      <c r="I248" s="5">
        <v>19080</v>
      </c>
      <c r="J248" s="5">
        <v>18859</v>
      </c>
      <c r="K248" s="5">
        <v>21</v>
      </c>
      <c r="L248" s="5" t="s">
        <v>38</v>
      </c>
      <c r="M248" s="5" t="s">
        <v>19</v>
      </c>
      <c r="N248" s="13">
        <f>(Posts1114[[#This Row],[Likes]]+Posts1114[[#This Row],[Shares]]+Posts1114[[#This Row],[Comments]])/Posts1114[[#This Row],[Impressions]]</f>
        <v>8.2075471698113203E-2</v>
      </c>
    </row>
    <row r="249" spans="1:14" hidden="1">
      <c r="A249" s="9" t="s">
        <v>134</v>
      </c>
      <c r="B249" s="5" t="s">
        <v>55</v>
      </c>
      <c r="C249" s="10">
        <v>45521</v>
      </c>
      <c r="D249" s="5" t="s">
        <v>61</v>
      </c>
      <c r="E249" s="5" t="s">
        <v>66</v>
      </c>
      <c r="F249" s="5">
        <v>2878</v>
      </c>
      <c r="G249" s="5">
        <v>248</v>
      </c>
      <c r="H249" s="5">
        <v>416</v>
      </c>
      <c r="I249" s="5">
        <v>43170</v>
      </c>
      <c r="J249" s="5">
        <v>42667</v>
      </c>
      <c r="K249" s="5">
        <v>75</v>
      </c>
      <c r="L249" s="5" t="s">
        <v>38</v>
      </c>
      <c r="M249" s="5" t="s">
        <v>15</v>
      </c>
      <c r="N249" s="13">
        <f>(Posts1114[[#This Row],[Likes]]+Posts1114[[#This Row],[Shares]]+Posts1114[[#This Row],[Comments]])/Posts1114[[#This Row],[Impressions]]</f>
        <v>8.2047718322909427E-2</v>
      </c>
    </row>
    <row r="250" spans="1:14" hidden="1">
      <c r="A250" s="9" t="s">
        <v>300</v>
      </c>
      <c r="B250" s="5" t="s">
        <v>49</v>
      </c>
      <c r="C250" s="10">
        <v>45474</v>
      </c>
      <c r="D250" s="5" t="s">
        <v>50</v>
      </c>
      <c r="E250" s="5" t="s">
        <v>51</v>
      </c>
      <c r="F250" s="5">
        <v>4808</v>
      </c>
      <c r="G250" s="5">
        <v>772</v>
      </c>
      <c r="H250" s="5">
        <v>320</v>
      </c>
      <c r="I250" s="5">
        <v>72120</v>
      </c>
      <c r="J250" s="5">
        <v>71696</v>
      </c>
      <c r="K250" s="5">
        <v>195</v>
      </c>
      <c r="L250" s="5" t="s">
        <v>52</v>
      </c>
      <c r="M250" s="5" t="s">
        <v>7</v>
      </c>
      <c r="N250" s="13">
        <f>(Posts1114[[#This Row],[Likes]]+Posts1114[[#This Row],[Shares]]+Posts1114[[#This Row],[Comments]])/Posts1114[[#This Row],[Impressions]]</f>
        <v>8.1808097615085965E-2</v>
      </c>
    </row>
    <row r="251" spans="1:14" hidden="1">
      <c r="A251" s="9" t="s">
        <v>146</v>
      </c>
      <c r="B251" s="5" t="s">
        <v>35</v>
      </c>
      <c r="C251" s="10">
        <v>45603</v>
      </c>
      <c r="D251" s="5" t="s">
        <v>50</v>
      </c>
      <c r="E251" s="5" t="s">
        <v>117</v>
      </c>
      <c r="F251" s="5">
        <v>1121</v>
      </c>
      <c r="G251" s="5">
        <v>135</v>
      </c>
      <c r="H251" s="5">
        <v>18</v>
      </c>
      <c r="I251" s="5">
        <v>15694</v>
      </c>
      <c r="J251" s="5">
        <v>14957</v>
      </c>
      <c r="K251" s="5">
        <v>99</v>
      </c>
      <c r="L251" s="5" t="s">
        <v>43</v>
      </c>
      <c r="M251" s="5" t="s">
        <v>19</v>
      </c>
      <c r="N251" s="13">
        <f>(Posts1114[[#This Row],[Likes]]+Posts1114[[#This Row],[Shares]]+Posts1114[[#This Row],[Comments]])/Posts1114[[#This Row],[Impressions]]</f>
        <v>8.1177520071364848E-2</v>
      </c>
    </row>
    <row r="252" spans="1:14" hidden="1">
      <c r="A252" s="11" t="s">
        <v>127</v>
      </c>
      <c r="B252" s="6" t="s">
        <v>35</v>
      </c>
      <c r="C252" s="12">
        <v>45586</v>
      </c>
      <c r="D252" s="6" t="s">
        <v>75</v>
      </c>
      <c r="E252" s="6" t="s">
        <v>114</v>
      </c>
      <c r="F252" s="6">
        <v>2825</v>
      </c>
      <c r="G252" s="6">
        <v>535</v>
      </c>
      <c r="H252" s="6">
        <v>295</v>
      </c>
      <c r="I252" s="6">
        <v>45200</v>
      </c>
      <c r="J252" s="6">
        <v>44739</v>
      </c>
      <c r="K252" s="6">
        <v>169</v>
      </c>
      <c r="L252" s="6" t="s">
        <v>43</v>
      </c>
      <c r="M252" s="6" t="s">
        <v>7</v>
      </c>
      <c r="N252" s="14">
        <f>(Posts1114[[#This Row],[Likes]]+Posts1114[[#This Row],[Shares]]+Posts1114[[#This Row],[Comments]])/Posts1114[[#This Row],[Impressions]]</f>
        <v>8.0862831858407078E-2</v>
      </c>
    </row>
    <row r="253" spans="1:14" hidden="1">
      <c r="A253" s="11" t="s">
        <v>194</v>
      </c>
      <c r="B253" s="6" t="s">
        <v>49</v>
      </c>
      <c r="C253" s="12">
        <v>45567</v>
      </c>
      <c r="D253" s="6" t="s">
        <v>41</v>
      </c>
      <c r="E253" s="6" t="s">
        <v>97</v>
      </c>
      <c r="F253" s="6">
        <v>3432</v>
      </c>
      <c r="G253" s="6">
        <v>869</v>
      </c>
      <c r="H253" s="6">
        <v>123</v>
      </c>
      <c r="I253" s="6">
        <v>54912</v>
      </c>
      <c r="J253" s="6">
        <v>53916</v>
      </c>
      <c r="K253" s="6">
        <v>264</v>
      </c>
      <c r="L253" s="6" t="s">
        <v>52</v>
      </c>
      <c r="M253" s="6" t="s">
        <v>11</v>
      </c>
      <c r="N253" s="14">
        <f>(Posts1114[[#This Row],[Likes]]+Posts1114[[#This Row],[Shares]]+Posts1114[[#This Row],[Comments]])/Posts1114[[#This Row],[Impressions]]</f>
        <v>8.0565268065268064E-2</v>
      </c>
    </row>
    <row r="254" spans="1:14" hidden="1">
      <c r="A254" s="9" t="s">
        <v>86</v>
      </c>
      <c r="B254" s="5" t="s">
        <v>55</v>
      </c>
      <c r="C254" s="10">
        <v>45715</v>
      </c>
      <c r="D254" s="5" t="s">
        <v>41</v>
      </c>
      <c r="E254" s="5" t="s">
        <v>64</v>
      </c>
      <c r="F254" s="5">
        <v>1570</v>
      </c>
      <c r="G254" s="5">
        <v>187</v>
      </c>
      <c r="H254" s="5">
        <v>260</v>
      </c>
      <c r="I254" s="5">
        <v>25120</v>
      </c>
      <c r="J254" s="5">
        <v>24613</v>
      </c>
      <c r="K254" s="5">
        <v>133</v>
      </c>
      <c r="L254" s="5" t="s">
        <v>43</v>
      </c>
      <c r="M254" s="5" t="s">
        <v>19</v>
      </c>
      <c r="N254" s="13">
        <f>(Posts1114[[#This Row],[Likes]]+Posts1114[[#This Row],[Shares]]+Posts1114[[#This Row],[Comments]])/Posts1114[[#This Row],[Impressions]]</f>
        <v>8.0294585987261149E-2</v>
      </c>
    </row>
    <row r="255" spans="1:14" hidden="1">
      <c r="A255" s="11" t="s">
        <v>190</v>
      </c>
      <c r="B255" s="6" t="s">
        <v>55</v>
      </c>
      <c r="C255" s="12">
        <v>45600</v>
      </c>
      <c r="D255" s="6" t="s">
        <v>61</v>
      </c>
      <c r="E255" s="6" t="s">
        <v>66</v>
      </c>
      <c r="F255" s="6">
        <v>4551</v>
      </c>
      <c r="G255" s="6">
        <v>714</v>
      </c>
      <c r="H255" s="6">
        <v>207</v>
      </c>
      <c r="I255" s="6">
        <v>68265</v>
      </c>
      <c r="J255" s="6">
        <v>67754</v>
      </c>
      <c r="K255" s="6">
        <v>57</v>
      </c>
      <c r="L255" s="6" t="s">
        <v>38</v>
      </c>
      <c r="M255" s="6" t="s">
        <v>15</v>
      </c>
      <c r="N255" s="14">
        <f>(Posts1114[[#This Row],[Likes]]+Posts1114[[#This Row],[Shares]]+Posts1114[[#This Row],[Comments]])/Posts1114[[#This Row],[Impressions]]</f>
        <v>8.0158206987475278E-2</v>
      </c>
    </row>
    <row r="256" spans="1:14" hidden="1">
      <c r="A256" s="11" t="s">
        <v>329</v>
      </c>
      <c r="B256" s="6" t="s">
        <v>55</v>
      </c>
      <c r="C256" s="12">
        <v>45753</v>
      </c>
      <c r="D256" s="6" t="s">
        <v>61</v>
      </c>
      <c r="E256" s="6" t="s">
        <v>66</v>
      </c>
      <c r="F256" s="6">
        <v>3090</v>
      </c>
      <c r="G256" s="6">
        <v>697</v>
      </c>
      <c r="H256" s="6">
        <v>164</v>
      </c>
      <c r="I256" s="6">
        <v>49440</v>
      </c>
      <c r="J256" s="6">
        <v>48524</v>
      </c>
      <c r="K256" s="6">
        <v>25</v>
      </c>
      <c r="L256" s="6" t="s">
        <v>52</v>
      </c>
      <c r="M256" s="6" t="s">
        <v>11</v>
      </c>
      <c r="N256" s="14">
        <f>(Posts1114[[#This Row],[Likes]]+Posts1114[[#This Row],[Shares]]+Posts1114[[#This Row],[Comments]])/Posts1114[[#This Row],[Impressions]]</f>
        <v>7.9915048543689318E-2</v>
      </c>
    </row>
    <row r="257" spans="1:14" hidden="1">
      <c r="A257" s="9" t="s">
        <v>329</v>
      </c>
      <c r="B257" s="5" t="s">
        <v>55</v>
      </c>
      <c r="C257" s="10">
        <v>45753</v>
      </c>
      <c r="D257" s="5" t="s">
        <v>61</v>
      </c>
      <c r="E257" s="5" t="s">
        <v>66</v>
      </c>
      <c r="F257" s="5">
        <v>3090</v>
      </c>
      <c r="G257" s="5">
        <v>697</v>
      </c>
      <c r="H257" s="5">
        <v>164</v>
      </c>
      <c r="I257" s="5">
        <v>49440</v>
      </c>
      <c r="J257" s="5">
        <v>48524</v>
      </c>
      <c r="K257" s="5">
        <v>25</v>
      </c>
      <c r="L257" s="5" t="s">
        <v>52</v>
      </c>
      <c r="M257" s="5" t="s">
        <v>11</v>
      </c>
      <c r="N257" s="13">
        <f>(Posts1114[[#This Row],[Likes]]+Posts1114[[#This Row],[Shares]]+Posts1114[[#This Row],[Comments]])/Posts1114[[#This Row],[Impressions]]</f>
        <v>7.9915048543689318E-2</v>
      </c>
    </row>
    <row r="258" spans="1:14" hidden="1">
      <c r="A258" s="11" t="s">
        <v>329</v>
      </c>
      <c r="B258" s="6" t="s">
        <v>55</v>
      </c>
      <c r="C258" s="12">
        <v>45753</v>
      </c>
      <c r="D258" s="6" t="s">
        <v>61</v>
      </c>
      <c r="E258" s="6" t="s">
        <v>66</v>
      </c>
      <c r="F258" s="6">
        <v>3090</v>
      </c>
      <c r="G258" s="6">
        <v>697</v>
      </c>
      <c r="H258" s="6">
        <v>164</v>
      </c>
      <c r="I258" s="6">
        <v>49440</v>
      </c>
      <c r="J258" s="6">
        <v>48524</v>
      </c>
      <c r="K258" s="6">
        <v>25</v>
      </c>
      <c r="L258" s="6" t="s">
        <v>44</v>
      </c>
      <c r="M258" s="6" t="s">
        <v>11</v>
      </c>
      <c r="N258" s="14">
        <f>(Posts1114[[#This Row],[Likes]]+Posts1114[[#This Row],[Shares]]+Posts1114[[#This Row],[Comments]])/Posts1114[[#This Row],[Impressions]]</f>
        <v>7.9915048543689318E-2</v>
      </c>
    </row>
    <row r="259" spans="1:14" hidden="1">
      <c r="A259" s="9" t="s">
        <v>163</v>
      </c>
      <c r="B259" s="5" t="s">
        <v>55</v>
      </c>
      <c r="C259" s="10">
        <v>45740</v>
      </c>
      <c r="D259" s="5" t="s">
        <v>61</v>
      </c>
      <c r="E259" s="5" t="s">
        <v>66</v>
      </c>
      <c r="F259" s="5">
        <v>1263</v>
      </c>
      <c r="G259" s="5">
        <v>397</v>
      </c>
      <c r="H259" s="5">
        <v>357</v>
      </c>
      <c r="I259" s="5">
        <v>25260</v>
      </c>
      <c r="J259" s="5">
        <v>24615</v>
      </c>
      <c r="K259" s="5">
        <v>137</v>
      </c>
      <c r="L259" s="5" t="s">
        <v>52</v>
      </c>
      <c r="M259" s="5" t="s">
        <v>19</v>
      </c>
      <c r="N259" s="13">
        <f>(Posts1114[[#This Row],[Likes]]+Posts1114[[#This Row],[Shares]]+Posts1114[[#This Row],[Comments]])/Posts1114[[#This Row],[Impressions]]</f>
        <v>7.984956452889945E-2</v>
      </c>
    </row>
    <row r="260" spans="1:14" hidden="1">
      <c r="A260" s="9" t="s">
        <v>346</v>
      </c>
      <c r="B260" s="5" t="s">
        <v>35</v>
      </c>
      <c r="C260" s="10">
        <v>45658</v>
      </c>
      <c r="D260" s="5" t="s">
        <v>56</v>
      </c>
      <c r="E260" s="5" t="s">
        <v>59</v>
      </c>
      <c r="F260" s="5">
        <v>3535</v>
      </c>
      <c r="G260" s="5">
        <v>494</v>
      </c>
      <c r="H260" s="5">
        <v>152</v>
      </c>
      <c r="I260" s="5">
        <v>53025</v>
      </c>
      <c r="J260" s="5">
        <v>52791</v>
      </c>
      <c r="K260" s="5">
        <v>44</v>
      </c>
      <c r="L260" s="5" t="s">
        <v>43</v>
      </c>
      <c r="M260" s="5" t="s">
        <v>19</v>
      </c>
      <c r="N260" s="13">
        <f>(Posts1114[[#This Row],[Likes]]+Posts1114[[#This Row],[Shares]]+Posts1114[[#This Row],[Comments]])/Posts1114[[#This Row],[Impressions]]</f>
        <v>7.8849599245638849E-2</v>
      </c>
    </row>
    <row r="261" spans="1:14" hidden="1">
      <c r="A261" s="9" t="s">
        <v>121</v>
      </c>
      <c r="B261" s="5" t="s">
        <v>55</v>
      </c>
      <c r="C261" s="10">
        <v>45456</v>
      </c>
      <c r="D261" s="5" t="s">
        <v>56</v>
      </c>
      <c r="E261" s="5" t="s">
        <v>57</v>
      </c>
      <c r="F261" s="5">
        <v>2200</v>
      </c>
      <c r="G261" s="5">
        <v>504</v>
      </c>
      <c r="H261" s="5">
        <v>239</v>
      </c>
      <c r="I261" s="5">
        <v>37400</v>
      </c>
      <c r="J261" s="5">
        <v>36938</v>
      </c>
      <c r="K261" s="5">
        <v>225</v>
      </c>
      <c r="L261" s="5" t="s">
        <v>38</v>
      </c>
      <c r="M261" s="5" t="s">
        <v>11</v>
      </c>
      <c r="N261" s="13">
        <f>(Posts1114[[#This Row],[Likes]]+Posts1114[[#This Row],[Shares]]+Posts1114[[#This Row],[Comments]])/Posts1114[[#This Row],[Impressions]]</f>
        <v>7.8689839572192513E-2</v>
      </c>
    </row>
    <row r="262" spans="1:14" hidden="1">
      <c r="A262" s="9" t="s">
        <v>150</v>
      </c>
      <c r="B262" s="5" t="s">
        <v>49</v>
      </c>
      <c r="C262" s="10">
        <v>45456</v>
      </c>
      <c r="D262" s="5" t="s">
        <v>50</v>
      </c>
      <c r="E262" s="5" t="s">
        <v>51</v>
      </c>
      <c r="F262" s="5">
        <v>2103</v>
      </c>
      <c r="G262" s="5">
        <v>892</v>
      </c>
      <c r="H262" s="5">
        <v>103</v>
      </c>
      <c r="I262" s="5">
        <v>39957</v>
      </c>
      <c r="J262" s="5">
        <v>39466</v>
      </c>
      <c r="K262" s="5">
        <v>28</v>
      </c>
      <c r="L262" s="5" t="s">
        <v>38</v>
      </c>
      <c r="M262" s="5"/>
      <c r="N262" s="13">
        <f>(Posts1114[[#This Row],[Likes]]+Posts1114[[#This Row],[Shares]]+Posts1114[[#This Row],[Comments]])/Posts1114[[#This Row],[Impressions]]</f>
        <v>7.7533348349475686E-2</v>
      </c>
    </row>
    <row r="263" spans="1:14" hidden="1">
      <c r="A263" s="9" t="s">
        <v>302</v>
      </c>
      <c r="B263" s="5" t="s">
        <v>55</v>
      </c>
      <c r="C263" s="10">
        <v>45488</v>
      </c>
      <c r="D263" s="5" t="s">
        <v>36</v>
      </c>
      <c r="E263" s="5" t="s">
        <v>69</v>
      </c>
      <c r="F263" s="5">
        <v>3663</v>
      </c>
      <c r="G263" s="5">
        <v>17</v>
      </c>
      <c r="H263" s="5">
        <v>295</v>
      </c>
      <c r="I263" s="5">
        <v>51282</v>
      </c>
      <c r="J263" s="5">
        <v>50567</v>
      </c>
      <c r="K263" s="5">
        <v>84</v>
      </c>
      <c r="L263" s="5" t="s">
        <v>52</v>
      </c>
      <c r="M263" s="5" t="s">
        <v>15</v>
      </c>
      <c r="N263" s="13">
        <f>(Posts1114[[#This Row],[Likes]]+Posts1114[[#This Row],[Shares]]+Posts1114[[#This Row],[Comments]])/Posts1114[[#This Row],[Impressions]]</f>
        <v>7.7512577512577507E-2</v>
      </c>
    </row>
    <row r="264" spans="1:14" hidden="1">
      <c r="A264" s="9" t="s">
        <v>221</v>
      </c>
      <c r="B264" s="5" t="s">
        <v>35</v>
      </c>
      <c r="C264" s="10">
        <v>45459</v>
      </c>
      <c r="D264" s="5" t="s">
        <v>75</v>
      </c>
      <c r="E264" s="5" t="s">
        <v>114</v>
      </c>
      <c r="F264" s="5">
        <v>1702</v>
      </c>
      <c r="G264" s="5">
        <v>750</v>
      </c>
      <c r="H264" s="5">
        <v>179</v>
      </c>
      <c r="I264" s="5">
        <v>34040</v>
      </c>
      <c r="J264" s="5">
        <v>33174</v>
      </c>
      <c r="K264" s="5">
        <v>76</v>
      </c>
      <c r="L264" s="5" t="s">
        <v>52</v>
      </c>
      <c r="M264" s="5" t="s">
        <v>7</v>
      </c>
      <c r="N264" s="13">
        <f>(Posts1114[[#This Row],[Likes]]+Posts1114[[#This Row],[Shares]]+Posts1114[[#This Row],[Comments]])/Posts1114[[#This Row],[Impressions]]</f>
        <v>7.7291421856639245E-2</v>
      </c>
    </row>
    <row r="265" spans="1:14" hidden="1">
      <c r="A265" s="11" t="s">
        <v>85</v>
      </c>
      <c r="B265" s="6" t="s">
        <v>49</v>
      </c>
      <c r="C265" s="12">
        <v>45661</v>
      </c>
      <c r="D265" s="6" t="s">
        <v>36</v>
      </c>
      <c r="E265" s="6" t="s">
        <v>80</v>
      </c>
      <c r="F265" s="6">
        <v>4838</v>
      </c>
      <c r="G265" s="6">
        <v>640</v>
      </c>
      <c r="H265" s="6">
        <v>128</v>
      </c>
      <c r="I265" s="6">
        <v>72570</v>
      </c>
      <c r="J265" s="6">
        <v>72396</v>
      </c>
      <c r="K265" s="6">
        <v>83</v>
      </c>
      <c r="L265" s="6" t="s">
        <v>38</v>
      </c>
      <c r="M265" s="6" t="s">
        <v>19</v>
      </c>
      <c r="N265" s="14">
        <f>(Posts1114[[#This Row],[Likes]]+Posts1114[[#This Row],[Shares]]+Posts1114[[#This Row],[Comments]])/Posts1114[[#This Row],[Impressions]]</f>
        <v>7.7249552156538517E-2</v>
      </c>
    </row>
    <row r="266" spans="1:14" hidden="1">
      <c r="A266" s="11" t="s">
        <v>87</v>
      </c>
      <c r="B266" s="6" t="s">
        <v>55</v>
      </c>
      <c r="C266" s="12">
        <v>45602</v>
      </c>
      <c r="D266" s="6" t="s">
        <v>75</v>
      </c>
      <c r="E266" s="6" t="s">
        <v>76</v>
      </c>
      <c r="F266" s="6">
        <v>1606</v>
      </c>
      <c r="G266" s="6">
        <v>547</v>
      </c>
      <c r="H266" s="6">
        <v>316</v>
      </c>
      <c r="I266" s="6">
        <v>32120</v>
      </c>
      <c r="J266" s="6">
        <v>31736</v>
      </c>
      <c r="K266" s="6">
        <v>225</v>
      </c>
      <c r="L266" s="6" t="s">
        <v>43</v>
      </c>
      <c r="M266" s="6" t="s">
        <v>11</v>
      </c>
      <c r="N266" s="14">
        <f>(Posts1114[[#This Row],[Likes]]+Posts1114[[#This Row],[Shares]]+Posts1114[[#This Row],[Comments]])/Posts1114[[#This Row],[Impressions]]</f>
        <v>7.6867995018679955E-2</v>
      </c>
    </row>
    <row r="267" spans="1:14" hidden="1">
      <c r="A267" s="9" t="s">
        <v>87</v>
      </c>
      <c r="B267" s="5" t="s">
        <v>55</v>
      </c>
      <c r="C267" s="10">
        <v>45602</v>
      </c>
      <c r="D267" s="5" t="s">
        <v>75</v>
      </c>
      <c r="E267" s="5" t="s">
        <v>76</v>
      </c>
      <c r="F267" s="5">
        <v>1606</v>
      </c>
      <c r="G267" s="5">
        <v>547</v>
      </c>
      <c r="H267" s="5">
        <v>316</v>
      </c>
      <c r="I267" s="5">
        <v>32120</v>
      </c>
      <c r="J267" s="5">
        <v>31736</v>
      </c>
      <c r="K267" s="5">
        <v>225</v>
      </c>
      <c r="L267" s="5" t="s">
        <v>39</v>
      </c>
      <c r="M267" s="5" t="s">
        <v>11</v>
      </c>
      <c r="N267" s="13">
        <f>(Posts1114[[#This Row],[Likes]]+Posts1114[[#This Row],[Shares]]+Posts1114[[#This Row],[Comments]])/Posts1114[[#This Row],[Impressions]]</f>
        <v>7.6867995018679955E-2</v>
      </c>
    </row>
    <row r="268" spans="1:14" hidden="1">
      <c r="A268" s="11" t="s">
        <v>102</v>
      </c>
      <c r="B268" s="6" t="s">
        <v>49</v>
      </c>
      <c r="C268" s="12">
        <v>45766</v>
      </c>
      <c r="D268" s="6" t="s">
        <v>50</v>
      </c>
      <c r="E268" s="6" t="s">
        <v>51</v>
      </c>
      <c r="F268" s="6">
        <v>4518</v>
      </c>
      <c r="G268" s="6">
        <v>285</v>
      </c>
      <c r="H268" s="6">
        <v>383</v>
      </c>
      <c r="I268" s="6">
        <v>67770</v>
      </c>
      <c r="J268" s="6">
        <v>67621</v>
      </c>
      <c r="K268" s="6">
        <v>31</v>
      </c>
      <c r="L268" s="6" t="s">
        <v>52</v>
      </c>
      <c r="M268" s="6" t="s">
        <v>11</v>
      </c>
      <c r="N268" s="14">
        <f>(Posts1114[[#This Row],[Likes]]+Posts1114[[#This Row],[Shares]]+Posts1114[[#This Row],[Comments]])/Posts1114[[#This Row],[Impressions]]</f>
        <v>7.6523535487678915E-2</v>
      </c>
    </row>
    <row r="269" spans="1:14" hidden="1">
      <c r="A269" s="9" t="s">
        <v>40</v>
      </c>
      <c r="B269" s="5" t="s">
        <v>35</v>
      </c>
      <c r="C269" s="10">
        <v>45750</v>
      </c>
      <c r="D269" s="5" t="s">
        <v>41</v>
      </c>
      <c r="E269" s="5" t="s">
        <v>42</v>
      </c>
      <c r="F269" s="5">
        <v>4054</v>
      </c>
      <c r="G269" s="5">
        <v>389</v>
      </c>
      <c r="H269" s="5">
        <v>493</v>
      </c>
      <c r="I269" s="5">
        <v>64864</v>
      </c>
      <c r="J269" s="5">
        <v>64383</v>
      </c>
      <c r="K269" s="5">
        <v>117</v>
      </c>
      <c r="L269" s="5" t="s">
        <v>43</v>
      </c>
      <c r="M269" s="5" t="s">
        <v>11</v>
      </c>
      <c r="N269" s="13">
        <f>(Posts1114[[#This Row],[Likes]]+Posts1114[[#This Row],[Shares]]+Posts1114[[#This Row],[Comments]])/Posts1114[[#This Row],[Impressions]]</f>
        <v>7.6097681302417369E-2</v>
      </c>
    </row>
    <row r="270" spans="1:14" hidden="1">
      <c r="A270" s="11" t="s">
        <v>40</v>
      </c>
      <c r="B270" s="6" t="s">
        <v>35</v>
      </c>
      <c r="C270" s="12">
        <v>45750</v>
      </c>
      <c r="D270" s="6" t="s">
        <v>41</v>
      </c>
      <c r="E270" s="6" t="s">
        <v>42</v>
      </c>
      <c r="F270" s="6">
        <v>4054</v>
      </c>
      <c r="G270" s="6">
        <v>389</v>
      </c>
      <c r="H270" s="6">
        <v>493</v>
      </c>
      <c r="I270" s="6">
        <v>64864</v>
      </c>
      <c r="J270" s="6">
        <v>64383</v>
      </c>
      <c r="K270" s="6">
        <v>117</v>
      </c>
      <c r="L270" s="6" t="s">
        <v>44</v>
      </c>
      <c r="M270" s="6" t="s">
        <v>11</v>
      </c>
      <c r="N270" s="14">
        <f>(Posts1114[[#This Row],[Likes]]+Posts1114[[#This Row],[Shares]]+Posts1114[[#This Row],[Comments]])/Posts1114[[#This Row],[Impressions]]</f>
        <v>7.6097681302417369E-2</v>
      </c>
    </row>
    <row r="271" spans="1:14" hidden="1">
      <c r="A271" s="9" t="s">
        <v>306</v>
      </c>
      <c r="B271" s="5" t="s">
        <v>55</v>
      </c>
      <c r="C271" s="10">
        <v>45444</v>
      </c>
      <c r="D271" s="5" t="s">
        <v>41</v>
      </c>
      <c r="E271" s="5" t="s">
        <v>64</v>
      </c>
      <c r="F271" s="5">
        <v>1272</v>
      </c>
      <c r="G271" s="5">
        <v>465</v>
      </c>
      <c r="H271" s="5">
        <v>99</v>
      </c>
      <c r="I271" s="5">
        <v>24168</v>
      </c>
      <c r="J271" s="5">
        <v>23719</v>
      </c>
      <c r="K271" s="5">
        <v>42</v>
      </c>
      <c r="L271" s="5" t="s">
        <v>43</v>
      </c>
      <c r="M271" s="5"/>
      <c r="N271" s="13">
        <f>(Posts1114[[#This Row],[Likes]]+Posts1114[[#This Row],[Shares]]+Posts1114[[#This Row],[Comments]])/Posts1114[[#This Row],[Impressions]]</f>
        <v>7.5968222442899705E-2</v>
      </c>
    </row>
    <row r="272" spans="1:14" hidden="1">
      <c r="A272" s="11" t="s">
        <v>70</v>
      </c>
      <c r="B272" s="6" t="s">
        <v>46</v>
      </c>
      <c r="C272" s="12">
        <v>45614</v>
      </c>
      <c r="D272" s="6" t="s">
        <v>56</v>
      </c>
      <c r="E272" s="6" t="s">
        <v>71</v>
      </c>
      <c r="F272" s="6">
        <v>1171</v>
      </c>
      <c r="G272" s="6">
        <v>286</v>
      </c>
      <c r="H272" s="6">
        <v>231</v>
      </c>
      <c r="I272" s="6">
        <v>22249</v>
      </c>
      <c r="J272" s="6">
        <v>21282</v>
      </c>
      <c r="K272" s="6">
        <v>114</v>
      </c>
      <c r="L272" s="6" t="s">
        <v>52</v>
      </c>
      <c r="M272" s="6" t="s">
        <v>7</v>
      </c>
      <c r="N272" s="14">
        <f>(Posts1114[[#This Row],[Likes]]+Posts1114[[#This Row],[Shares]]+Posts1114[[#This Row],[Comments]])/Posts1114[[#This Row],[Impressions]]</f>
        <v>7.5868578363072495E-2</v>
      </c>
    </row>
    <row r="273" spans="1:14" hidden="1">
      <c r="A273" s="9" t="s">
        <v>77</v>
      </c>
      <c r="B273" s="5" t="s">
        <v>55</v>
      </c>
      <c r="C273" s="10">
        <v>45530</v>
      </c>
      <c r="D273" s="5" t="s">
        <v>41</v>
      </c>
      <c r="E273" s="5" t="s">
        <v>64</v>
      </c>
      <c r="F273" s="5">
        <v>3452</v>
      </c>
      <c r="G273" s="5">
        <v>377</v>
      </c>
      <c r="H273" s="5">
        <v>360</v>
      </c>
      <c r="I273" s="5">
        <v>55232</v>
      </c>
      <c r="J273" s="5">
        <v>55075</v>
      </c>
      <c r="K273" s="5">
        <v>87</v>
      </c>
      <c r="L273" s="5" t="s">
        <v>38</v>
      </c>
      <c r="M273" s="5" t="s">
        <v>15</v>
      </c>
      <c r="N273" s="13">
        <f>(Posts1114[[#This Row],[Likes]]+Posts1114[[#This Row],[Shares]]+Posts1114[[#This Row],[Comments]])/Posts1114[[#This Row],[Impressions]]</f>
        <v>7.5843713789107758E-2</v>
      </c>
    </row>
    <row r="274" spans="1:14" hidden="1">
      <c r="A274" s="11" t="s">
        <v>251</v>
      </c>
      <c r="B274" s="6" t="s">
        <v>55</v>
      </c>
      <c r="C274" s="12">
        <v>45488</v>
      </c>
      <c r="D274" s="6" t="s">
        <v>56</v>
      </c>
      <c r="E274" s="6" t="s">
        <v>57</v>
      </c>
      <c r="F274" s="6">
        <v>3796</v>
      </c>
      <c r="G274" s="6">
        <v>667</v>
      </c>
      <c r="H274" s="6">
        <v>395</v>
      </c>
      <c r="I274" s="6">
        <v>64532</v>
      </c>
      <c r="J274" s="6">
        <v>63550</v>
      </c>
      <c r="K274" s="6">
        <v>292</v>
      </c>
      <c r="L274" s="6" t="s">
        <v>43</v>
      </c>
      <c r="M274" s="6"/>
      <c r="N274" s="14">
        <f>(Posts1114[[#This Row],[Likes]]+Posts1114[[#This Row],[Shares]]+Posts1114[[#This Row],[Comments]])/Posts1114[[#This Row],[Impressions]]</f>
        <v>7.5280481001673588E-2</v>
      </c>
    </row>
    <row r="275" spans="1:14" hidden="1">
      <c r="A275" s="9" t="s">
        <v>112</v>
      </c>
      <c r="B275" s="5" t="s">
        <v>55</v>
      </c>
      <c r="C275" s="10">
        <v>45597</v>
      </c>
      <c r="D275" s="5" t="s">
        <v>75</v>
      </c>
      <c r="E275" s="5" t="s">
        <v>76</v>
      </c>
      <c r="F275" s="5">
        <v>3371</v>
      </c>
      <c r="G275" s="5">
        <v>106</v>
      </c>
      <c r="H275" s="5">
        <v>327</v>
      </c>
      <c r="I275" s="5">
        <v>50565</v>
      </c>
      <c r="J275" s="5">
        <v>49816</v>
      </c>
      <c r="K275" s="5">
        <v>176</v>
      </c>
      <c r="L275" s="5" t="s">
        <v>38</v>
      </c>
      <c r="M275" s="5" t="s">
        <v>7</v>
      </c>
      <c r="N275" s="13">
        <f>(Posts1114[[#This Row],[Likes]]+Posts1114[[#This Row],[Shares]]+Posts1114[[#This Row],[Comments]])/Posts1114[[#This Row],[Impressions]]</f>
        <v>7.5229902106199939E-2</v>
      </c>
    </row>
    <row r="276" spans="1:14" hidden="1">
      <c r="A276" s="9" t="s">
        <v>240</v>
      </c>
      <c r="B276" s="5" t="s">
        <v>55</v>
      </c>
      <c r="C276" s="10">
        <v>45608</v>
      </c>
      <c r="D276" s="5" t="s">
        <v>41</v>
      </c>
      <c r="E276" s="5" t="s">
        <v>64</v>
      </c>
      <c r="F276" s="5">
        <v>2418</v>
      </c>
      <c r="G276" s="5">
        <v>754</v>
      </c>
      <c r="H276" s="5">
        <v>54</v>
      </c>
      <c r="I276" s="5">
        <v>43524</v>
      </c>
      <c r="J276" s="5">
        <v>42743</v>
      </c>
      <c r="K276" s="5">
        <v>182</v>
      </c>
      <c r="L276" s="5" t="s">
        <v>52</v>
      </c>
      <c r="M276" s="5" t="s">
        <v>7</v>
      </c>
      <c r="N276" s="13">
        <f>(Posts1114[[#This Row],[Likes]]+Posts1114[[#This Row],[Shares]]+Posts1114[[#This Row],[Comments]])/Posts1114[[#This Row],[Impressions]]</f>
        <v>7.412002573292896E-2</v>
      </c>
    </row>
    <row r="277" spans="1:14" hidden="1">
      <c r="A277" s="11" t="s">
        <v>183</v>
      </c>
      <c r="B277" s="6" t="s">
        <v>46</v>
      </c>
      <c r="C277" s="12">
        <v>45619</v>
      </c>
      <c r="D277" s="6" t="s">
        <v>61</v>
      </c>
      <c r="E277" s="6" t="s">
        <v>62</v>
      </c>
      <c r="F277" s="6">
        <v>2719</v>
      </c>
      <c r="G277" s="6">
        <v>17</v>
      </c>
      <c r="H277" s="6">
        <v>285</v>
      </c>
      <c r="I277" s="6">
        <v>40785</v>
      </c>
      <c r="J277" s="6">
        <v>40281</v>
      </c>
      <c r="K277" s="6">
        <v>40</v>
      </c>
      <c r="L277" s="6" t="s">
        <v>43</v>
      </c>
      <c r="M277" s="6" t="s">
        <v>11</v>
      </c>
      <c r="N277" s="14">
        <f>(Posts1114[[#This Row],[Likes]]+Posts1114[[#This Row],[Shares]]+Posts1114[[#This Row],[Comments]])/Posts1114[[#This Row],[Impressions]]</f>
        <v>7.4071349760941527E-2</v>
      </c>
    </row>
    <row r="278" spans="1:14" hidden="1">
      <c r="A278" s="11" t="s">
        <v>173</v>
      </c>
      <c r="B278" s="6" t="s">
        <v>46</v>
      </c>
      <c r="C278" s="12">
        <v>45583</v>
      </c>
      <c r="D278" s="6" t="s">
        <v>75</v>
      </c>
      <c r="E278" s="6" t="s">
        <v>155</v>
      </c>
      <c r="F278" s="6">
        <v>4450</v>
      </c>
      <c r="G278" s="6">
        <v>983</v>
      </c>
      <c r="H278" s="6">
        <v>143</v>
      </c>
      <c r="I278" s="6">
        <v>75650</v>
      </c>
      <c r="J278" s="6">
        <v>75008</v>
      </c>
      <c r="K278" s="6">
        <v>12</v>
      </c>
      <c r="L278" s="6" t="s">
        <v>38</v>
      </c>
      <c r="M278" s="6" t="s">
        <v>15</v>
      </c>
      <c r="N278" s="14">
        <f>(Posts1114[[#This Row],[Likes]]+Posts1114[[#This Row],[Shares]]+Posts1114[[#This Row],[Comments]])/Posts1114[[#This Row],[Impressions]]</f>
        <v>7.3707865168539333E-2</v>
      </c>
    </row>
    <row r="279" spans="1:14" hidden="1">
      <c r="A279" s="11" t="s">
        <v>116</v>
      </c>
      <c r="B279" s="6" t="s">
        <v>35</v>
      </c>
      <c r="C279" s="12">
        <v>45727</v>
      </c>
      <c r="D279" s="6" t="s">
        <v>50</v>
      </c>
      <c r="E279" s="6" t="s">
        <v>117</v>
      </c>
      <c r="F279" s="6">
        <v>1950</v>
      </c>
      <c r="G279" s="6">
        <v>295</v>
      </c>
      <c r="H279" s="6">
        <v>478</v>
      </c>
      <c r="I279" s="6">
        <v>37050</v>
      </c>
      <c r="J279" s="6">
        <v>36272</v>
      </c>
      <c r="K279" s="6">
        <v>119</v>
      </c>
      <c r="L279" s="6" t="s">
        <v>43</v>
      </c>
      <c r="M279" s="6"/>
      <c r="N279" s="14">
        <f>(Posts1114[[#This Row],[Likes]]+Posts1114[[#This Row],[Shares]]+Posts1114[[#This Row],[Comments]])/Posts1114[[#This Row],[Impressions]]</f>
        <v>7.349527665317139E-2</v>
      </c>
    </row>
    <row r="280" spans="1:14" hidden="1">
      <c r="A280" s="9" t="s">
        <v>322</v>
      </c>
      <c r="B280" s="5" t="s">
        <v>55</v>
      </c>
      <c r="C280" s="10">
        <v>45465</v>
      </c>
      <c r="D280" s="5" t="s">
        <v>36</v>
      </c>
      <c r="E280" s="5" t="s">
        <v>69</v>
      </c>
      <c r="F280" s="5">
        <v>3813</v>
      </c>
      <c r="G280" s="5">
        <v>935</v>
      </c>
      <c r="H280" s="5">
        <v>274</v>
      </c>
      <c r="I280" s="5">
        <v>68634</v>
      </c>
      <c r="J280" s="5">
        <v>68488</v>
      </c>
      <c r="K280" s="5">
        <v>251</v>
      </c>
      <c r="L280" s="5" t="s">
        <v>38</v>
      </c>
      <c r="M280" s="5"/>
      <c r="N280" s="13">
        <f>(Posts1114[[#This Row],[Likes]]+Posts1114[[#This Row],[Shares]]+Posts1114[[#This Row],[Comments]])/Posts1114[[#This Row],[Impressions]]</f>
        <v>7.3170731707317069E-2</v>
      </c>
    </row>
    <row r="281" spans="1:14" hidden="1">
      <c r="A281" s="11" t="s">
        <v>361</v>
      </c>
      <c r="B281" s="6" t="s">
        <v>55</v>
      </c>
      <c r="C281" s="12">
        <v>45624</v>
      </c>
      <c r="D281" s="6" t="s">
        <v>56</v>
      </c>
      <c r="E281" s="6" t="s">
        <v>57</v>
      </c>
      <c r="F281" s="6">
        <v>2751</v>
      </c>
      <c r="G281" s="6">
        <v>33</v>
      </c>
      <c r="H281" s="6">
        <v>430</v>
      </c>
      <c r="I281" s="6">
        <v>44016</v>
      </c>
      <c r="J281" s="6">
        <v>43415</v>
      </c>
      <c r="K281" s="6">
        <v>129</v>
      </c>
      <c r="L281" s="6" t="s">
        <v>38</v>
      </c>
      <c r="M281" s="6"/>
      <c r="N281" s="14">
        <f>(Posts1114[[#This Row],[Likes]]+Posts1114[[#This Row],[Shares]]+Posts1114[[#This Row],[Comments]])/Posts1114[[#This Row],[Impressions]]</f>
        <v>7.3018902217375503E-2</v>
      </c>
    </row>
    <row r="282" spans="1:14" hidden="1">
      <c r="A282" s="11" t="s">
        <v>305</v>
      </c>
      <c r="B282" s="6" t="s">
        <v>55</v>
      </c>
      <c r="C282" s="12">
        <v>45724</v>
      </c>
      <c r="D282" s="6" t="s">
        <v>61</v>
      </c>
      <c r="E282" s="6" t="s">
        <v>66</v>
      </c>
      <c r="F282" s="6">
        <v>2382</v>
      </c>
      <c r="G282" s="6">
        <v>265</v>
      </c>
      <c r="H282" s="6">
        <v>134</v>
      </c>
      <c r="I282" s="6">
        <v>38112</v>
      </c>
      <c r="J282" s="6">
        <v>37437</v>
      </c>
      <c r="K282" s="6">
        <v>249</v>
      </c>
      <c r="L282" s="6" t="s">
        <v>38</v>
      </c>
      <c r="M282" s="6" t="s">
        <v>19</v>
      </c>
      <c r="N282" s="14">
        <f>(Posts1114[[#This Row],[Likes]]+Posts1114[[#This Row],[Shares]]+Posts1114[[#This Row],[Comments]])/Posts1114[[#This Row],[Impressions]]</f>
        <v>7.2969143576826198E-2</v>
      </c>
    </row>
    <row r="283" spans="1:14" hidden="1">
      <c r="A283" s="9" t="s">
        <v>244</v>
      </c>
      <c r="B283" s="5" t="s">
        <v>55</v>
      </c>
      <c r="C283" s="10">
        <v>45518</v>
      </c>
      <c r="D283" s="5" t="s">
        <v>56</v>
      </c>
      <c r="E283" s="5" t="s">
        <v>57</v>
      </c>
      <c r="F283" s="5">
        <v>3073</v>
      </c>
      <c r="G283" s="5">
        <v>553</v>
      </c>
      <c r="H283" s="5">
        <v>174</v>
      </c>
      <c r="I283" s="5">
        <v>52241</v>
      </c>
      <c r="J283" s="5">
        <v>51605</v>
      </c>
      <c r="K283" s="5">
        <v>246</v>
      </c>
      <c r="L283" s="5" t="s">
        <v>52</v>
      </c>
      <c r="M283" s="5" t="s">
        <v>15</v>
      </c>
      <c r="N283" s="13">
        <f>(Posts1114[[#This Row],[Likes]]+Posts1114[[#This Row],[Shares]]+Posts1114[[#This Row],[Comments]])/Posts1114[[#This Row],[Impressions]]</f>
        <v>7.2739802071170159E-2</v>
      </c>
    </row>
    <row r="284" spans="1:14" hidden="1">
      <c r="A284" s="9" t="s">
        <v>310</v>
      </c>
      <c r="B284" s="5" t="s">
        <v>35</v>
      </c>
      <c r="C284" s="10">
        <v>45489</v>
      </c>
      <c r="D284" s="5" t="s">
        <v>41</v>
      </c>
      <c r="E284" s="5" t="s">
        <v>42</v>
      </c>
      <c r="F284" s="5">
        <v>4725</v>
      </c>
      <c r="G284" s="5">
        <v>400</v>
      </c>
      <c r="H284" s="5">
        <v>362</v>
      </c>
      <c r="I284" s="5">
        <v>75600</v>
      </c>
      <c r="J284" s="5">
        <v>74927</v>
      </c>
      <c r="K284" s="5">
        <v>43</v>
      </c>
      <c r="L284" s="5" t="s">
        <v>38</v>
      </c>
      <c r="M284" s="5" t="s">
        <v>19</v>
      </c>
      <c r="N284" s="13">
        <f>(Posts1114[[#This Row],[Likes]]+Posts1114[[#This Row],[Shares]]+Posts1114[[#This Row],[Comments]])/Posts1114[[#This Row],[Impressions]]</f>
        <v>7.2579365079365077E-2</v>
      </c>
    </row>
    <row r="285" spans="1:14" hidden="1">
      <c r="A285" s="11" t="s">
        <v>261</v>
      </c>
      <c r="B285" s="6" t="s">
        <v>55</v>
      </c>
      <c r="C285" s="12">
        <v>45740</v>
      </c>
      <c r="D285" s="6" t="s">
        <v>36</v>
      </c>
      <c r="E285" s="6" t="s">
        <v>69</v>
      </c>
      <c r="F285" s="6">
        <v>3360</v>
      </c>
      <c r="G285" s="6">
        <v>525</v>
      </c>
      <c r="H285" s="6">
        <v>500</v>
      </c>
      <c r="I285" s="6">
        <v>60480</v>
      </c>
      <c r="J285" s="6">
        <v>59610</v>
      </c>
      <c r="K285" s="6">
        <v>192</v>
      </c>
      <c r="L285" s="6" t="s">
        <v>43</v>
      </c>
      <c r="M285" s="6" t="s">
        <v>7</v>
      </c>
      <c r="N285" s="14">
        <f>(Posts1114[[#This Row],[Likes]]+Posts1114[[#This Row],[Shares]]+Posts1114[[#This Row],[Comments]])/Posts1114[[#This Row],[Impressions]]</f>
        <v>7.2503306878306875E-2</v>
      </c>
    </row>
    <row r="286" spans="1:14" hidden="1">
      <c r="A286" s="9" t="s">
        <v>105</v>
      </c>
      <c r="B286" s="5" t="s">
        <v>55</v>
      </c>
      <c r="C286" s="10">
        <v>45621</v>
      </c>
      <c r="D286" s="5" t="s">
        <v>61</v>
      </c>
      <c r="E286" s="5" t="s">
        <v>66</v>
      </c>
      <c r="F286" s="5">
        <v>3564</v>
      </c>
      <c r="G286" s="5">
        <v>629</v>
      </c>
      <c r="H286" s="5">
        <v>177</v>
      </c>
      <c r="I286" s="5">
        <v>60588</v>
      </c>
      <c r="J286" s="5">
        <v>59627</v>
      </c>
      <c r="K286" s="5">
        <v>92</v>
      </c>
      <c r="L286" s="5" t="s">
        <v>43</v>
      </c>
      <c r="M286" s="5"/>
      <c r="N286" s="13">
        <f>(Posts1114[[#This Row],[Likes]]+Posts1114[[#This Row],[Shares]]+Posts1114[[#This Row],[Comments]])/Posts1114[[#This Row],[Impressions]]</f>
        <v>7.2126493695121141E-2</v>
      </c>
    </row>
    <row r="287" spans="1:14" hidden="1">
      <c r="A287" s="9" t="s">
        <v>287</v>
      </c>
      <c r="B287" s="5" t="s">
        <v>55</v>
      </c>
      <c r="C287" s="10">
        <v>45783</v>
      </c>
      <c r="D287" s="5" t="s">
        <v>61</v>
      </c>
      <c r="E287" s="5" t="s">
        <v>66</v>
      </c>
      <c r="F287" s="5">
        <v>4872</v>
      </c>
      <c r="G287" s="5">
        <v>925</v>
      </c>
      <c r="H287" s="5">
        <v>176</v>
      </c>
      <c r="I287" s="5">
        <v>82824</v>
      </c>
      <c r="J287" s="5">
        <v>82543</v>
      </c>
      <c r="K287" s="5">
        <v>89</v>
      </c>
      <c r="L287" s="5" t="s">
        <v>52</v>
      </c>
      <c r="M287" s="5" t="s">
        <v>11</v>
      </c>
      <c r="N287" s="13">
        <f>(Posts1114[[#This Row],[Likes]]+Posts1114[[#This Row],[Shares]]+Posts1114[[#This Row],[Comments]])/Posts1114[[#This Row],[Impressions]]</f>
        <v>7.2116777745580993E-2</v>
      </c>
    </row>
    <row r="288" spans="1:14" hidden="1">
      <c r="A288" s="11" t="s">
        <v>88</v>
      </c>
      <c r="B288" s="6" t="s">
        <v>55</v>
      </c>
      <c r="C288" s="12">
        <v>45680</v>
      </c>
      <c r="D288" s="6" t="s">
        <v>75</v>
      </c>
      <c r="E288" s="6" t="s">
        <v>76</v>
      </c>
      <c r="F288" s="6">
        <v>3961</v>
      </c>
      <c r="G288" s="6">
        <v>761</v>
      </c>
      <c r="H288" s="6">
        <v>131</v>
      </c>
      <c r="I288" s="6">
        <v>67337</v>
      </c>
      <c r="J288" s="6">
        <v>66615</v>
      </c>
      <c r="K288" s="6">
        <v>161</v>
      </c>
      <c r="L288" s="6" t="s">
        <v>38</v>
      </c>
      <c r="M288" s="6" t="s">
        <v>15</v>
      </c>
      <c r="N288" s="14">
        <f>(Posts1114[[#This Row],[Likes]]+Posts1114[[#This Row],[Shares]]+Posts1114[[#This Row],[Comments]])/Posts1114[[#This Row],[Impressions]]</f>
        <v>7.2070332803659209E-2</v>
      </c>
    </row>
    <row r="289" spans="1:14" hidden="1">
      <c r="A289" s="11" t="s">
        <v>171</v>
      </c>
      <c r="B289" s="6" t="s">
        <v>46</v>
      </c>
      <c r="C289" s="12">
        <v>45475</v>
      </c>
      <c r="D289" s="6" t="s">
        <v>56</v>
      </c>
      <c r="E289" s="6" t="s">
        <v>71</v>
      </c>
      <c r="F289" s="6">
        <v>4171</v>
      </c>
      <c r="G289" s="6">
        <v>548</v>
      </c>
      <c r="H289" s="6">
        <v>86</v>
      </c>
      <c r="I289" s="6">
        <v>66736</v>
      </c>
      <c r="J289" s="6">
        <v>66634</v>
      </c>
      <c r="K289" s="6">
        <v>173</v>
      </c>
      <c r="L289" s="6" t="s">
        <v>38</v>
      </c>
      <c r="M289" s="6" t="s">
        <v>15</v>
      </c>
      <c r="N289" s="14">
        <f>(Posts1114[[#This Row],[Likes]]+Posts1114[[#This Row],[Shares]]+Posts1114[[#This Row],[Comments]])/Posts1114[[#This Row],[Impressions]]</f>
        <v>7.2000119875329657E-2</v>
      </c>
    </row>
    <row r="290" spans="1:14" hidden="1">
      <c r="A290" s="9" t="s">
        <v>65</v>
      </c>
      <c r="B290" s="5" t="s">
        <v>55</v>
      </c>
      <c r="C290" s="10">
        <v>45727</v>
      </c>
      <c r="D290" s="5" t="s">
        <v>61</v>
      </c>
      <c r="E290" s="5" t="s">
        <v>66</v>
      </c>
      <c r="F290" s="5">
        <v>4241</v>
      </c>
      <c r="G290" s="5">
        <v>902</v>
      </c>
      <c r="H290" s="5">
        <v>47</v>
      </c>
      <c r="I290" s="5">
        <v>72097</v>
      </c>
      <c r="J290" s="5">
        <v>71598</v>
      </c>
      <c r="K290" s="5">
        <v>167</v>
      </c>
      <c r="L290" s="5" t="s">
        <v>43</v>
      </c>
      <c r="M290" s="5" t="s">
        <v>11</v>
      </c>
      <c r="N290" s="13">
        <f>(Posts1114[[#This Row],[Likes]]+Posts1114[[#This Row],[Shares]]+Posts1114[[#This Row],[Comments]])/Posts1114[[#This Row],[Impressions]]</f>
        <v>7.198635172059864E-2</v>
      </c>
    </row>
    <row r="291" spans="1:14" hidden="1">
      <c r="A291" s="11" t="s">
        <v>363</v>
      </c>
      <c r="B291" s="6" t="s">
        <v>55</v>
      </c>
      <c r="C291" s="12">
        <v>45602</v>
      </c>
      <c r="D291" s="6" t="s">
        <v>75</v>
      </c>
      <c r="E291" s="6" t="s">
        <v>76</v>
      </c>
      <c r="F291" s="6">
        <v>4663</v>
      </c>
      <c r="G291" s="6">
        <v>145</v>
      </c>
      <c r="H291" s="6">
        <v>225</v>
      </c>
      <c r="I291" s="6">
        <v>69945</v>
      </c>
      <c r="J291" s="6">
        <v>69596</v>
      </c>
      <c r="K291" s="6">
        <v>35</v>
      </c>
      <c r="L291" s="6" t="s">
        <v>52</v>
      </c>
      <c r="M291" s="6" t="s">
        <v>19</v>
      </c>
      <c r="N291" s="14">
        <f>(Posts1114[[#This Row],[Likes]]+Posts1114[[#This Row],[Shares]]+Posts1114[[#This Row],[Comments]])/Posts1114[[#This Row],[Impressions]]</f>
        <v>7.1956537279290869E-2</v>
      </c>
    </row>
    <row r="292" spans="1:14" hidden="1">
      <c r="A292" s="9" t="s">
        <v>205</v>
      </c>
      <c r="B292" s="5" t="s">
        <v>55</v>
      </c>
      <c r="C292" s="10">
        <v>45694</v>
      </c>
      <c r="D292" s="5" t="s">
        <v>61</v>
      </c>
      <c r="E292" s="5" t="s">
        <v>66</v>
      </c>
      <c r="F292" s="5">
        <v>2072</v>
      </c>
      <c r="G292" s="5">
        <v>532</v>
      </c>
      <c r="H292" s="5">
        <v>71</v>
      </c>
      <c r="I292" s="5">
        <v>37296</v>
      </c>
      <c r="J292" s="5">
        <v>36467</v>
      </c>
      <c r="K292" s="5">
        <v>25</v>
      </c>
      <c r="L292" s="5" t="s">
        <v>43</v>
      </c>
      <c r="M292" s="5" t="s">
        <v>19</v>
      </c>
      <c r="N292" s="13">
        <f>(Posts1114[[#This Row],[Likes]]+Posts1114[[#This Row],[Shares]]+Posts1114[[#This Row],[Comments]])/Posts1114[[#This Row],[Impressions]]</f>
        <v>7.172350922350923E-2</v>
      </c>
    </row>
    <row r="293" spans="1:14" hidden="1">
      <c r="A293" s="9" t="s">
        <v>91</v>
      </c>
      <c r="B293" s="5" t="s">
        <v>46</v>
      </c>
      <c r="C293" s="10">
        <v>45552</v>
      </c>
      <c r="D293" s="5" t="s">
        <v>41</v>
      </c>
      <c r="E293" s="5" t="s">
        <v>92</v>
      </c>
      <c r="F293" s="5">
        <v>2076</v>
      </c>
      <c r="G293" s="5">
        <v>195</v>
      </c>
      <c r="H293" s="5">
        <v>104</v>
      </c>
      <c r="I293" s="5">
        <v>33216</v>
      </c>
      <c r="J293" s="5">
        <v>32244</v>
      </c>
      <c r="K293" s="5">
        <v>51</v>
      </c>
      <c r="L293" s="5" t="s">
        <v>38</v>
      </c>
      <c r="M293" s="5" t="s">
        <v>19</v>
      </c>
      <c r="N293" s="13">
        <f>(Posts1114[[#This Row],[Likes]]+Posts1114[[#This Row],[Shares]]+Posts1114[[#This Row],[Comments]])/Posts1114[[#This Row],[Impressions]]</f>
        <v>7.1501685934489398E-2</v>
      </c>
    </row>
    <row r="294" spans="1:14" hidden="1">
      <c r="A294" s="11" t="s">
        <v>206</v>
      </c>
      <c r="B294" s="6" t="s">
        <v>35</v>
      </c>
      <c r="C294" s="12">
        <v>45771</v>
      </c>
      <c r="D294" s="6" t="s">
        <v>36</v>
      </c>
      <c r="E294" s="6" t="s">
        <v>37</v>
      </c>
      <c r="F294" s="6">
        <v>3731</v>
      </c>
      <c r="G294" s="6">
        <v>115</v>
      </c>
      <c r="H294" s="6">
        <v>135</v>
      </c>
      <c r="I294" s="6">
        <v>55965</v>
      </c>
      <c r="J294" s="6">
        <v>55436</v>
      </c>
      <c r="K294" s="6">
        <v>103</v>
      </c>
      <c r="L294" s="6" t="s">
        <v>43</v>
      </c>
      <c r="M294" s="6" t="s">
        <v>7</v>
      </c>
      <c r="N294" s="14">
        <f>(Posts1114[[#This Row],[Likes]]+Posts1114[[#This Row],[Shares]]+Posts1114[[#This Row],[Comments]])/Posts1114[[#This Row],[Impressions]]</f>
        <v>7.1133744304476013E-2</v>
      </c>
    </row>
    <row r="295" spans="1:14" hidden="1">
      <c r="A295" s="11" t="s">
        <v>162</v>
      </c>
      <c r="B295" s="6" t="s">
        <v>49</v>
      </c>
      <c r="C295" s="12">
        <v>45446</v>
      </c>
      <c r="D295" s="6" t="s">
        <v>61</v>
      </c>
      <c r="E295" s="6" t="s">
        <v>153</v>
      </c>
      <c r="F295" s="6">
        <v>3861</v>
      </c>
      <c r="G295" s="6">
        <v>960</v>
      </c>
      <c r="H295" s="6">
        <v>101</v>
      </c>
      <c r="I295" s="6">
        <v>69498</v>
      </c>
      <c r="J295" s="6">
        <v>68817</v>
      </c>
      <c r="K295" s="6">
        <v>297</v>
      </c>
      <c r="L295" s="6" t="s">
        <v>43</v>
      </c>
      <c r="M295" s="6" t="s">
        <v>19</v>
      </c>
      <c r="N295" s="14">
        <f>(Posts1114[[#This Row],[Likes]]+Posts1114[[#This Row],[Shares]]+Posts1114[[#This Row],[Comments]])/Posts1114[[#This Row],[Impressions]]</f>
        <v>7.0822181933293038E-2</v>
      </c>
    </row>
    <row r="296" spans="1:14" hidden="1">
      <c r="A296" s="11" t="s">
        <v>100</v>
      </c>
      <c r="B296" s="6" t="s">
        <v>55</v>
      </c>
      <c r="C296" s="12">
        <v>45742</v>
      </c>
      <c r="D296" s="6" t="s">
        <v>41</v>
      </c>
      <c r="E296" s="6" t="s">
        <v>64</v>
      </c>
      <c r="F296" s="6">
        <v>1652</v>
      </c>
      <c r="G296" s="6">
        <v>89</v>
      </c>
      <c r="H296" s="6">
        <v>357</v>
      </c>
      <c r="I296" s="6">
        <v>29736</v>
      </c>
      <c r="J296" s="6">
        <v>28771</v>
      </c>
      <c r="K296" s="6">
        <v>215</v>
      </c>
      <c r="L296" s="6" t="s">
        <v>43</v>
      </c>
      <c r="M296" s="6" t="s">
        <v>15</v>
      </c>
      <c r="N296" s="14">
        <f>(Posts1114[[#This Row],[Likes]]+Posts1114[[#This Row],[Shares]]+Posts1114[[#This Row],[Comments]])/Posts1114[[#This Row],[Impressions]]</f>
        <v>7.055421038471886E-2</v>
      </c>
    </row>
    <row r="297" spans="1:14" hidden="1">
      <c r="A297" s="11" t="s">
        <v>58</v>
      </c>
      <c r="B297" s="6" t="s">
        <v>35</v>
      </c>
      <c r="C297" s="12">
        <v>45467</v>
      </c>
      <c r="D297" s="6" t="s">
        <v>56</v>
      </c>
      <c r="E297" s="6" t="s">
        <v>59</v>
      </c>
      <c r="F297" s="6">
        <v>3860</v>
      </c>
      <c r="G297" s="6">
        <v>201</v>
      </c>
      <c r="H297" s="6">
        <v>279</v>
      </c>
      <c r="I297" s="6">
        <v>61760</v>
      </c>
      <c r="J297" s="6">
        <v>61660</v>
      </c>
      <c r="K297" s="6">
        <v>235</v>
      </c>
      <c r="L297" s="6" t="s">
        <v>43</v>
      </c>
      <c r="M297" s="6" t="s">
        <v>11</v>
      </c>
      <c r="N297" s="14">
        <f>(Posts1114[[#This Row],[Likes]]+Posts1114[[#This Row],[Shares]]+Posts1114[[#This Row],[Comments]])/Posts1114[[#This Row],[Impressions]]</f>
        <v>7.0272020725388601E-2</v>
      </c>
    </row>
    <row r="298" spans="1:14" hidden="1">
      <c r="A298" s="9" t="s">
        <v>214</v>
      </c>
      <c r="B298" s="5" t="s">
        <v>46</v>
      </c>
      <c r="C298" s="10">
        <v>45741</v>
      </c>
      <c r="D298" s="5" t="s">
        <v>50</v>
      </c>
      <c r="E298" s="5" t="s">
        <v>120</v>
      </c>
      <c r="F298" s="5">
        <v>2070</v>
      </c>
      <c r="G298" s="5">
        <v>275</v>
      </c>
      <c r="H298" s="5">
        <v>386</v>
      </c>
      <c r="I298" s="5">
        <v>39330</v>
      </c>
      <c r="J298" s="5">
        <v>38627</v>
      </c>
      <c r="K298" s="5">
        <v>114</v>
      </c>
      <c r="L298" s="5" t="s">
        <v>38</v>
      </c>
      <c r="M298" s="5" t="s">
        <v>19</v>
      </c>
      <c r="N298" s="13">
        <f>(Posts1114[[#This Row],[Likes]]+Posts1114[[#This Row],[Shares]]+Posts1114[[#This Row],[Comments]])/Posts1114[[#This Row],[Impressions]]</f>
        <v>6.9438087973557078E-2</v>
      </c>
    </row>
    <row r="299" spans="1:14" hidden="1">
      <c r="A299" s="9" t="s">
        <v>199</v>
      </c>
      <c r="B299" s="5" t="s">
        <v>55</v>
      </c>
      <c r="C299" s="10">
        <v>45684</v>
      </c>
      <c r="D299" s="5" t="s">
        <v>36</v>
      </c>
      <c r="E299" s="5" t="s">
        <v>69</v>
      </c>
      <c r="F299" s="5">
        <v>3452</v>
      </c>
      <c r="G299" s="5">
        <v>652</v>
      </c>
      <c r="H299" s="5">
        <v>442</v>
      </c>
      <c r="I299" s="5">
        <v>65588</v>
      </c>
      <c r="J299" s="5">
        <v>65049</v>
      </c>
      <c r="K299" s="5">
        <v>158</v>
      </c>
      <c r="L299" s="5" t="s">
        <v>38</v>
      </c>
      <c r="M299" s="5" t="s">
        <v>15</v>
      </c>
      <c r="N299" s="13">
        <f>(Posts1114[[#This Row],[Likes]]+Posts1114[[#This Row],[Shares]]+Posts1114[[#This Row],[Comments]])/Posts1114[[#This Row],[Impressions]]</f>
        <v>6.9311459413307311E-2</v>
      </c>
    </row>
    <row r="300" spans="1:14" hidden="1">
      <c r="A300" s="9" t="s">
        <v>242</v>
      </c>
      <c r="B300" s="5" t="s">
        <v>35</v>
      </c>
      <c r="C300" s="10">
        <v>45775</v>
      </c>
      <c r="D300" s="5" t="s">
        <v>41</v>
      </c>
      <c r="E300" s="5" t="s">
        <v>42</v>
      </c>
      <c r="F300" s="5">
        <v>3577</v>
      </c>
      <c r="G300" s="5">
        <v>596</v>
      </c>
      <c r="H300" s="5">
        <v>493</v>
      </c>
      <c r="I300" s="5">
        <v>67963</v>
      </c>
      <c r="J300" s="5">
        <v>67839</v>
      </c>
      <c r="K300" s="5">
        <v>53</v>
      </c>
      <c r="L300" s="5" t="s">
        <v>43</v>
      </c>
      <c r="M300" s="5" t="s">
        <v>15</v>
      </c>
      <c r="N300" s="13">
        <f>(Posts1114[[#This Row],[Likes]]+Posts1114[[#This Row],[Shares]]+Posts1114[[#This Row],[Comments]])/Posts1114[[#This Row],[Impressions]]</f>
        <v>6.8655003457763777E-2</v>
      </c>
    </row>
    <row r="301" spans="1:14" hidden="1">
      <c r="A301" s="9" t="s">
        <v>167</v>
      </c>
      <c r="B301" s="5" t="s">
        <v>49</v>
      </c>
      <c r="C301" s="10">
        <v>45604</v>
      </c>
      <c r="D301" s="5" t="s">
        <v>41</v>
      </c>
      <c r="E301" s="5" t="s">
        <v>97</v>
      </c>
      <c r="F301" s="5">
        <v>3182</v>
      </c>
      <c r="G301" s="5">
        <v>559</v>
      </c>
      <c r="H301" s="5">
        <v>160</v>
      </c>
      <c r="I301" s="5">
        <v>57276</v>
      </c>
      <c r="J301" s="5">
        <v>56890</v>
      </c>
      <c r="K301" s="5">
        <v>163</v>
      </c>
      <c r="L301" s="5" t="s">
        <v>38</v>
      </c>
      <c r="M301" s="5" t="s">
        <v>19</v>
      </c>
      <c r="N301" s="13">
        <f>(Posts1114[[#This Row],[Likes]]+Posts1114[[#This Row],[Shares]]+Posts1114[[#This Row],[Comments]])/Posts1114[[#This Row],[Impressions]]</f>
        <v>6.8108806480899509E-2</v>
      </c>
    </row>
    <row r="302" spans="1:14" hidden="1">
      <c r="A302" s="9" t="s">
        <v>360</v>
      </c>
      <c r="B302" s="5" t="s">
        <v>46</v>
      </c>
      <c r="C302" s="10">
        <v>45764</v>
      </c>
      <c r="D302" s="5" t="s">
        <v>56</v>
      </c>
      <c r="E302" s="5" t="s">
        <v>71</v>
      </c>
      <c r="F302" s="5">
        <v>4780</v>
      </c>
      <c r="G302" s="5">
        <v>691</v>
      </c>
      <c r="H302" s="5">
        <v>380</v>
      </c>
      <c r="I302" s="5">
        <v>86040</v>
      </c>
      <c r="J302" s="5">
        <v>85743</v>
      </c>
      <c r="K302" s="5">
        <v>262</v>
      </c>
      <c r="L302" s="5" t="s">
        <v>38</v>
      </c>
      <c r="M302" s="5" t="s">
        <v>15</v>
      </c>
      <c r="N302" s="13">
        <f>(Posts1114[[#This Row],[Likes]]+Posts1114[[#This Row],[Shares]]+Posts1114[[#This Row],[Comments]])/Posts1114[[#This Row],[Impressions]]</f>
        <v>6.800325430032543E-2</v>
      </c>
    </row>
    <row r="303" spans="1:14" hidden="1">
      <c r="A303" s="11" t="s">
        <v>309</v>
      </c>
      <c r="B303" s="6" t="s">
        <v>49</v>
      </c>
      <c r="C303" s="12">
        <v>45587</v>
      </c>
      <c r="D303" s="6" t="s">
        <v>50</v>
      </c>
      <c r="E303" s="6" t="s">
        <v>51</v>
      </c>
      <c r="F303" s="6">
        <v>3770</v>
      </c>
      <c r="G303" s="6">
        <v>917</v>
      </c>
      <c r="H303" s="6">
        <v>129</v>
      </c>
      <c r="I303" s="6">
        <v>71630</v>
      </c>
      <c r="J303" s="6">
        <v>71322</v>
      </c>
      <c r="K303" s="6">
        <v>76</v>
      </c>
      <c r="L303" s="6" t="s">
        <v>38</v>
      </c>
      <c r="M303" s="6" t="s">
        <v>7</v>
      </c>
      <c r="N303" s="14">
        <f>(Posts1114[[#This Row],[Likes]]+Posts1114[[#This Row],[Shares]]+Posts1114[[#This Row],[Comments]])/Posts1114[[#This Row],[Impressions]]</f>
        <v>6.7234398994834563E-2</v>
      </c>
    </row>
    <row r="304" spans="1:14" hidden="1">
      <c r="A304" s="9" t="s">
        <v>342</v>
      </c>
      <c r="B304" s="5" t="s">
        <v>46</v>
      </c>
      <c r="C304" s="10">
        <v>45672</v>
      </c>
      <c r="D304" s="5" t="s">
        <v>36</v>
      </c>
      <c r="E304" s="5" t="s">
        <v>47</v>
      </c>
      <c r="F304" s="5">
        <v>3774</v>
      </c>
      <c r="G304" s="5">
        <v>239</v>
      </c>
      <c r="H304" s="5">
        <v>39</v>
      </c>
      <c r="I304" s="5">
        <v>60384</v>
      </c>
      <c r="J304" s="5">
        <v>59490</v>
      </c>
      <c r="K304" s="5">
        <v>241</v>
      </c>
      <c r="L304" s="5" t="s">
        <v>43</v>
      </c>
      <c r="M304" s="5" t="s">
        <v>15</v>
      </c>
      <c r="N304" s="13">
        <f>(Posts1114[[#This Row],[Likes]]+Posts1114[[#This Row],[Shares]]+Posts1114[[#This Row],[Comments]])/Posts1114[[#This Row],[Impressions]]</f>
        <v>6.7103868574456813E-2</v>
      </c>
    </row>
    <row r="305" spans="1:14" hidden="1">
      <c r="A305" s="9" t="s">
        <v>53</v>
      </c>
      <c r="B305" s="5" t="s">
        <v>46</v>
      </c>
      <c r="C305" s="10">
        <v>45469</v>
      </c>
      <c r="D305" s="5" t="s">
        <v>36</v>
      </c>
      <c r="E305" s="5" t="s">
        <v>47</v>
      </c>
      <c r="F305" s="5">
        <v>3557</v>
      </c>
      <c r="G305" s="5">
        <v>687</v>
      </c>
      <c r="H305" s="5">
        <v>424</v>
      </c>
      <c r="I305" s="5">
        <v>71140</v>
      </c>
      <c r="J305" s="5">
        <v>70701</v>
      </c>
      <c r="K305" s="5">
        <v>224</v>
      </c>
      <c r="L305" s="5" t="s">
        <v>52</v>
      </c>
      <c r="M305" s="5" t="s">
        <v>7</v>
      </c>
      <c r="N305" s="13">
        <f>(Posts1114[[#This Row],[Likes]]+Posts1114[[#This Row],[Shares]]+Posts1114[[#This Row],[Comments]])/Posts1114[[#This Row],[Impressions]]</f>
        <v>6.5617093055946027E-2</v>
      </c>
    </row>
    <row r="306" spans="1:14" hidden="1">
      <c r="A306" s="11" t="s">
        <v>53</v>
      </c>
      <c r="B306" s="6" t="s">
        <v>46</v>
      </c>
      <c r="C306" s="12">
        <v>45469</v>
      </c>
      <c r="D306" s="6" t="s">
        <v>36</v>
      </c>
      <c r="E306" s="6" t="s">
        <v>47</v>
      </c>
      <c r="F306" s="6">
        <v>3557</v>
      </c>
      <c r="G306" s="6">
        <v>687</v>
      </c>
      <c r="H306" s="6">
        <v>424</v>
      </c>
      <c r="I306" s="6">
        <v>71140</v>
      </c>
      <c r="J306" s="6">
        <v>70701</v>
      </c>
      <c r="K306" s="6">
        <v>224</v>
      </c>
      <c r="L306" s="6" t="s">
        <v>43</v>
      </c>
      <c r="M306" s="6" t="s">
        <v>7</v>
      </c>
      <c r="N306" s="14">
        <f>(Posts1114[[#This Row],[Likes]]+Posts1114[[#This Row],[Shares]]+Posts1114[[#This Row],[Comments]])/Posts1114[[#This Row],[Impressions]]</f>
        <v>6.5617093055946027E-2</v>
      </c>
    </row>
    <row r="307" spans="1:14" hidden="1">
      <c r="A307" s="9" t="s">
        <v>158</v>
      </c>
      <c r="B307" s="5" t="s">
        <v>46</v>
      </c>
      <c r="C307" s="10">
        <v>45684</v>
      </c>
      <c r="D307" s="5" t="s">
        <v>41</v>
      </c>
      <c r="E307" s="5" t="s">
        <v>92</v>
      </c>
      <c r="F307" s="5">
        <v>3428</v>
      </c>
      <c r="G307" s="5">
        <v>305</v>
      </c>
      <c r="H307" s="5">
        <v>85</v>
      </c>
      <c r="I307" s="5">
        <v>58276</v>
      </c>
      <c r="J307" s="5">
        <v>58052</v>
      </c>
      <c r="K307" s="5">
        <v>242</v>
      </c>
      <c r="L307" s="5" t="s">
        <v>52</v>
      </c>
      <c r="M307" s="5" t="s">
        <v>19</v>
      </c>
      <c r="N307" s="13">
        <f>(Posts1114[[#This Row],[Likes]]+Posts1114[[#This Row],[Shares]]+Posts1114[[#This Row],[Comments]])/Posts1114[[#This Row],[Impressions]]</f>
        <v>6.5515821264328367E-2</v>
      </c>
    </row>
    <row r="308" spans="1:14" hidden="1">
      <c r="A308" s="11" t="s">
        <v>158</v>
      </c>
      <c r="B308" s="6" t="s">
        <v>46</v>
      </c>
      <c r="C308" s="12">
        <v>45684</v>
      </c>
      <c r="D308" s="6" t="s">
        <v>41</v>
      </c>
      <c r="E308" s="6" t="s">
        <v>92</v>
      </c>
      <c r="F308" s="6">
        <v>3428</v>
      </c>
      <c r="G308" s="6">
        <v>305</v>
      </c>
      <c r="H308" s="6">
        <v>85</v>
      </c>
      <c r="I308" s="6">
        <v>58276</v>
      </c>
      <c r="J308" s="6">
        <v>58052</v>
      </c>
      <c r="K308" s="6">
        <v>242</v>
      </c>
      <c r="L308" s="6" t="s">
        <v>44</v>
      </c>
      <c r="M308" s="6" t="s">
        <v>19</v>
      </c>
      <c r="N308" s="14">
        <f>(Posts1114[[#This Row],[Likes]]+Posts1114[[#This Row],[Shares]]+Posts1114[[#This Row],[Comments]])/Posts1114[[#This Row],[Impressions]]</f>
        <v>6.5515821264328367E-2</v>
      </c>
    </row>
    <row r="309" spans="1:14" hidden="1">
      <c r="A309" s="9" t="s">
        <v>216</v>
      </c>
      <c r="B309" s="5" t="s">
        <v>46</v>
      </c>
      <c r="C309" s="10">
        <v>45593</v>
      </c>
      <c r="D309" s="5" t="s">
        <v>50</v>
      </c>
      <c r="E309" s="5" t="s">
        <v>120</v>
      </c>
      <c r="F309" s="5">
        <v>4929</v>
      </c>
      <c r="G309" s="5">
        <v>749</v>
      </c>
      <c r="H309" s="5">
        <v>452</v>
      </c>
      <c r="I309" s="5">
        <v>93651</v>
      </c>
      <c r="J309" s="5">
        <v>92810</v>
      </c>
      <c r="K309" s="5">
        <v>66</v>
      </c>
      <c r="L309" s="5" t="s">
        <v>52</v>
      </c>
      <c r="M309" s="5" t="s">
        <v>19</v>
      </c>
      <c r="N309" s="13">
        <f>(Posts1114[[#This Row],[Likes]]+Posts1114[[#This Row],[Shares]]+Posts1114[[#This Row],[Comments]])/Posts1114[[#This Row],[Impressions]]</f>
        <v>6.5455787978772245E-2</v>
      </c>
    </row>
    <row r="310" spans="1:14" hidden="1">
      <c r="A310" s="11" t="s">
        <v>269</v>
      </c>
      <c r="B310" s="6" t="s">
        <v>35</v>
      </c>
      <c r="C310" s="12">
        <v>45587</v>
      </c>
      <c r="D310" s="6" t="s">
        <v>36</v>
      </c>
      <c r="E310" s="6" t="s">
        <v>37</v>
      </c>
      <c r="F310" s="6">
        <v>4782</v>
      </c>
      <c r="G310" s="6">
        <v>721</v>
      </c>
      <c r="H310" s="6">
        <v>82</v>
      </c>
      <c r="I310" s="6">
        <v>86076</v>
      </c>
      <c r="J310" s="6">
        <v>85339</v>
      </c>
      <c r="K310" s="6">
        <v>19</v>
      </c>
      <c r="L310" s="6" t="s">
        <v>52</v>
      </c>
      <c r="M310" s="6" t="s">
        <v>7</v>
      </c>
      <c r="N310" s="14">
        <f>(Posts1114[[#This Row],[Likes]]+Posts1114[[#This Row],[Shares]]+Posts1114[[#This Row],[Comments]])/Posts1114[[#This Row],[Impressions]]</f>
        <v>6.4884520656164318E-2</v>
      </c>
    </row>
    <row r="311" spans="1:14" hidden="1">
      <c r="A311" s="9" t="s">
        <v>207</v>
      </c>
      <c r="B311" s="5" t="s">
        <v>55</v>
      </c>
      <c r="C311" s="10">
        <v>45624</v>
      </c>
      <c r="D311" s="5" t="s">
        <v>41</v>
      </c>
      <c r="E311" s="5" t="s">
        <v>64</v>
      </c>
      <c r="F311" s="5">
        <v>4213</v>
      </c>
      <c r="G311" s="5">
        <v>253</v>
      </c>
      <c r="H311" s="5">
        <v>434</v>
      </c>
      <c r="I311" s="5">
        <v>75834</v>
      </c>
      <c r="J311" s="5">
        <v>75437</v>
      </c>
      <c r="K311" s="5">
        <v>272</v>
      </c>
      <c r="L311" s="5" t="s">
        <v>38</v>
      </c>
      <c r="M311" s="5" t="s">
        <v>19</v>
      </c>
      <c r="N311" s="13">
        <f>(Posts1114[[#This Row],[Likes]]+Posts1114[[#This Row],[Shares]]+Posts1114[[#This Row],[Comments]])/Posts1114[[#This Row],[Impressions]]</f>
        <v>6.461481657304112E-2</v>
      </c>
    </row>
    <row r="312" spans="1:14" hidden="1">
      <c r="A312" s="11" t="s">
        <v>143</v>
      </c>
      <c r="B312" s="6" t="s">
        <v>55</v>
      </c>
      <c r="C312" s="12">
        <v>45583</v>
      </c>
      <c r="D312" s="6" t="s">
        <v>50</v>
      </c>
      <c r="E312" s="6" t="s">
        <v>73</v>
      </c>
      <c r="F312" s="6">
        <v>4126</v>
      </c>
      <c r="G312" s="6">
        <v>426</v>
      </c>
      <c r="H312" s="6">
        <v>486</v>
      </c>
      <c r="I312" s="6">
        <v>78394</v>
      </c>
      <c r="J312" s="6">
        <v>77798</v>
      </c>
      <c r="K312" s="6">
        <v>88</v>
      </c>
      <c r="L312" s="6" t="s">
        <v>38</v>
      </c>
      <c r="M312" s="6" t="s">
        <v>19</v>
      </c>
      <c r="N312" s="14">
        <f>(Posts1114[[#This Row],[Likes]]+Posts1114[[#This Row],[Shares]]+Posts1114[[#This Row],[Comments]])/Posts1114[[#This Row],[Impressions]]</f>
        <v>6.4265122330790625E-2</v>
      </c>
    </row>
    <row r="313" spans="1:14" hidden="1">
      <c r="A313" s="11" t="s">
        <v>339</v>
      </c>
      <c r="B313" s="6" t="s">
        <v>35</v>
      </c>
      <c r="C313" s="12">
        <v>45569</v>
      </c>
      <c r="D313" s="6" t="s">
        <v>36</v>
      </c>
      <c r="E313" s="6" t="s">
        <v>37</v>
      </c>
      <c r="F313" s="6">
        <v>4187</v>
      </c>
      <c r="G313" s="6">
        <v>66</v>
      </c>
      <c r="H313" s="6">
        <v>31</v>
      </c>
      <c r="I313" s="6">
        <v>66992</v>
      </c>
      <c r="J313" s="6">
        <v>66614</v>
      </c>
      <c r="K313" s="6">
        <v>62</v>
      </c>
      <c r="L313" s="6" t="s">
        <v>38</v>
      </c>
      <c r="M313" s="6"/>
      <c r="N313" s="14">
        <f>(Posts1114[[#This Row],[Likes]]+Posts1114[[#This Row],[Shares]]+Posts1114[[#This Row],[Comments]])/Posts1114[[#This Row],[Impressions]]</f>
        <v>6.3947934081681396E-2</v>
      </c>
    </row>
    <row r="314" spans="1:14" hidden="1">
      <c r="A314" s="9" t="s">
        <v>83</v>
      </c>
      <c r="B314" s="5" t="s">
        <v>49</v>
      </c>
      <c r="C314" s="10">
        <v>45544</v>
      </c>
      <c r="D314" s="5" t="s">
        <v>56</v>
      </c>
      <c r="E314" s="5" t="s">
        <v>84</v>
      </c>
      <c r="F314" s="5">
        <v>4054</v>
      </c>
      <c r="G314" s="5">
        <v>488</v>
      </c>
      <c r="H314" s="5">
        <v>373</v>
      </c>
      <c r="I314" s="5">
        <v>77026</v>
      </c>
      <c r="J314" s="5">
        <v>76881</v>
      </c>
      <c r="K314" s="5">
        <v>25</v>
      </c>
      <c r="L314" s="5" t="s">
        <v>43</v>
      </c>
      <c r="M314" s="5" t="s">
        <v>7</v>
      </c>
      <c r="N314" s="13">
        <f>(Posts1114[[#This Row],[Likes]]+Posts1114[[#This Row],[Shares]]+Posts1114[[#This Row],[Comments]])/Posts1114[[#This Row],[Impressions]]</f>
        <v>6.3809622724794221E-2</v>
      </c>
    </row>
    <row r="315" spans="1:14" hidden="1">
      <c r="A315" s="11" t="s">
        <v>137</v>
      </c>
      <c r="B315" s="6" t="s">
        <v>55</v>
      </c>
      <c r="C315" s="12">
        <v>45745</v>
      </c>
      <c r="D315" s="6" t="s">
        <v>56</v>
      </c>
      <c r="E315" s="6" t="s">
        <v>57</v>
      </c>
      <c r="F315" s="6">
        <v>4712</v>
      </c>
      <c r="G315" s="6">
        <v>568</v>
      </c>
      <c r="H315" s="6">
        <v>127</v>
      </c>
      <c r="I315" s="6">
        <v>84816</v>
      </c>
      <c r="J315" s="6">
        <v>84691</v>
      </c>
      <c r="K315" s="6">
        <v>100</v>
      </c>
      <c r="L315" s="6" t="s">
        <v>52</v>
      </c>
      <c r="M315" s="6" t="s">
        <v>15</v>
      </c>
      <c r="N315" s="14">
        <f>(Posts1114[[#This Row],[Likes]]+Posts1114[[#This Row],[Shares]]+Posts1114[[#This Row],[Comments]])/Posts1114[[#This Row],[Impressions]]</f>
        <v>6.3749764195434822E-2</v>
      </c>
    </row>
    <row r="316" spans="1:14" hidden="1">
      <c r="A316" s="11" t="s">
        <v>222</v>
      </c>
      <c r="B316" s="6" t="s">
        <v>46</v>
      </c>
      <c r="C316" s="12">
        <v>45526</v>
      </c>
      <c r="D316" s="6" t="s">
        <v>56</v>
      </c>
      <c r="E316" s="6" t="s">
        <v>71</v>
      </c>
      <c r="F316" s="6">
        <v>4295</v>
      </c>
      <c r="G316" s="6">
        <v>853</v>
      </c>
      <c r="H316" s="6">
        <v>325</v>
      </c>
      <c r="I316" s="6">
        <v>85900</v>
      </c>
      <c r="J316" s="6">
        <v>85788</v>
      </c>
      <c r="K316" s="6">
        <v>290</v>
      </c>
      <c r="L316" s="6" t="s">
        <v>43</v>
      </c>
      <c r="M316" s="6" t="s">
        <v>19</v>
      </c>
      <c r="N316" s="14">
        <f>(Posts1114[[#This Row],[Likes]]+Posts1114[[#This Row],[Shares]]+Posts1114[[#This Row],[Comments]])/Posts1114[[#This Row],[Impressions]]</f>
        <v>6.3713620488940623E-2</v>
      </c>
    </row>
    <row r="317" spans="1:14" hidden="1">
      <c r="A317" s="11" t="s">
        <v>353</v>
      </c>
      <c r="B317" s="6" t="s">
        <v>46</v>
      </c>
      <c r="C317" s="12">
        <v>45738</v>
      </c>
      <c r="D317" s="6" t="s">
        <v>61</v>
      </c>
      <c r="E317" s="6" t="s">
        <v>62</v>
      </c>
      <c r="F317" s="6">
        <v>3166</v>
      </c>
      <c r="G317" s="6">
        <v>90</v>
      </c>
      <c r="H317" s="6">
        <v>341</v>
      </c>
      <c r="I317" s="6">
        <v>56988</v>
      </c>
      <c r="J317" s="6">
        <v>56125</v>
      </c>
      <c r="K317" s="6">
        <v>135</v>
      </c>
      <c r="L317" s="6" t="s">
        <v>52</v>
      </c>
      <c r="M317" s="6" t="s">
        <v>11</v>
      </c>
      <c r="N317" s="14">
        <f>(Posts1114[[#This Row],[Likes]]+Posts1114[[#This Row],[Shares]]+Posts1114[[#This Row],[Comments]])/Posts1114[[#This Row],[Impressions]]</f>
        <v>6.3118551273952411E-2</v>
      </c>
    </row>
    <row r="318" spans="1:14" hidden="1">
      <c r="A318" s="9" t="s">
        <v>289</v>
      </c>
      <c r="B318" s="5" t="s">
        <v>55</v>
      </c>
      <c r="C318" s="10">
        <v>45629</v>
      </c>
      <c r="D318" s="5" t="s">
        <v>61</v>
      </c>
      <c r="E318" s="5" t="s">
        <v>66</v>
      </c>
      <c r="F318" s="5">
        <v>4606</v>
      </c>
      <c r="G318" s="5">
        <v>931</v>
      </c>
      <c r="H318" s="5">
        <v>230</v>
      </c>
      <c r="I318" s="5">
        <v>92120</v>
      </c>
      <c r="J318" s="5">
        <v>91440</v>
      </c>
      <c r="K318" s="5">
        <v>56</v>
      </c>
      <c r="L318" s="5" t="s">
        <v>43</v>
      </c>
      <c r="M318" s="5"/>
      <c r="N318" s="13">
        <f>(Posts1114[[#This Row],[Likes]]+Posts1114[[#This Row],[Shares]]+Posts1114[[#This Row],[Comments]])/Posts1114[[#This Row],[Impressions]]</f>
        <v>6.2603126356925748E-2</v>
      </c>
    </row>
    <row r="319" spans="1:14" hidden="1">
      <c r="A319" s="9" t="s">
        <v>272</v>
      </c>
      <c r="B319" s="5" t="s">
        <v>55</v>
      </c>
      <c r="C319" s="10">
        <v>45754</v>
      </c>
      <c r="D319" s="5" t="s">
        <v>36</v>
      </c>
      <c r="E319" s="5" t="s">
        <v>69</v>
      </c>
      <c r="F319" s="5">
        <v>3718</v>
      </c>
      <c r="G319" s="5">
        <v>385</v>
      </c>
      <c r="H319" s="5">
        <v>310</v>
      </c>
      <c r="I319" s="5">
        <v>70642</v>
      </c>
      <c r="J319" s="5">
        <v>69749</v>
      </c>
      <c r="K319" s="5">
        <v>233</v>
      </c>
      <c r="L319" s="5" t="s">
        <v>43</v>
      </c>
      <c r="M319" s="5" t="s">
        <v>11</v>
      </c>
      <c r="N319" s="13">
        <f>(Posts1114[[#This Row],[Likes]]+Posts1114[[#This Row],[Shares]]+Posts1114[[#This Row],[Comments]])/Posts1114[[#This Row],[Impressions]]</f>
        <v>6.246991874522239E-2</v>
      </c>
    </row>
    <row r="320" spans="1:14" hidden="1">
      <c r="A320" s="11" t="s">
        <v>179</v>
      </c>
      <c r="B320" s="6" t="s">
        <v>46</v>
      </c>
      <c r="C320" s="12">
        <v>45464</v>
      </c>
      <c r="D320" s="6" t="s">
        <v>61</v>
      </c>
      <c r="E320" s="6" t="s">
        <v>62</v>
      </c>
      <c r="F320" s="6">
        <v>4832</v>
      </c>
      <c r="G320" s="6">
        <v>893</v>
      </c>
      <c r="H320" s="6">
        <v>10</v>
      </c>
      <c r="I320" s="6">
        <v>91808</v>
      </c>
      <c r="J320" s="6">
        <v>91296</v>
      </c>
      <c r="K320" s="6">
        <v>182</v>
      </c>
      <c r="L320" s="6" t="s">
        <v>43</v>
      </c>
      <c r="M320" s="6"/>
      <c r="N320" s="14">
        <f>(Posts1114[[#This Row],[Likes]]+Posts1114[[#This Row],[Shares]]+Posts1114[[#This Row],[Comments]])/Posts1114[[#This Row],[Impressions]]</f>
        <v>6.2467323109097243E-2</v>
      </c>
    </row>
    <row r="321" spans="1:14" hidden="1">
      <c r="A321" s="11" t="s">
        <v>187</v>
      </c>
      <c r="B321" s="6" t="s">
        <v>35</v>
      </c>
      <c r="C321" s="12">
        <v>45788</v>
      </c>
      <c r="D321" s="6" t="s">
        <v>61</v>
      </c>
      <c r="E321" s="6" t="s">
        <v>107</v>
      </c>
      <c r="F321" s="6">
        <v>2493</v>
      </c>
      <c r="G321" s="6">
        <v>97</v>
      </c>
      <c r="H321" s="6">
        <v>44</v>
      </c>
      <c r="I321" s="6">
        <v>42381</v>
      </c>
      <c r="J321" s="6">
        <v>41991</v>
      </c>
      <c r="K321" s="6">
        <v>242</v>
      </c>
      <c r="L321" s="6" t="s">
        <v>43</v>
      </c>
      <c r="M321" s="6" t="s">
        <v>19</v>
      </c>
      <c r="N321" s="14">
        <f>(Posts1114[[#This Row],[Likes]]+Posts1114[[#This Row],[Shares]]+Posts1114[[#This Row],[Comments]])/Posts1114[[#This Row],[Impressions]]</f>
        <v>6.2150491965739366E-2</v>
      </c>
    </row>
    <row r="322" spans="1:14" hidden="1">
      <c r="A322" s="9" t="s">
        <v>187</v>
      </c>
      <c r="B322" s="5" t="s">
        <v>35</v>
      </c>
      <c r="C322" s="10">
        <v>45788</v>
      </c>
      <c r="D322" s="5" t="s">
        <v>61</v>
      </c>
      <c r="E322" s="5" t="s">
        <v>107</v>
      </c>
      <c r="F322" s="5">
        <v>2493</v>
      </c>
      <c r="G322" s="5">
        <v>97</v>
      </c>
      <c r="H322" s="5">
        <v>44</v>
      </c>
      <c r="I322" s="5">
        <v>42381</v>
      </c>
      <c r="J322" s="5">
        <v>41991</v>
      </c>
      <c r="K322" s="5">
        <v>242</v>
      </c>
      <c r="L322" s="5" t="s">
        <v>39</v>
      </c>
      <c r="M322" s="5" t="s">
        <v>19</v>
      </c>
      <c r="N322" s="13">
        <f>(Posts1114[[#This Row],[Likes]]+Posts1114[[#This Row],[Shares]]+Posts1114[[#This Row],[Comments]])/Posts1114[[#This Row],[Impressions]]</f>
        <v>6.2150491965739366E-2</v>
      </c>
    </row>
    <row r="323" spans="1:14" hidden="1">
      <c r="A323" s="11" t="s">
        <v>295</v>
      </c>
      <c r="B323" s="6" t="s">
        <v>35</v>
      </c>
      <c r="C323" s="12">
        <v>45608</v>
      </c>
      <c r="D323" s="6" t="s">
        <v>61</v>
      </c>
      <c r="E323" s="6" t="s">
        <v>107</v>
      </c>
      <c r="F323" s="6">
        <v>3338</v>
      </c>
      <c r="G323" s="6">
        <v>277</v>
      </c>
      <c r="H323" s="6">
        <v>118</v>
      </c>
      <c r="I323" s="6">
        <v>60084</v>
      </c>
      <c r="J323" s="6">
        <v>59842</v>
      </c>
      <c r="K323" s="6">
        <v>252</v>
      </c>
      <c r="L323" s="6" t="s">
        <v>43</v>
      </c>
      <c r="M323" s="6"/>
      <c r="N323" s="14">
        <f>(Posts1114[[#This Row],[Likes]]+Posts1114[[#This Row],[Shares]]+Posts1114[[#This Row],[Comments]])/Posts1114[[#This Row],[Impressions]]</f>
        <v>6.2129685107516146E-2</v>
      </c>
    </row>
    <row r="324" spans="1:14" hidden="1">
      <c r="A324" s="11" t="s">
        <v>351</v>
      </c>
      <c r="B324" s="6" t="s">
        <v>46</v>
      </c>
      <c r="C324" s="12">
        <v>45537</v>
      </c>
      <c r="D324" s="6" t="s">
        <v>61</v>
      </c>
      <c r="E324" s="6" t="s">
        <v>62</v>
      </c>
      <c r="F324" s="6">
        <v>4905</v>
      </c>
      <c r="G324" s="6">
        <v>845</v>
      </c>
      <c r="H324" s="6">
        <v>129</v>
      </c>
      <c r="I324" s="6">
        <v>98100</v>
      </c>
      <c r="J324" s="6">
        <v>97772</v>
      </c>
      <c r="K324" s="6">
        <v>279</v>
      </c>
      <c r="L324" s="6" t="s">
        <v>43</v>
      </c>
      <c r="M324" s="6" t="s">
        <v>11</v>
      </c>
      <c r="N324" s="14">
        <f>(Posts1114[[#This Row],[Likes]]+Posts1114[[#This Row],[Shares]]+Posts1114[[#This Row],[Comments]])/Posts1114[[#This Row],[Impressions]]</f>
        <v>5.9928644240570844E-2</v>
      </c>
    </row>
    <row r="325" spans="1:14" hidden="1">
      <c r="A325" s="9" t="s">
        <v>89</v>
      </c>
      <c r="B325" s="5" t="s">
        <v>35</v>
      </c>
      <c r="C325" s="10">
        <v>45757</v>
      </c>
      <c r="D325" s="5" t="s">
        <v>56</v>
      </c>
      <c r="E325" s="5" t="s">
        <v>59</v>
      </c>
      <c r="F325" s="5">
        <v>3128</v>
      </c>
      <c r="G325" s="5">
        <v>211</v>
      </c>
      <c r="H325" s="5">
        <v>197</v>
      </c>
      <c r="I325" s="5">
        <v>59432</v>
      </c>
      <c r="J325" s="5">
        <v>59182</v>
      </c>
      <c r="K325" s="5">
        <v>238</v>
      </c>
      <c r="L325" s="5" t="s">
        <v>52</v>
      </c>
      <c r="M325" s="5"/>
      <c r="N325" s="13">
        <f>(Posts1114[[#This Row],[Likes]]+Posts1114[[#This Row],[Shares]]+Posts1114[[#This Row],[Comments]])/Posts1114[[#This Row],[Impressions]]</f>
        <v>5.9496567505720827E-2</v>
      </c>
    </row>
    <row r="326" spans="1:14" hidden="1">
      <c r="A326" s="11" t="s">
        <v>74</v>
      </c>
      <c r="B326" s="6" t="s">
        <v>55</v>
      </c>
      <c r="C326" s="12">
        <v>45589</v>
      </c>
      <c r="D326" s="6" t="s">
        <v>75</v>
      </c>
      <c r="E326" s="6" t="s">
        <v>76</v>
      </c>
      <c r="F326" s="6">
        <v>3888</v>
      </c>
      <c r="G326" s="6">
        <v>604</v>
      </c>
      <c r="H326" s="6">
        <v>128</v>
      </c>
      <c r="I326" s="6">
        <v>77760</v>
      </c>
      <c r="J326" s="6">
        <v>77167</v>
      </c>
      <c r="K326" s="6">
        <v>20</v>
      </c>
      <c r="L326" s="6" t="s">
        <v>38</v>
      </c>
      <c r="M326" s="6" t="s">
        <v>7</v>
      </c>
      <c r="N326" s="14">
        <f>(Posts1114[[#This Row],[Likes]]+Posts1114[[#This Row],[Shares]]+Posts1114[[#This Row],[Comments]])/Posts1114[[#This Row],[Impressions]]</f>
        <v>5.941358024691358E-2</v>
      </c>
    </row>
    <row r="327" spans="1:14" hidden="1">
      <c r="A327" s="11" t="s">
        <v>368</v>
      </c>
      <c r="B327" s="6" t="s">
        <v>35</v>
      </c>
      <c r="C327" s="12">
        <v>45699</v>
      </c>
      <c r="D327" s="6" t="s">
        <v>75</v>
      </c>
      <c r="E327" s="6" t="s">
        <v>114</v>
      </c>
      <c r="F327" s="6">
        <v>3440</v>
      </c>
      <c r="G327" s="6">
        <v>13</v>
      </c>
      <c r="H327" s="6">
        <v>20</v>
      </c>
      <c r="I327" s="6">
        <v>58480</v>
      </c>
      <c r="J327" s="6">
        <v>58146</v>
      </c>
      <c r="K327" s="6">
        <v>210</v>
      </c>
      <c r="L327" s="6" t="s">
        <v>43</v>
      </c>
      <c r="M327" s="6" t="s">
        <v>19</v>
      </c>
      <c r="N327" s="14">
        <f>(Posts1114[[#This Row],[Likes]]+Posts1114[[#This Row],[Shares]]+Posts1114[[#This Row],[Comments]])/Posts1114[[#This Row],[Impressions]]</f>
        <v>5.9387824897400819E-2</v>
      </c>
    </row>
    <row r="328" spans="1:14" hidden="1">
      <c r="A328" s="9" t="s">
        <v>368</v>
      </c>
      <c r="B328" s="5" t="s">
        <v>35</v>
      </c>
      <c r="C328" s="10">
        <v>45699</v>
      </c>
      <c r="D328" s="5" t="s">
        <v>75</v>
      </c>
      <c r="E328" s="5" t="s">
        <v>114</v>
      </c>
      <c r="F328" s="5">
        <v>3440</v>
      </c>
      <c r="G328" s="5">
        <v>13</v>
      </c>
      <c r="H328" s="5">
        <v>20</v>
      </c>
      <c r="I328" s="5">
        <v>58480</v>
      </c>
      <c r="J328" s="5">
        <v>58146</v>
      </c>
      <c r="K328" s="5">
        <v>210</v>
      </c>
      <c r="L328" s="5" t="s">
        <v>18</v>
      </c>
      <c r="M328" s="5" t="s">
        <v>19</v>
      </c>
      <c r="N328" s="13">
        <f>(Posts1114[[#This Row],[Likes]]+Posts1114[[#This Row],[Shares]]+Posts1114[[#This Row],[Comments]])/Posts1114[[#This Row],[Impressions]]</f>
        <v>5.9387824897400819E-2</v>
      </c>
    </row>
    <row r="329" spans="1:14" hidden="1">
      <c r="A329" s="9" t="s">
        <v>370</v>
      </c>
      <c r="B329" s="5" t="s">
        <v>55</v>
      </c>
      <c r="C329" s="10">
        <v>45589</v>
      </c>
      <c r="D329" s="5" t="s">
        <v>61</v>
      </c>
      <c r="E329" s="5" t="s">
        <v>66</v>
      </c>
      <c r="F329" s="5">
        <v>4303</v>
      </c>
      <c r="G329" s="5">
        <v>451</v>
      </c>
      <c r="H329" s="5">
        <v>286</v>
      </c>
      <c r="I329" s="5">
        <v>86060</v>
      </c>
      <c r="J329" s="5">
        <v>85823</v>
      </c>
      <c r="K329" s="5">
        <v>14</v>
      </c>
      <c r="L329" s="5" t="s">
        <v>43</v>
      </c>
      <c r="M329" s="5" t="s">
        <v>15</v>
      </c>
      <c r="N329" s="13">
        <f>(Posts1114[[#This Row],[Likes]]+Posts1114[[#This Row],[Shares]]+Posts1114[[#This Row],[Comments]])/Posts1114[[#This Row],[Impressions]]</f>
        <v>5.8563792702765516E-2</v>
      </c>
    </row>
    <row r="330" spans="1:14" hidden="1">
      <c r="A330" s="11" t="s">
        <v>288</v>
      </c>
      <c r="B330" s="6" t="s">
        <v>46</v>
      </c>
      <c r="C330" s="12">
        <v>45502</v>
      </c>
      <c r="D330" s="6" t="s">
        <v>50</v>
      </c>
      <c r="E330" s="6" t="s">
        <v>120</v>
      </c>
      <c r="F330" s="6">
        <v>1509</v>
      </c>
      <c r="G330" s="6">
        <v>88</v>
      </c>
      <c r="H330" s="6">
        <v>163</v>
      </c>
      <c r="I330" s="6">
        <v>30180</v>
      </c>
      <c r="J330" s="6">
        <v>29689</v>
      </c>
      <c r="K330" s="6">
        <v>119</v>
      </c>
      <c r="L330" s="6" t="s">
        <v>52</v>
      </c>
      <c r="M330" s="6" t="s">
        <v>11</v>
      </c>
      <c r="N330" s="14">
        <f>(Posts1114[[#This Row],[Likes]]+Posts1114[[#This Row],[Shares]]+Posts1114[[#This Row],[Comments]])/Posts1114[[#This Row],[Impressions]]</f>
        <v>5.8316766070245198E-2</v>
      </c>
    </row>
    <row r="331" spans="1:14" hidden="1">
      <c r="A331" s="11" t="s">
        <v>355</v>
      </c>
      <c r="B331" s="6" t="s">
        <v>35</v>
      </c>
      <c r="C331" s="12">
        <v>45786</v>
      </c>
      <c r="D331" s="6" t="s">
        <v>36</v>
      </c>
      <c r="E331" s="6" t="s">
        <v>37</v>
      </c>
      <c r="F331" s="6">
        <v>3367</v>
      </c>
      <c r="G331" s="6">
        <v>302</v>
      </c>
      <c r="H331" s="6">
        <v>57</v>
      </c>
      <c r="I331" s="6">
        <v>63973</v>
      </c>
      <c r="J331" s="6">
        <v>63789</v>
      </c>
      <c r="K331" s="6">
        <v>157</v>
      </c>
      <c r="L331" s="6" t="s">
        <v>38</v>
      </c>
      <c r="M331" s="6" t="s">
        <v>11</v>
      </c>
      <c r="N331" s="14">
        <f>(Posts1114[[#This Row],[Likes]]+Posts1114[[#This Row],[Shares]]+Posts1114[[#This Row],[Comments]])/Posts1114[[#This Row],[Impressions]]</f>
        <v>5.8243321401216137E-2</v>
      </c>
    </row>
    <row r="332" spans="1:14" hidden="1">
      <c r="A332" s="9" t="s">
        <v>328</v>
      </c>
      <c r="B332" s="5" t="s">
        <v>46</v>
      </c>
      <c r="C332" s="10">
        <v>45553</v>
      </c>
      <c r="D332" s="5" t="s">
        <v>56</v>
      </c>
      <c r="E332" s="5" t="s">
        <v>71</v>
      </c>
      <c r="F332" s="5">
        <v>2143</v>
      </c>
      <c r="G332" s="5">
        <v>12</v>
      </c>
      <c r="H332" s="5">
        <v>204</v>
      </c>
      <c r="I332" s="5">
        <v>40717</v>
      </c>
      <c r="J332" s="5">
        <v>40125</v>
      </c>
      <c r="K332" s="5">
        <v>248</v>
      </c>
      <c r="L332" s="5" t="s">
        <v>52</v>
      </c>
      <c r="M332" s="5" t="s">
        <v>11</v>
      </c>
      <c r="N332" s="13">
        <f>(Posts1114[[#This Row],[Likes]]+Posts1114[[#This Row],[Shares]]+Posts1114[[#This Row],[Comments]])/Posts1114[[#This Row],[Impressions]]</f>
        <v>5.7936488444630008E-2</v>
      </c>
    </row>
    <row r="333" spans="1:14" hidden="1">
      <c r="A333" s="11" t="s">
        <v>95</v>
      </c>
      <c r="B333" s="6" t="s">
        <v>49</v>
      </c>
      <c r="C333" s="12">
        <v>45713</v>
      </c>
      <c r="D333" s="6" t="s">
        <v>75</v>
      </c>
      <c r="E333" s="6" t="s">
        <v>82</v>
      </c>
      <c r="F333" s="6">
        <v>3095</v>
      </c>
      <c r="G333" s="6">
        <v>39</v>
      </c>
      <c r="H333" s="6">
        <v>78</v>
      </c>
      <c r="I333" s="6">
        <v>55710</v>
      </c>
      <c r="J333" s="6">
        <v>54808</v>
      </c>
      <c r="K333" s="6">
        <v>93</v>
      </c>
      <c r="L333" s="6" t="s">
        <v>52</v>
      </c>
      <c r="M333" s="6"/>
      <c r="N333" s="14">
        <f>(Posts1114[[#This Row],[Likes]]+Posts1114[[#This Row],[Shares]]+Posts1114[[#This Row],[Comments]])/Posts1114[[#This Row],[Impressions]]</f>
        <v>5.7655717106444085E-2</v>
      </c>
    </row>
    <row r="334" spans="1:14" hidden="1">
      <c r="A334" s="11" t="s">
        <v>275</v>
      </c>
      <c r="B334" s="6" t="s">
        <v>49</v>
      </c>
      <c r="C334" s="12">
        <v>45617</v>
      </c>
      <c r="D334" s="6" t="s">
        <v>56</v>
      </c>
      <c r="E334" s="6" t="s">
        <v>84</v>
      </c>
      <c r="F334" s="6">
        <v>3773</v>
      </c>
      <c r="G334" s="6">
        <v>299</v>
      </c>
      <c r="H334" s="6">
        <v>38</v>
      </c>
      <c r="I334" s="6">
        <v>71687</v>
      </c>
      <c r="J334" s="6">
        <v>71447</v>
      </c>
      <c r="K334" s="6">
        <v>286</v>
      </c>
      <c r="L334" s="6" t="s">
        <v>38</v>
      </c>
      <c r="M334" s="6" t="s">
        <v>7</v>
      </c>
      <c r="N334" s="14">
        <f>(Posts1114[[#This Row],[Likes]]+Posts1114[[#This Row],[Shares]]+Posts1114[[#This Row],[Comments]])/Posts1114[[#This Row],[Impressions]]</f>
        <v>5.7332570758993957E-2</v>
      </c>
    </row>
    <row r="335" spans="1:14" hidden="1">
      <c r="A335" s="11" t="s">
        <v>297</v>
      </c>
      <c r="B335" s="6" t="s">
        <v>35</v>
      </c>
      <c r="C335" s="12">
        <v>45463</v>
      </c>
      <c r="D335" s="6" t="s">
        <v>56</v>
      </c>
      <c r="E335" s="6" t="s">
        <v>59</v>
      </c>
      <c r="F335" s="6">
        <v>4672</v>
      </c>
      <c r="G335" s="6">
        <v>325</v>
      </c>
      <c r="H335" s="6">
        <v>32</v>
      </c>
      <c r="I335" s="6">
        <v>88768</v>
      </c>
      <c r="J335" s="6">
        <v>87833</v>
      </c>
      <c r="K335" s="6">
        <v>118</v>
      </c>
      <c r="L335" s="6" t="s">
        <v>52</v>
      </c>
      <c r="M335" s="6"/>
      <c r="N335" s="14">
        <f>(Posts1114[[#This Row],[Likes]]+Posts1114[[#This Row],[Shares]]+Posts1114[[#This Row],[Comments]])/Posts1114[[#This Row],[Impressions]]</f>
        <v>5.6653298485940883E-2</v>
      </c>
    </row>
    <row r="336" spans="1:14" hidden="1">
      <c r="A336" s="11" t="s">
        <v>217</v>
      </c>
      <c r="B336" s="6" t="s">
        <v>49</v>
      </c>
      <c r="C336" s="12">
        <v>45516</v>
      </c>
      <c r="D336" s="6" t="s">
        <v>56</v>
      </c>
      <c r="E336" s="6" t="s">
        <v>84</v>
      </c>
      <c r="F336" s="6">
        <v>1878</v>
      </c>
      <c r="G336" s="6">
        <v>62</v>
      </c>
      <c r="H336" s="6">
        <v>179</v>
      </c>
      <c r="I336" s="6">
        <v>37560</v>
      </c>
      <c r="J336" s="6">
        <v>36874</v>
      </c>
      <c r="K336" s="6">
        <v>142</v>
      </c>
      <c r="L336" s="6" t="s">
        <v>43</v>
      </c>
      <c r="M336" s="6" t="s">
        <v>19</v>
      </c>
      <c r="N336" s="14">
        <f>(Posts1114[[#This Row],[Likes]]+Posts1114[[#This Row],[Shares]]+Posts1114[[#This Row],[Comments]])/Posts1114[[#This Row],[Impressions]]</f>
        <v>5.6416400425985093E-2</v>
      </c>
    </row>
    <row r="337" spans="1:14" hidden="1">
      <c r="A337" s="9" t="s">
        <v>262</v>
      </c>
      <c r="B337" s="5" t="s">
        <v>46</v>
      </c>
      <c r="C337" s="10">
        <v>45569</v>
      </c>
      <c r="D337" s="5" t="s">
        <v>41</v>
      </c>
      <c r="E337" s="5" t="s">
        <v>92</v>
      </c>
      <c r="F337" s="5">
        <v>1963</v>
      </c>
      <c r="G337" s="5">
        <v>213</v>
      </c>
      <c r="H337" s="5">
        <v>19</v>
      </c>
      <c r="I337" s="5">
        <v>39260</v>
      </c>
      <c r="J337" s="5">
        <v>38771</v>
      </c>
      <c r="K337" s="5">
        <v>145</v>
      </c>
      <c r="L337" s="5" t="s">
        <v>38</v>
      </c>
      <c r="M337" s="5"/>
      <c r="N337" s="13">
        <f>(Posts1114[[#This Row],[Likes]]+Posts1114[[#This Row],[Shares]]+Posts1114[[#This Row],[Comments]])/Posts1114[[#This Row],[Impressions]]</f>
        <v>5.5909322465613857E-2</v>
      </c>
    </row>
    <row r="338" spans="1:14" hidden="1">
      <c r="A338" s="9" t="s">
        <v>45</v>
      </c>
      <c r="B338" s="5" t="s">
        <v>46</v>
      </c>
      <c r="C338" s="10">
        <v>45789</v>
      </c>
      <c r="D338" s="5" t="s">
        <v>36</v>
      </c>
      <c r="E338" s="5" t="s">
        <v>47</v>
      </c>
      <c r="F338" s="5">
        <v>2795</v>
      </c>
      <c r="G338" s="5">
        <v>105</v>
      </c>
      <c r="H338" s="5">
        <v>49</v>
      </c>
      <c r="I338" s="5">
        <v>53105</v>
      </c>
      <c r="J338" s="5">
        <v>52307</v>
      </c>
      <c r="K338" s="5">
        <v>204</v>
      </c>
      <c r="L338" s="5" t="s">
        <v>43</v>
      </c>
      <c r="M338" s="5" t="s">
        <v>15</v>
      </c>
      <c r="N338" s="13">
        <f>(Posts1114[[#This Row],[Likes]]+Posts1114[[#This Row],[Shares]]+Posts1114[[#This Row],[Comments]])/Posts1114[[#This Row],[Impressions]]</f>
        <v>5.5531494209584788E-2</v>
      </c>
    </row>
    <row r="339" spans="1:14" hidden="1">
      <c r="A339" s="9" t="s">
        <v>248</v>
      </c>
      <c r="B339" s="5" t="s">
        <v>55</v>
      </c>
      <c r="C339" s="10">
        <v>45463</v>
      </c>
      <c r="D339" s="5" t="s">
        <v>75</v>
      </c>
      <c r="E339" s="5" t="s">
        <v>76</v>
      </c>
      <c r="F339" s="5">
        <v>3798</v>
      </c>
      <c r="G339" s="5">
        <v>31</v>
      </c>
      <c r="H339" s="5">
        <v>279</v>
      </c>
      <c r="I339" s="5">
        <v>75960</v>
      </c>
      <c r="J339" s="5">
        <v>75813</v>
      </c>
      <c r="K339" s="5">
        <v>266</v>
      </c>
      <c r="L339" s="5" t="s">
        <v>43</v>
      </c>
      <c r="M339" s="5" t="s">
        <v>7</v>
      </c>
      <c r="N339" s="13">
        <f>(Posts1114[[#This Row],[Likes]]+Posts1114[[#This Row],[Shares]]+Posts1114[[#This Row],[Comments]])/Posts1114[[#This Row],[Impressions]]</f>
        <v>5.4081095313322801E-2</v>
      </c>
    </row>
    <row r="340" spans="1:14" hidden="1">
      <c r="A340" s="11" t="s">
        <v>133</v>
      </c>
      <c r="B340" s="6" t="s">
        <v>35</v>
      </c>
      <c r="C340" s="12">
        <v>45504</v>
      </c>
      <c r="D340" s="6" t="s">
        <v>56</v>
      </c>
      <c r="E340" s="6" t="s">
        <v>59</v>
      </c>
      <c r="F340" s="6">
        <v>4507</v>
      </c>
      <c r="G340" s="6">
        <v>217</v>
      </c>
      <c r="H340" s="6">
        <v>13</v>
      </c>
      <c r="I340" s="6">
        <v>90140</v>
      </c>
      <c r="J340" s="6">
        <v>89591</v>
      </c>
      <c r="K340" s="6">
        <v>125</v>
      </c>
      <c r="L340" s="6" t="s">
        <v>38</v>
      </c>
      <c r="M340" s="6" t="s">
        <v>15</v>
      </c>
      <c r="N340" s="14">
        <f>(Posts1114[[#This Row],[Likes]]+Posts1114[[#This Row],[Shares]]+Posts1114[[#This Row],[Comments]])/Posts1114[[#This Row],[Impressions]]</f>
        <v>5.2551586421122697E-2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5E611-25BE-44A1-82B9-0304D1ECC6D6}">
  <dimension ref="A6:D15"/>
  <sheetViews>
    <sheetView workbookViewId="0">
      <selection activeCell="F13" sqref="F13"/>
    </sheetView>
  </sheetViews>
  <sheetFormatPr defaultRowHeight="14.4"/>
  <cols>
    <col min="1" max="1" width="14" bestFit="1" customWidth="1"/>
    <col min="2" max="2" width="10.44140625" bestFit="1" customWidth="1"/>
    <col min="3" max="3" width="11.109375" bestFit="1" customWidth="1"/>
    <col min="4" max="4" width="14.6640625" bestFit="1" customWidth="1"/>
    <col min="5" max="5" width="11.33203125" bestFit="1" customWidth="1"/>
    <col min="6" max="6" width="12.6640625" bestFit="1" customWidth="1"/>
    <col min="7" max="7" width="16.21875" bestFit="1" customWidth="1"/>
    <col min="8" max="8" width="11.33203125" bestFit="1" customWidth="1"/>
    <col min="9" max="9" width="12.6640625" bestFit="1" customWidth="1"/>
    <col min="10" max="10" width="16.21875" bestFit="1" customWidth="1"/>
    <col min="11" max="11" width="11.33203125" bestFit="1" customWidth="1"/>
    <col min="12" max="12" width="12.6640625" bestFit="1" customWidth="1"/>
    <col min="13" max="13" width="16.21875" bestFit="1" customWidth="1"/>
    <col min="14" max="14" width="15.88671875" bestFit="1" customWidth="1"/>
    <col min="15" max="15" width="17.33203125" bestFit="1" customWidth="1"/>
    <col min="16" max="16" width="20.77734375" bestFit="1" customWidth="1"/>
  </cols>
  <sheetData>
    <row r="6" spans="1:4">
      <c r="B6" s="15" t="s">
        <v>24</v>
      </c>
    </row>
    <row r="7" spans="1:4">
      <c r="B7" t="s">
        <v>46</v>
      </c>
    </row>
    <row r="8" spans="1:4">
      <c r="A8" s="15" t="s">
        <v>26</v>
      </c>
      <c r="B8" t="s">
        <v>403</v>
      </c>
      <c r="C8" t="s">
        <v>404</v>
      </c>
      <c r="D8" t="s">
        <v>405</v>
      </c>
    </row>
    <row r="9" spans="1:4">
      <c r="A9" s="16" t="s">
        <v>56</v>
      </c>
      <c r="B9">
        <v>25730</v>
      </c>
      <c r="C9">
        <v>6944</v>
      </c>
      <c r="D9">
        <v>2465</v>
      </c>
    </row>
    <row r="10" spans="1:4">
      <c r="A10" s="16" t="s">
        <v>61</v>
      </c>
      <c r="B10">
        <v>23903</v>
      </c>
      <c r="C10">
        <v>4310</v>
      </c>
      <c r="D10">
        <v>2077</v>
      </c>
    </row>
    <row r="11" spans="1:4">
      <c r="A11" s="16" t="s">
        <v>36</v>
      </c>
      <c r="B11">
        <v>39022</v>
      </c>
      <c r="C11">
        <v>6036</v>
      </c>
      <c r="D11">
        <v>3234</v>
      </c>
    </row>
    <row r="12" spans="1:4">
      <c r="A12" s="16" t="s">
        <v>50</v>
      </c>
      <c r="B12">
        <v>31968</v>
      </c>
      <c r="C12">
        <v>3866</v>
      </c>
      <c r="D12">
        <v>2012</v>
      </c>
    </row>
    <row r="13" spans="1:4">
      <c r="A13" s="16" t="s">
        <v>41</v>
      </c>
      <c r="B13">
        <v>35429</v>
      </c>
      <c r="C13">
        <v>5204</v>
      </c>
      <c r="D13">
        <v>1293</v>
      </c>
    </row>
    <row r="14" spans="1:4">
      <c r="A14" s="16" t="s">
        <v>75</v>
      </c>
      <c r="B14">
        <v>39835</v>
      </c>
      <c r="C14">
        <v>6946</v>
      </c>
      <c r="D14">
        <v>3359</v>
      </c>
    </row>
    <row r="15" spans="1:4">
      <c r="A15" s="16" t="s">
        <v>381</v>
      </c>
      <c r="B15">
        <v>195887</v>
      </c>
      <c r="C15">
        <v>33306</v>
      </c>
      <c r="D15">
        <v>14440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DF09B-4F06-476A-A9CD-451BC12DBF5A}">
  <dimension ref="A3:B9"/>
  <sheetViews>
    <sheetView workbookViewId="0">
      <selection activeCell="F17" sqref="F17"/>
    </sheetView>
  </sheetViews>
  <sheetFormatPr defaultRowHeight="14.4"/>
  <cols>
    <col min="1" max="1" width="19.77734375" bestFit="1" customWidth="1"/>
    <col min="2" max="2" width="13.21875" bestFit="1" customWidth="1"/>
  </cols>
  <sheetData>
    <row r="3" spans="1:2">
      <c r="A3" s="15" t="s">
        <v>400</v>
      </c>
      <c r="B3" t="s">
        <v>417</v>
      </c>
    </row>
    <row r="4" spans="1:2">
      <c r="A4" s="16" t="s">
        <v>39</v>
      </c>
      <c r="B4">
        <v>161.19999999999999</v>
      </c>
    </row>
    <row r="5" spans="1:2">
      <c r="A5" s="16" t="s">
        <v>43</v>
      </c>
      <c r="B5">
        <v>158.65420560747663</v>
      </c>
    </row>
    <row r="6" spans="1:2">
      <c r="A6" s="16" t="s">
        <v>52</v>
      </c>
      <c r="B6">
        <v>151.52941176470588</v>
      </c>
    </row>
    <row r="7" spans="1:2">
      <c r="A7" s="16" t="s">
        <v>38</v>
      </c>
      <c r="B7">
        <v>144.03883495145632</v>
      </c>
    </row>
    <row r="8" spans="1:2">
      <c r="A8" s="16" t="s">
        <v>44</v>
      </c>
      <c r="B8">
        <v>114.85714285714286</v>
      </c>
    </row>
    <row r="9" spans="1:2">
      <c r="A9" s="16" t="s">
        <v>18</v>
      </c>
      <c r="B9">
        <v>111.8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A8EAD-2E04-45EB-BDE1-E5CC2C93FE26}">
  <dimension ref="A3:B9"/>
  <sheetViews>
    <sheetView workbookViewId="0">
      <selection activeCell="C17" sqref="C17"/>
    </sheetView>
  </sheetViews>
  <sheetFormatPr defaultRowHeight="14.4"/>
  <cols>
    <col min="1" max="1" width="19.77734375" bestFit="1" customWidth="1"/>
    <col min="2" max="2" width="22.44140625" bestFit="1" customWidth="1"/>
    <col min="3" max="3" width="24.33203125" bestFit="1" customWidth="1"/>
  </cols>
  <sheetData>
    <row r="3" spans="1:2">
      <c r="A3" s="15" t="s">
        <v>400</v>
      </c>
      <c r="B3" t="s">
        <v>428</v>
      </c>
    </row>
    <row r="4" spans="1:2">
      <c r="A4" s="16" t="s">
        <v>52</v>
      </c>
      <c r="B4" s="7">
        <v>0.15386132749296613</v>
      </c>
    </row>
    <row r="5" spans="1:2">
      <c r="A5" s="16" t="s">
        <v>43</v>
      </c>
      <c r="B5" s="7">
        <v>0.14515321153500599</v>
      </c>
    </row>
    <row r="6" spans="1:2">
      <c r="A6" s="16" t="s">
        <v>38</v>
      </c>
      <c r="B6" s="7">
        <v>0.14123247081320281</v>
      </c>
    </row>
    <row r="7" spans="1:2">
      <c r="A7" s="16" t="s">
        <v>44</v>
      </c>
      <c r="B7" s="7">
        <v>0.12589594685729985</v>
      </c>
    </row>
    <row r="8" spans="1:2">
      <c r="A8" s="16" t="s">
        <v>39</v>
      </c>
      <c r="B8" s="7">
        <v>0.11636073778371317</v>
      </c>
    </row>
    <row r="9" spans="1:2">
      <c r="A9" s="16" t="s">
        <v>18</v>
      </c>
      <c r="B9" s="7">
        <v>0.11481753670769271</v>
      </c>
    </row>
  </sheetData>
  <conditionalFormatting sqref="A4:A9">
    <cfRule type="top10" dxfId="1" priority="1" rank="3"/>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B4EEB-A036-4F19-A39E-5330F04217EB}">
  <dimension ref="A3:E8"/>
  <sheetViews>
    <sheetView workbookViewId="0">
      <selection activeCell="E19" sqref="E19"/>
    </sheetView>
  </sheetViews>
  <sheetFormatPr defaultRowHeight="14.4"/>
  <cols>
    <col min="1" max="1" width="24.33203125" bestFit="1" customWidth="1"/>
    <col min="2" max="2" width="18.33203125" bestFit="1" customWidth="1"/>
    <col min="3" max="3" width="19.77734375" bestFit="1" customWidth="1"/>
    <col min="4" max="4" width="16.88671875" bestFit="1" customWidth="1"/>
    <col min="5" max="5" width="13.5546875" bestFit="1" customWidth="1"/>
    <col min="6" max="7" width="10.5546875" bestFit="1" customWidth="1"/>
  </cols>
  <sheetData>
    <row r="3" spans="1:5">
      <c r="A3" s="15" t="s">
        <v>384</v>
      </c>
      <c r="B3" s="15" t="s">
        <v>383</v>
      </c>
    </row>
    <row r="4" spans="1:5">
      <c r="A4" s="15" t="s">
        <v>24</v>
      </c>
      <c r="B4" t="s">
        <v>20</v>
      </c>
      <c r="C4" t="s">
        <v>12</v>
      </c>
      <c r="D4" t="s">
        <v>8</v>
      </c>
      <c r="E4" t="s">
        <v>16</v>
      </c>
    </row>
    <row r="5" spans="1:5">
      <c r="A5" s="16" t="s">
        <v>55</v>
      </c>
      <c r="B5" s="7">
        <v>0.1075199044826715</v>
      </c>
      <c r="C5" s="7">
        <v>0.11842748001579509</v>
      </c>
      <c r="D5" s="7">
        <v>0.11983264104243078</v>
      </c>
      <c r="E5" s="7">
        <v>0.12013943965556485</v>
      </c>
    </row>
    <row r="6" spans="1:5">
      <c r="A6" s="16" t="s">
        <v>49</v>
      </c>
      <c r="B6" s="7">
        <v>0.22086571307656663</v>
      </c>
      <c r="C6" s="7">
        <v>0.178211659071316</v>
      </c>
      <c r="D6" s="7">
        <v>0.12189936232160582</v>
      </c>
      <c r="E6" s="7">
        <v>0.14266251075679817</v>
      </c>
    </row>
    <row r="7" spans="1:5">
      <c r="A7" s="16" t="s">
        <v>35</v>
      </c>
      <c r="B7" s="7">
        <v>0.14127135567938412</v>
      </c>
      <c r="C7" s="7">
        <v>0.16744605297861578</v>
      </c>
      <c r="D7" s="7">
        <v>0.11515105828552318</v>
      </c>
      <c r="E7" s="7">
        <v>0.14987939606307518</v>
      </c>
    </row>
    <row r="8" spans="1:5">
      <c r="A8" s="16" t="s">
        <v>46</v>
      </c>
      <c r="B8" s="7">
        <v>9.1634731328587293E-2</v>
      </c>
      <c r="C8" s="7">
        <v>9.2356818904492904E-2</v>
      </c>
      <c r="D8" s="7">
        <v>0.15800423271479627</v>
      </c>
      <c r="E8" s="7">
        <v>0.15643845794107963</v>
      </c>
    </row>
  </sheetData>
  <conditionalFormatting pivot="1" sqref="B5:E8">
    <cfRule type="dataBar" priority="1">
      <dataBar>
        <cfvo type="min"/>
        <cfvo type="max"/>
        <color rgb="FF63C384"/>
      </dataBar>
      <extLst>
        <ext xmlns:x14="http://schemas.microsoft.com/office/spreadsheetml/2009/9/main" uri="{B025F937-C7B1-47D3-B67F-A62EFF666E3E}">
          <x14:id>{8062D3BF-E7CA-4F5E-833B-38D81811A402}</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8062D3BF-E7CA-4F5E-833B-38D81811A402}">
            <x14:dataBar minLength="0" maxLength="100" border="1" negativeBarBorderColorSameAsPositive="0">
              <x14:cfvo type="autoMin"/>
              <x14:cfvo type="autoMax"/>
              <x14:borderColor rgb="FF63C384"/>
              <x14:negativeFillColor rgb="FFFF0000"/>
              <x14:negativeBorderColor rgb="FFFF0000"/>
              <x14:axisColor rgb="FF000000"/>
            </x14:dataBar>
          </x14:cfRule>
          <xm:sqref>B5:E8</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E4B49-F84F-45C8-8B12-C3147E52D9E4}">
  <dimension ref="A1:B52"/>
  <sheetViews>
    <sheetView workbookViewId="0">
      <selection activeCell="K6" sqref="K6"/>
    </sheetView>
  </sheetViews>
  <sheetFormatPr defaultRowHeight="14.4"/>
  <cols>
    <col min="1" max="1" width="27" bestFit="1" customWidth="1"/>
    <col min="2" max="2" width="10.44140625" bestFit="1" customWidth="1"/>
    <col min="3" max="3" width="9.33203125" bestFit="1" customWidth="1"/>
    <col min="4" max="4" width="7.21875" bestFit="1" customWidth="1"/>
    <col min="5" max="6" width="8" bestFit="1" customWidth="1"/>
    <col min="7" max="7" width="14.88671875" bestFit="1" customWidth="1"/>
    <col min="8" max="8" width="12" bestFit="1" customWidth="1"/>
    <col min="9" max="9" width="8" bestFit="1" customWidth="1"/>
    <col min="10" max="10" width="14.88671875" bestFit="1" customWidth="1"/>
    <col min="11" max="11" width="12" bestFit="1" customWidth="1"/>
    <col min="12" max="12" width="8" bestFit="1" customWidth="1"/>
    <col min="13" max="13" width="14.88671875" bestFit="1" customWidth="1"/>
    <col min="14" max="14" width="12" bestFit="1" customWidth="1"/>
    <col min="15" max="15" width="8" bestFit="1" customWidth="1"/>
    <col min="16" max="16" width="14.88671875" bestFit="1" customWidth="1"/>
    <col min="17" max="17" width="12" bestFit="1" customWidth="1"/>
    <col min="18" max="18" width="8" bestFit="1" customWidth="1"/>
    <col min="19" max="19" width="14.88671875" bestFit="1" customWidth="1"/>
    <col min="20" max="20" width="12" bestFit="1" customWidth="1"/>
    <col min="21" max="21" width="8" bestFit="1" customWidth="1"/>
    <col min="22" max="22" width="14.88671875" bestFit="1" customWidth="1"/>
    <col min="23" max="23" width="12" bestFit="1" customWidth="1"/>
    <col min="24" max="24" width="8" bestFit="1" customWidth="1"/>
    <col min="25" max="25" width="14.88671875" bestFit="1" customWidth="1"/>
    <col min="26" max="26" width="12" bestFit="1" customWidth="1"/>
    <col min="27" max="27" width="8" bestFit="1" customWidth="1"/>
    <col min="28" max="28" width="14.88671875" bestFit="1" customWidth="1"/>
    <col min="29" max="29" width="12" bestFit="1" customWidth="1"/>
    <col min="30" max="30" width="8" bestFit="1" customWidth="1"/>
    <col min="31" max="31" width="14.88671875" bestFit="1" customWidth="1"/>
    <col min="32" max="32" width="12" bestFit="1" customWidth="1"/>
    <col min="33" max="33" width="8" bestFit="1" customWidth="1"/>
    <col min="34" max="34" width="14.88671875" bestFit="1" customWidth="1"/>
    <col min="35" max="35" width="12" bestFit="1" customWidth="1"/>
    <col min="36" max="36" width="8" bestFit="1" customWidth="1"/>
    <col min="37" max="37" width="14.88671875" bestFit="1" customWidth="1"/>
    <col min="38" max="38" width="12" bestFit="1" customWidth="1"/>
    <col min="39" max="39" width="8" bestFit="1" customWidth="1"/>
    <col min="40" max="40" width="14.88671875" bestFit="1" customWidth="1"/>
    <col min="41" max="41" width="12" bestFit="1" customWidth="1"/>
    <col min="42" max="42" width="8" bestFit="1" customWidth="1"/>
    <col min="43" max="43" width="14.88671875" bestFit="1" customWidth="1"/>
    <col min="44" max="44" width="12" bestFit="1" customWidth="1"/>
    <col min="45" max="45" width="8" bestFit="1" customWidth="1"/>
    <col min="46" max="46" width="14.88671875" bestFit="1" customWidth="1"/>
    <col min="47" max="47" width="12" bestFit="1" customWidth="1"/>
    <col min="48" max="48" width="8" bestFit="1" customWidth="1"/>
    <col min="49" max="49" width="14.88671875" bestFit="1" customWidth="1"/>
    <col min="50" max="50" width="12" bestFit="1" customWidth="1"/>
    <col min="51" max="51" width="8" bestFit="1" customWidth="1"/>
    <col min="52" max="52" width="14.88671875" bestFit="1" customWidth="1"/>
    <col min="53" max="53" width="12" bestFit="1" customWidth="1"/>
    <col min="54" max="54" width="8" bestFit="1" customWidth="1"/>
    <col min="55" max="55" width="14.88671875" bestFit="1" customWidth="1"/>
    <col min="56" max="56" width="12" bestFit="1" customWidth="1"/>
    <col min="57" max="57" width="8" bestFit="1" customWidth="1"/>
    <col min="58" max="58" width="14.88671875" bestFit="1" customWidth="1"/>
    <col min="59" max="59" width="12" bestFit="1" customWidth="1"/>
    <col min="60" max="60" width="8" bestFit="1" customWidth="1"/>
    <col min="61" max="61" width="14.88671875" bestFit="1" customWidth="1"/>
    <col min="62" max="62" width="12" bestFit="1" customWidth="1"/>
    <col min="63" max="63" width="8" bestFit="1" customWidth="1"/>
    <col min="64" max="64" width="14.88671875" bestFit="1" customWidth="1"/>
    <col min="65" max="65" width="12" bestFit="1" customWidth="1"/>
    <col min="66" max="66" width="8" bestFit="1" customWidth="1"/>
    <col min="67" max="67" width="14.88671875" bestFit="1" customWidth="1"/>
    <col min="68" max="68" width="12" bestFit="1" customWidth="1"/>
    <col min="69" max="69" width="8" bestFit="1" customWidth="1"/>
    <col min="70" max="70" width="14.88671875" bestFit="1" customWidth="1"/>
    <col min="71" max="71" width="12" bestFit="1" customWidth="1"/>
    <col min="72" max="72" width="8" bestFit="1" customWidth="1"/>
    <col min="73" max="73" width="14.88671875" bestFit="1" customWidth="1"/>
    <col min="74" max="74" width="12" bestFit="1" customWidth="1"/>
    <col min="75" max="75" width="8" bestFit="1" customWidth="1"/>
    <col min="76" max="76" width="14.88671875" bestFit="1" customWidth="1"/>
    <col min="77" max="77" width="12" bestFit="1" customWidth="1"/>
    <col min="78" max="78" width="8" bestFit="1" customWidth="1"/>
    <col min="79" max="79" width="14.88671875" bestFit="1" customWidth="1"/>
    <col min="80" max="80" width="12" bestFit="1" customWidth="1"/>
    <col min="81" max="81" width="8" bestFit="1" customWidth="1"/>
    <col min="82" max="82" width="14.88671875" bestFit="1" customWidth="1"/>
    <col min="83" max="83" width="12" bestFit="1" customWidth="1"/>
    <col min="84" max="84" width="8" bestFit="1" customWidth="1"/>
    <col min="85" max="85" width="14.88671875" bestFit="1" customWidth="1"/>
    <col min="86" max="86" width="12" bestFit="1" customWidth="1"/>
    <col min="87" max="87" width="8" bestFit="1" customWidth="1"/>
    <col min="88" max="88" width="14.88671875" bestFit="1" customWidth="1"/>
    <col min="89" max="89" width="12" bestFit="1" customWidth="1"/>
    <col min="90" max="90" width="8" bestFit="1" customWidth="1"/>
    <col min="91" max="91" width="14.88671875" bestFit="1" customWidth="1"/>
    <col min="92" max="92" width="12" bestFit="1" customWidth="1"/>
    <col min="93" max="93" width="8" bestFit="1" customWidth="1"/>
    <col min="94" max="94" width="14.88671875" bestFit="1" customWidth="1"/>
    <col min="95" max="95" width="12" bestFit="1" customWidth="1"/>
    <col min="96" max="96" width="8" bestFit="1" customWidth="1"/>
    <col min="97" max="97" width="14.88671875" bestFit="1" customWidth="1"/>
    <col min="98" max="98" width="12" bestFit="1" customWidth="1"/>
    <col min="99" max="99" width="8" bestFit="1" customWidth="1"/>
    <col min="100" max="100" width="14.88671875" bestFit="1" customWidth="1"/>
    <col min="101" max="101" width="12" bestFit="1" customWidth="1"/>
    <col min="102" max="102" width="8" bestFit="1" customWidth="1"/>
    <col min="103" max="103" width="14.88671875" bestFit="1" customWidth="1"/>
    <col min="104" max="104" width="12" bestFit="1" customWidth="1"/>
    <col min="105" max="105" width="8" bestFit="1" customWidth="1"/>
    <col min="106" max="106" width="14.88671875" bestFit="1" customWidth="1"/>
    <col min="107" max="107" width="12" bestFit="1" customWidth="1"/>
    <col min="108" max="108" width="8" bestFit="1" customWidth="1"/>
    <col min="109" max="109" width="14.88671875" bestFit="1" customWidth="1"/>
    <col min="110" max="110" width="12" bestFit="1" customWidth="1"/>
    <col min="111" max="111" width="8" bestFit="1" customWidth="1"/>
    <col min="112" max="112" width="14.88671875" bestFit="1" customWidth="1"/>
    <col min="113" max="113" width="12" bestFit="1" customWidth="1"/>
    <col min="114" max="114" width="8" bestFit="1" customWidth="1"/>
    <col min="115" max="115" width="14.88671875" bestFit="1" customWidth="1"/>
    <col min="116" max="116" width="12" bestFit="1" customWidth="1"/>
    <col min="117" max="117" width="8" bestFit="1" customWidth="1"/>
    <col min="118" max="118" width="14.88671875" bestFit="1" customWidth="1"/>
    <col min="119" max="119" width="12" bestFit="1" customWidth="1"/>
    <col min="120" max="120" width="8" bestFit="1" customWidth="1"/>
    <col min="121" max="121" width="14.88671875" bestFit="1" customWidth="1"/>
    <col min="122" max="122" width="12" bestFit="1" customWidth="1"/>
    <col min="123" max="123" width="8" bestFit="1" customWidth="1"/>
    <col min="124" max="124" width="14.88671875" bestFit="1" customWidth="1"/>
    <col min="125" max="125" width="12" bestFit="1" customWidth="1"/>
    <col min="126" max="126" width="8" bestFit="1" customWidth="1"/>
    <col min="127" max="127" width="14.88671875" bestFit="1" customWidth="1"/>
    <col min="128" max="128" width="12" bestFit="1" customWidth="1"/>
    <col min="129" max="129" width="8" bestFit="1" customWidth="1"/>
    <col min="130" max="130" width="14.88671875" bestFit="1" customWidth="1"/>
    <col min="131" max="131" width="12" bestFit="1" customWidth="1"/>
    <col min="132" max="132" width="8" bestFit="1" customWidth="1"/>
    <col min="133" max="133" width="14.88671875" bestFit="1" customWidth="1"/>
    <col min="134" max="134" width="12" bestFit="1" customWidth="1"/>
    <col min="135" max="135" width="8" bestFit="1" customWidth="1"/>
    <col min="136" max="136" width="14.88671875" bestFit="1" customWidth="1"/>
    <col min="137" max="137" width="12" bestFit="1" customWidth="1"/>
    <col min="138" max="138" width="8" bestFit="1" customWidth="1"/>
    <col min="139" max="139" width="14.88671875" bestFit="1" customWidth="1"/>
    <col min="140" max="140" width="12" bestFit="1" customWidth="1"/>
    <col min="141" max="141" width="8" bestFit="1" customWidth="1"/>
    <col min="142" max="142" width="14.88671875" bestFit="1" customWidth="1"/>
    <col min="143" max="143" width="12" bestFit="1" customWidth="1"/>
    <col min="144" max="144" width="8" bestFit="1" customWidth="1"/>
    <col min="145" max="145" width="14.88671875" bestFit="1" customWidth="1"/>
    <col min="146" max="146" width="12" bestFit="1" customWidth="1"/>
    <col min="147" max="147" width="8" bestFit="1" customWidth="1"/>
    <col min="148" max="148" width="14.88671875" bestFit="1" customWidth="1"/>
    <col min="149" max="149" width="12" bestFit="1" customWidth="1"/>
    <col min="150" max="150" width="8" bestFit="1" customWidth="1"/>
    <col min="151" max="151" width="14.88671875" bestFit="1" customWidth="1"/>
  </cols>
  <sheetData>
    <row r="1" spans="1:2">
      <c r="A1" s="15" t="s">
        <v>407</v>
      </c>
      <c r="B1" s="15" t="s">
        <v>24</v>
      </c>
    </row>
    <row r="2" spans="1:2">
      <c r="A2" s="15" t="s">
        <v>408</v>
      </c>
      <c r="B2" t="s">
        <v>55</v>
      </c>
    </row>
    <row r="3" spans="1:2">
      <c r="A3" s="18">
        <v>45446</v>
      </c>
      <c r="B3" s="19"/>
    </row>
    <row r="4" spans="1:2">
      <c r="A4" s="18">
        <v>45453</v>
      </c>
      <c r="B4" s="19">
        <v>0.17706422018348625</v>
      </c>
    </row>
    <row r="5" spans="1:2">
      <c r="A5" s="18">
        <v>45460</v>
      </c>
      <c r="B5" s="19">
        <v>0.3903420523138833</v>
      </c>
    </row>
    <row r="6" spans="1:2">
      <c r="A6" s="18">
        <v>45467</v>
      </c>
      <c r="B6" s="19">
        <v>3.9554896142433233</v>
      </c>
    </row>
    <row r="7" spans="1:2">
      <c r="A7" s="18">
        <v>45474</v>
      </c>
      <c r="B7" s="19">
        <v>-1.5203252032520325</v>
      </c>
    </row>
    <row r="8" spans="1:2">
      <c r="A8" s="18">
        <v>45481</v>
      </c>
      <c r="B8" s="19">
        <v>2.3956043956043955</v>
      </c>
    </row>
    <row r="9" spans="1:2">
      <c r="A9" s="18">
        <v>45488</v>
      </c>
      <c r="B9" s="19">
        <v>-1.3190661478599222</v>
      </c>
    </row>
    <row r="10" spans="1:2">
      <c r="A10" s="18">
        <v>45495</v>
      </c>
      <c r="B10" s="19">
        <v>5.0062499999999996</v>
      </c>
    </row>
    <row r="11" spans="1:2">
      <c r="A11" s="18">
        <v>45502</v>
      </c>
      <c r="B11" s="19">
        <v>-2.0031545741324921</v>
      </c>
    </row>
    <row r="12" spans="1:2">
      <c r="A12" s="18">
        <v>45509</v>
      </c>
      <c r="B12" s="19">
        <v>-1.4147368421052631</v>
      </c>
    </row>
    <row r="13" spans="1:2">
      <c r="A13" s="18">
        <v>45516</v>
      </c>
      <c r="B13" s="19">
        <v>3.1818181818181817</v>
      </c>
    </row>
    <row r="14" spans="1:2">
      <c r="A14" s="18">
        <v>45523</v>
      </c>
      <c r="B14" s="19">
        <v>2.5193798449612403E-2</v>
      </c>
    </row>
    <row r="15" spans="1:2">
      <c r="A15" s="18">
        <v>45530</v>
      </c>
      <c r="B15" s="19">
        <v>-0.80526315789473679</v>
      </c>
    </row>
    <row r="16" spans="1:2">
      <c r="A16" s="18">
        <v>45537</v>
      </c>
      <c r="B16" s="19">
        <v>36.321428571428569</v>
      </c>
    </row>
    <row r="17" spans="1:2">
      <c r="A17" s="18">
        <v>45544</v>
      </c>
      <c r="B17" s="19">
        <v>3.2882882882882885</v>
      </c>
    </row>
    <row r="18" spans="1:2">
      <c r="A18" s="18">
        <v>45551</v>
      </c>
      <c r="B18" s="19">
        <v>-0.91090909090909089</v>
      </c>
    </row>
    <row r="19" spans="1:2">
      <c r="A19" s="18">
        <v>45558</v>
      </c>
      <c r="B19" s="19">
        <v>-0.40625</v>
      </c>
    </row>
    <row r="20" spans="1:2">
      <c r="A20" s="18">
        <v>45565</v>
      </c>
      <c r="B20" s="19">
        <v>-1.1779324055666005</v>
      </c>
    </row>
    <row r="21" spans="1:2">
      <c r="A21" s="18">
        <v>45572</v>
      </c>
      <c r="B21" s="19">
        <v>-2.5791324736225089E-2</v>
      </c>
    </row>
    <row r="22" spans="1:2">
      <c r="A22" s="18">
        <v>45579</v>
      </c>
      <c r="B22" s="19">
        <v>1.4152542372881356</v>
      </c>
    </row>
    <row r="23" spans="1:2">
      <c r="A23" s="18">
        <v>45586</v>
      </c>
      <c r="B23" s="19">
        <v>0.19618528610354224</v>
      </c>
    </row>
    <row r="24" spans="1:2">
      <c r="A24" s="18">
        <v>45593</v>
      </c>
      <c r="B24" s="19">
        <v>-0.73989218328840967</v>
      </c>
    </row>
    <row r="25" spans="1:2">
      <c r="A25" s="18">
        <v>45600</v>
      </c>
      <c r="B25" s="19">
        <v>-0.67410983705491856</v>
      </c>
    </row>
    <row r="26" spans="1:2">
      <c r="A26" s="18">
        <v>45607</v>
      </c>
      <c r="B26" s="19">
        <v>-1.1015325670498084</v>
      </c>
    </row>
    <row r="27" spans="1:2">
      <c r="A27" s="18">
        <v>45614</v>
      </c>
      <c r="B27" s="19">
        <v>-0.79369627507163321</v>
      </c>
    </row>
    <row r="28" spans="1:2">
      <c r="A28" s="18">
        <v>45621</v>
      </c>
      <c r="B28" s="19">
        <v>21.2</v>
      </c>
    </row>
    <row r="29" spans="1:2">
      <c r="A29" s="18">
        <v>45628</v>
      </c>
      <c r="B29" s="19">
        <v>0.927683615819209</v>
      </c>
    </row>
    <row r="30" spans="1:2">
      <c r="A30" s="18">
        <v>45635</v>
      </c>
      <c r="B30" s="19">
        <v>3.7182130584192441</v>
      </c>
    </row>
    <row r="31" spans="1:2">
      <c r="A31" s="18">
        <v>45642</v>
      </c>
      <c r="B31" s="19">
        <v>1.4031413612565444</v>
      </c>
    </row>
    <row r="32" spans="1:2">
      <c r="A32" s="18">
        <v>45649</v>
      </c>
      <c r="B32" s="19">
        <v>-0.16666666666666666</v>
      </c>
    </row>
    <row r="33" spans="1:2">
      <c r="A33" s="18">
        <v>45656</v>
      </c>
      <c r="B33" s="19">
        <v>0.11768407803650094</v>
      </c>
    </row>
    <row r="34" spans="1:2">
      <c r="A34" s="18">
        <v>45663</v>
      </c>
      <c r="B34" s="19">
        <v>-0.57534246575342463</v>
      </c>
    </row>
    <row r="35" spans="1:2">
      <c r="A35" s="18">
        <v>45670</v>
      </c>
      <c r="B35" s="19">
        <v>-0.64775413711583929</v>
      </c>
    </row>
    <row r="36" spans="1:2">
      <c r="A36" s="18">
        <v>45677</v>
      </c>
      <c r="B36" s="19">
        <v>-0.52608213096559375</v>
      </c>
    </row>
    <row r="37" spans="1:2">
      <c r="A37" s="18">
        <v>45684</v>
      </c>
      <c r="B37" s="19">
        <v>0.24033149171270718</v>
      </c>
    </row>
    <row r="38" spans="1:2">
      <c r="A38" s="18">
        <v>45691</v>
      </c>
      <c r="B38" s="19">
        <v>-0.38938775510204082</v>
      </c>
    </row>
    <row r="39" spans="1:2">
      <c r="A39" s="18">
        <v>45698</v>
      </c>
      <c r="B39" s="19">
        <v>-5.4926108374384235</v>
      </c>
    </row>
    <row r="40" spans="1:2">
      <c r="A40" s="18">
        <v>45705</v>
      </c>
      <c r="B40" s="19">
        <v>0.10110803324099724</v>
      </c>
    </row>
    <row r="41" spans="1:2">
      <c r="A41" s="18">
        <v>45712</v>
      </c>
      <c r="B41" s="19">
        <v>0.45276595744680853</v>
      </c>
    </row>
    <row r="42" spans="1:2">
      <c r="A42" s="18">
        <v>45719</v>
      </c>
      <c r="B42" s="19">
        <v>-1.1171259842519685</v>
      </c>
    </row>
    <row r="43" spans="1:2">
      <c r="A43" s="18">
        <v>45726</v>
      </c>
      <c r="B43" s="19">
        <v>1.8825396825396825</v>
      </c>
    </row>
    <row r="44" spans="1:2">
      <c r="A44" s="18">
        <v>45733</v>
      </c>
      <c r="B44" s="19">
        <v>-0.10144927536231885</v>
      </c>
    </row>
    <row r="45" spans="1:2">
      <c r="A45" s="18">
        <v>45740</v>
      </c>
      <c r="B45" s="19">
        <v>-0.65776173285198558</v>
      </c>
    </row>
    <row r="46" spans="1:2">
      <c r="A46" s="18">
        <v>45747</v>
      </c>
      <c r="B46" s="19">
        <v>0.32133676092544988</v>
      </c>
    </row>
    <row r="47" spans="1:2">
      <c r="A47" s="18">
        <v>45754</v>
      </c>
      <c r="B47" s="19">
        <v>-0.29856850715746419</v>
      </c>
    </row>
    <row r="48" spans="1:2">
      <c r="A48" s="18">
        <v>45761</v>
      </c>
      <c r="B48" s="19">
        <v>-1.8373205741626795</v>
      </c>
    </row>
    <row r="49" spans="1:2">
      <c r="A49" s="18">
        <v>45768</v>
      </c>
      <c r="B49" s="19">
        <v>6.2068965517241379</v>
      </c>
    </row>
    <row r="50" spans="1:2">
      <c r="A50" s="18">
        <v>45775</v>
      </c>
      <c r="B50" s="19">
        <v>-0.72259644825474589</v>
      </c>
    </row>
    <row r="51" spans="1:2">
      <c r="A51" s="18">
        <v>45782</v>
      </c>
      <c r="B51" s="19">
        <v>-0.46781789638932497</v>
      </c>
    </row>
    <row r="52" spans="1:2">
      <c r="A52" s="18">
        <v>45789</v>
      </c>
      <c r="B52" s="19">
        <v>-0.52893518518518523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48A5B-CA22-44F3-935B-F76AE65571CE}">
  <dimension ref="A3:C15"/>
  <sheetViews>
    <sheetView workbookViewId="0">
      <selection activeCell="E7" sqref="E7"/>
    </sheetView>
  </sheetViews>
  <sheetFormatPr defaultRowHeight="14.4"/>
  <cols>
    <col min="1" max="1" width="8.33203125" bestFit="1" customWidth="1"/>
    <col min="2" max="2" width="24.77734375" bestFit="1" customWidth="1"/>
    <col min="3" max="3" width="18.33203125" bestFit="1" customWidth="1"/>
    <col min="4" max="4" width="29.33203125" bestFit="1" customWidth="1"/>
    <col min="5" max="5" width="22.88671875" bestFit="1" customWidth="1"/>
    <col min="6" max="9" width="5" bestFit="1" customWidth="1"/>
    <col min="10" max="51" width="6" bestFit="1" customWidth="1"/>
    <col min="52" max="52" width="10.5546875" bestFit="1" customWidth="1"/>
    <col min="53" max="53" width="10.44140625" bestFit="1" customWidth="1"/>
    <col min="54" max="54" width="7.6640625" bestFit="1" customWidth="1"/>
    <col min="55" max="55" width="10.44140625" bestFit="1" customWidth="1"/>
    <col min="56" max="56" width="7.6640625" bestFit="1" customWidth="1"/>
    <col min="57" max="57" width="10.44140625" bestFit="1" customWidth="1"/>
    <col min="58" max="58" width="7.6640625" bestFit="1" customWidth="1"/>
    <col min="59" max="59" width="10.44140625" bestFit="1" customWidth="1"/>
    <col min="60" max="60" width="7.6640625" bestFit="1" customWidth="1"/>
    <col min="61" max="61" width="10.44140625" bestFit="1" customWidth="1"/>
    <col min="62" max="62" width="7.6640625" bestFit="1" customWidth="1"/>
    <col min="63" max="63" width="10.44140625" bestFit="1" customWidth="1"/>
    <col min="64" max="64" width="7.6640625" bestFit="1" customWidth="1"/>
    <col min="65" max="65" width="10.44140625" bestFit="1" customWidth="1"/>
    <col min="66" max="66" width="7.6640625" bestFit="1" customWidth="1"/>
    <col min="67" max="67" width="10.44140625" bestFit="1" customWidth="1"/>
    <col min="68" max="68" width="7.6640625" bestFit="1" customWidth="1"/>
    <col min="69" max="69" width="10.44140625" bestFit="1" customWidth="1"/>
    <col min="70" max="70" width="7.6640625" bestFit="1" customWidth="1"/>
    <col min="71" max="71" width="10.44140625" bestFit="1" customWidth="1"/>
    <col min="72" max="72" width="7.6640625" bestFit="1" customWidth="1"/>
    <col min="73" max="73" width="10.44140625" bestFit="1" customWidth="1"/>
    <col min="74" max="74" width="7.6640625" bestFit="1" customWidth="1"/>
    <col min="75" max="75" width="10.44140625" bestFit="1" customWidth="1"/>
    <col min="76" max="76" width="7.6640625" bestFit="1" customWidth="1"/>
    <col min="77" max="77" width="10.44140625" bestFit="1" customWidth="1"/>
    <col min="78" max="78" width="7.6640625" bestFit="1" customWidth="1"/>
    <col min="79" max="79" width="10.44140625" bestFit="1" customWidth="1"/>
    <col min="80" max="80" width="7.6640625" bestFit="1" customWidth="1"/>
    <col min="81" max="81" width="10.44140625" bestFit="1" customWidth="1"/>
    <col min="82" max="82" width="7.6640625" bestFit="1" customWidth="1"/>
    <col min="83" max="83" width="10.44140625" bestFit="1" customWidth="1"/>
    <col min="84" max="84" width="7.6640625" bestFit="1" customWidth="1"/>
    <col min="85" max="85" width="10.44140625" bestFit="1" customWidth="1"/>
    <col min="86" max="86" width="7.6640625" bestFit="1" customWidth="1"/>
    <col min="87" max="87" width="10.44140625" bestFit="1" customWidth="1"/>
    <col min="88" max="88" width="7.6640625" bestFit="1" customWidth="1"/>
    <col min="89" max="89" width="10.44140625" bestFit="1" customWidth="1"/>
    <col min="90" max="90" width="7.6640625" bestFit="1" customWidth="1"/>
    <col min="91" max="91" width="10.44140625" bestFit="1" customWidth="1"/>
    <col min="92" max="92" width="7.6640625" bestFit="1" customWidth="1"/>
    <col min="93" max="93" width="10.44140625" bestFit="1" customWidth="1"/>
    <col min="94" max="94" width="7.6640625" bestFit="1" customWidth="1"/>
    <col min="95" max="95" width="10.44140625" bestFit="1" customWidth="1"/>
    <col min="96" max="96" width="7.6640625" bestFit="1" customWidth="1"/>
    <col min="97" max="97" width="10.44140625" bestFit="1" customWidth="1"/>
    <col min="98" max="98" width="7.6640625" bestFit="1" customWidth="1"/>
    <col min="99" max="99" width="10.44140625" bestFit="1" customWidth="1"/>
    <col min="100" max="100" width="7.6640625" bestFit="1" customWidth="1"/>
    <col min="101" max="101" width="10.44140625" bestFit="1" customWidth="1"/>
    <col min="102" max="102" width="10.5546875" bestFit="1" customWidth="1"/>
  </cols>
  <sheetData>
    <row r="3" spans="1:3">
      <c r="A3" s="15" t="s">
        <v>406</v>
      </c>
      <c r="B3" t="s">
        <v>409</v>
      </c>
      <c r="C3" t="s">
        <v>410</v>
      </c>
    </row>
    <row r="4" spans="1:3">
      <c r="A4" s="16" t="s">
        <v>387</v>
      </c>
      <c r="B4">
        <v>6.1724999999999994</v>
      </c>
      <c r="C4">
        <v>27018</v>
      </c>
    </row>
    <row r="5" spans="1:3">
      <c r="A5" s="16" t="s">
        <v>388</v>
      </c>
      <c r="B5">
        <v>7.0949999999999998</v>
      </c>
      <c r="C5">
        <v>29594.5</v>
      </c>
    </row>
    <row r="6" spans="1:3">
      <c r="A6" s="16" t="s">
        <v>389</v>
      </c>
      <c r="B6">
        <v>7.3719999999999999</v>
      </c>
      <c r="C6">
        <v>23224.400000000001</v>
      </c>
    </row>
    <row r="7" spans="1:3">
      <c r="A7" s="16" t="s">
        <v>390</v>
      </c>
      <c r="B7">
        <v>3.4449999999999998</v>
      </c>
      <c r="C7">
        <v>21245</v>
      </c>
    </row>
    <row r="8" spans="1:3">
      <c r="A8" s="16" t="s">
        <v>391</v>
      </c>
      <c r="B8">
        <v>4.7949999999999999</v>
      </c>
      <c r="C8">
        <v>48909.5</v>
      </c>
    </row>
    <row r="9" spans="1:3">
      <c r="A9" s="16" t="s">
        <v>392</v>
      </c>
      <c r="B9">
        <v>6.1449999999999996</v>
      </c>
      <c r="C9">
        <v>23698.75</v>
      </c>
    </row>
    <row r="10" spans="1:3">
      <c r="A10" s="16" t="s">
        <v>393</v>
      </c>
      <c r="B10">
        <v>5.6840000000000002</v>
      </c>
      <c r="C10">
        <v>31048.6</v>
      </c>
    </row>
    <row r="11" spans="1:3">
      <c r="A11" s="16" t="s">
        <v>394</v>
      </c>
      <c r="B11">
        <v>7.5</v>
      </c>
      <c r="C11">
        <v>26371.5</v>
      </c>
    </row>
    <row r="12" spans="1:3">
      <c r="A12" s="16" t="s">
        <v>395</v>
      </c>
      <c r="B12">
        <v>5.3</v>
      </c>
      <c r="C12">
        <v>25308</v>
      </c>
    </row>
    <row r="13" spans="1:3">
      <c r="A13" s="16" t="s">
        <v>396</v>
      </c>
      <c r="B13">
        <v>3.3125</v>
      </c>
      <c r="C13">
        <v>31039.75</v>
      </c>
    </row>
    <row r="14" spans="1:3">
      <c r="A14" s="16" t="s">
        <v>397</v>
      </c>
      <c r="B14">
        <v>5.2249999999999996</v>
      </c>
      <c r="C14">
        <v>27985.75</v>
      </c>
    </row>
    <row r="15" spans="1:3">
      <c r="A15" s="16" t="s">
        <v>398</v>
      </c>
      <c r="B15">
        <v>5.0959999999999992</v>
      </c>
      <c r="C15">
        <v>27200.400000000001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B811F-7F69-48BC-B956-81FE4AA3BF5F}">
  <dimension ref="C3:D9"/>
  <sheetViews>
    <sheetView workbookViewId="0">
      <selection activeCell="O26" sqref="O26"/>
    </sheetView>
  </sheetViews>
  <sheetFormatPr defaultRowHeight="14.4"/>
  <cols>
    <col min="3" max="3" width="19.77734375" bestFit="1" customWidth="1"/>
    <col min="4" max="4" width="15.109375" bestFit="1" customWidth="1"/>
  </cols>
  <sheetData>
    <row r="3" spans="3:4">
      <c r="C3" s="22" t="s">
        <v>400</v>
      </c>
      <c r="D3" s="22" t="s">
        <v>401</v>
      </c>
    </row>
    <row r="4" spans="3:4">
      <c r="C4" t="str" cm="1">
        <f t="array" ref="C4:C9">_xlfn.UNIQUE(Posts1116[Hashtags Used])</f>
        <v>#FutureOfDriving</v>
      </c>
      <c r="D4">
        <f>COUNTIF(Posts1116[Hashtags Used],'Task 4.1'!C4)</f>
        <v>103</v>
      </c>
    </row>
    <row r="5" spans="3:4">
      <c r="C5" t="str">
        <v>#EVRevolution</v>
      </c>
      <c r="D5">
        <f>COUNTIF(Posts1116[Hashtags Used],'Task 4.1'!C5)</f>
        <v>102</v>
      </c>
    </row>
    <row r="6" spans="3:4">
      <c r="C6" t="str">
        <v>#TeslaCoInnovation</v>
      </c>
      <c r="D6">
        <f>COUNTIF(Posts1116[Hashtags Used],'Task 4.1'!C6)</f>
        <v>107</v>
      </c>
    </row>
    <row r="7" spans="3:4">
      <c r="C7" t="str">
        <v>#BetterWithTesla</v>
      </c>
      <c r="D7">
        <f>COUNTIF(Posts1116[Hashtags Used],'Task 4.1'!C7)</f>
        <v>7</v>
      </c>
    </row>
    <row r="8" spans="3:4">
      <c r="C8" t="str">
        <v>#SmoothLikeNitroTesla</v>
      </c>
      <c r="D8">
        <f>COUNTIF(Posts1116[Hashtags Used],'Task 4.1'!C8)</f>
        <v>5</v>
      </c>
    </row>
    <row r="9" spans="3:4">
      <c r="C9" t="str">
        <v>#AnytimeIsTeslaTime</v>
      </c>
      <c r="D9">
        <f>COUNTIF(Posts1116[Hashtags Used],'Task 4.1'!C9)</f>
        <v>15</v>
      </c>
    </row>
  </sheetData>
  <conditionalFormatting sqref="C4:D9">
    <cfRule type="top10" dxfId="0" priority="1" rank="3"/>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54228-1870-42E2-9DEB-F8581F1D009F}">
  <dimension ref="D6:F12"/>
  <sheetViews>
    <sheetView workbookViewId="0">
      <selection activeCell="G18" sqref="G18"/>
    </sheetView>
  </sheetViews>
  <sheetFormatPr defaultRowHeight="14.4"/>
  <cols>
    <col min="4" max="4" width="19.77734375" bestFit="1" customWidth="1"/>
    <col min="5" max="5" width="30.5546875" bestFit="1" customWidth="1"/>
  </cols>
  <sheetData>
    <row r="6" spans="4:6">
      <c r="D6" s="22" t="s">
        <v>400</v>
      </c>
      <c r="E6" s="22" t="s">
        <v>402</v>
      </c>
    </row>
    <row r="7" spans="4:6">
      <c r="D7" t="str" cm="1">
        <f t="array" ref="D7:D12">_xlfn.UNIQUE(Posts1116[Hashtags Used])</f>
        <v>#FutureOfDriving</v>
      </c>
      <c r="E7" s="20">
        <f>AVERAGEIF(Post!L:L,'Task 4.2'!D7,Post!N:N)</f>
        <v>0.14123247081320284</v>
      </c>
      <c r="F7" s="20"/>
    </row>
    <row r="8" spans="4:6">
      <c r="D8" t="str">
        <v>#EVRevolution</v>
      </c>
      <c r="E8" s="20">
        <f>AVERAGEIF(Post!L:L,'Task 4.2'!D8,Post!N:N)</f>
        <v>0.15386132749296619</v>
      </c>
      <c r="F8" s="20"/>
    </row>
    <row r="9" spans="4:6">
      <c r="D9" t="str">
        <v>#TeslaCoInnovation</v>
      </c>
      <c r="E9" s="20">
        <f>AVERAGEIF(Post!L:L,'Task 4.2'!D9,Post!N:N)</f>
        <v>0.14515321153500596</v>
      </c>
      <c r="F9" s="20"/>
    </row>
    <row r="10" spans="4:6">
      <c r="D10" t="str">
        <v>#BetterWithTesla</v>
      </c>
      <c r="E10" s="20">
        <f>AVERAGEIF(Post!L:L,'Task 4.2'!D10,Post!N:N)</f>
        <v>0.12589594685729985</v>
      </c>
      <c r="F10" s="20"/>
    </row>
    <row r="11" spans="4:6">
      <c r="D11" t="str">
        <v>#SmoothLikeNitroTesla</v>
      </c>
      <c r="E11" s="20">
        <f>AVERAGEIF(Post!L:L,'Task 4.2'!D11,Post!N:N)</f>
        <v>0.11481753670769272</v>
      </c>
      <c r="F11" s="20"/>
    </row>
    <row r="12" spans="4:6">
      <c r="D12" t="str">
        <v>#AnytimeIsTeslaTime</v>
      </c>
      <c r="E12" s="20">
        <f>AVERAGEIF(Post!L:L,'Task 4.2'!D12,Post!N:N)</f>
        <v>0.11636073778371318</v>
      </c>
      <c r="F12" s="20"/>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26750-6E53-4B21-9265-FBAB7B6CFFB0}">
  <dimension ref="A3:E7"/>
  <sheetViews>
    <sheetView workbookViewId="0">
      <selection activeCell="K16" sqref="K16"/>
    </sheetView>
  </sheetViews>
  <sheetFormatPr defaultRowHeight="14.4"/>
  <cols>
    <col min="1" max="1" width="14" bestFit="1" customWidth="1"/>
    <col min="2" max="2" width="10.44140625" bestFit="1" customWidth="1"/>
    <col min="3" max="3" width="9.33203125" bestFit="1" customWidth="1"/>
    <col min="4" max="4" width="6.77734375" bestFit="1" customWidth="1"/>
    <col min="5" max="5" width="8" bestFit="1" customWidth="1"/>
    <col min="6" max="6" width="10.5546875" bestFit="1" customWidth="1"/>
  </cols>
  <sheetData>
    <row r="3" spans="1:5">
      <c r="A3" s="15" t="s">
        <v>411</v>
      </c>
      <c r="B3" s="15" t="s">
        <v>24</v>
      </c>
    </row>
    <row r="4" spans="1:5">
      <c r="A4" s="15" t="s">
        <v>26</v>
      </c>
      <c r="B4" t="s">
        <v>55</v>
      </c>
      <c r="C4" t="s">
        <v>49</v>
      </c>
      <c r="D4" t="s">
        <v>35</v>
      </c>
      <c r="E4" t="s">
        <v>46</v>
      </c>
    </row>
    <row r="5" spans="1:5">
      <c r="A5" s="16" t="s">
        <v>56</v>
      </c>
      <c r="B5" s="19">
        <v>0.1182058981560437</v>
      </c>
      <c r="C5" s="19">
        <v>0.14358583471485062</v>
      </c>
      <c r="D5" s="19">
        <v>0.14537054868993235</v>
      </c>
      <c r="E5" s="19">
        <v>0.19045606016570182</v>
      </c>
    </row>
    <row r="6" spans="1:5">
      <c r="A6" s="16" t="s">
        <v>61</v>
      </c>
      <c r="B6" s="19">
        <v>0.11745424528332371</v>
      </c>
      <c r="C6" s="19">
        <v>0.1347559439447894</v>
      </c>
      <c r="D6" s="19">
        <v>0.14530582715944351</v>
      </c>
      <c r="E6" s="19">
        <v>0.15035567844671385</v>
      </c>
    </row>
    <row r="7" spans="1:5">
      <c r="A7" s="16" t="s">
        <v>75</v>
      </c>
      <c r="B7" s="19">
        <v>0.12378368203470033</v>
      </c>
      <c r="C7" s="19">
        <v>0.20035941736166221</v>
      </c>
      <c r="D7" s="19">
        <v>0.11228206701664242</v>
      </c>
      <c r="E7" s="19">
        <v>0.1219486277736385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AE833-4B2C-4F13-8943-D66863AB593C}">
  <dimension ref="A3:E20"/>
  <sheetViews>
    <sheetView workbookViewId="0">
      <selection activeCell="G21" sqref="G21"/>
    </sheetView>
  </sheetViews>
  <sheetFormatPr defaultRowHeight="14.4"/>
  <cols>
    <col min="1" max="1" width="21" bestFit="1" customWidth="1"/>
    <col min="2" max="2" width="16.21875" bestFit="1" customWidth="1"/>
    <col min="3" max="3" width="12" bestFit="1" customWidth="1"/>
    <col min="4" max="4" width="15.6640625" bestFit="1" customWidth="1"/>
    <col min="5" max="5" width="17" bestFit="1" customWidth="1"/>
    <col min="6" max="7" width="12" bestFit="1" customWidth="1"/>
    <col min="8" max="30" width="20.21875" bestFit="1" customWidth="1"/>
    <col min="31" max="31" width="15.88671875" bestFit="1" customWidth="1"/>
    <col min="32" max="32" width="16.77734375" bestFit="1" customWidth="1"/>
    <col min="33" max="33" width="22" bestFit="1" customWidth="1"/>
    <col min="34" max="34" width="18.77734375" bestFit="1" customWidth="1"/>
    <col min="35" max="35" width="19.6640625" bestFit="1" customWidth="1"/>
    <col min="36" max="36" width="24.77734375" bestFit="1" customWidth="1"/>
  </cols>
  <sheetData>
    <row r="3" spans="1:5">
      <c r="B3" s="15" t="s">
        <v>413</v>
      </c>
    </row>
    <row r="4" spans="1:5">
      <c r="A4" s="15" t="s">
        <v>419</v>
      </c>
      <c r="B4" t="s">
        <v>7</v>
      </c>
      <c r="C4" t="s">
        <v>15</v>
      </c>
      <c r="D4" t="s">
        <v>11</v>
      </c>
      <c r="E4" t="s">
        <v>19</v>
      </c>
    </row>
    <row r="5" spans="1:5">
      <c r="A5" s="16" t="s">
        <v>403</v>
      </c>
      <c r="B5">
        <v>154613</v>
      </c>
      <c r="C5">
        <v>201400</v>
      </c>
      <c r="D5">
        <v>185071</v>
      </c>
      <c r="E5">
        <v>219562</v>
      </c>
    </row>
    <row r="6" spans="1:5">
      <c r="A6" s="16" t="s">
        <v>414</v>
      </c>
      <c r="B6">
        <v>7094</v>
      </c>
      <c r="C6">
        <v>11039</v>
      </c>
      <c r="D6">
        <v>11168</v>
      </c>
      <c r="E6">
        <v>12544</v>
      </c>
    </row>
    <row r="7" spans="1:5">
      <c r="A7" s="16" t="s">
        <v>415</v>
      </c>
      <c r="B7">
        <v>2090555</v>
      </c>
      <c r="C7">
        <v>2507489</v>
      </c>
      <c r="D7">
        <v>2318527</v>
      </c>
      <c r="E7">
        <v>2905567</v>
      </c>
    </row>
    <row r="8" spans="1:5">
      <c r="A8" s="16" t="s">
        <v>416</v>
      </c>
      <c r="B8">
        <v>2917.2264150943397</v>
      </c>
      <c r="C8">
        <v>2650</v>
      </c>
      <c r="D8">
        <v>2721.6323529411766</v>
      </c>
      <c r="E8">
        <v>2710.641975308642</v>
      </c>
    </row>
    <row r="9" spans="1:5">
      <c r="A9" s="16" t="s">
        <v>417</v>
      </c>
      <c r="B9">
        <v>133.84905660377359</v>
      </c>
      <c r="C9">
        <v>145.25</v>
      </c>
      <c r="D9">
        <v>164.23529411764707</v>
      </c>
      <c r="E9">
        <v>154.8641975308642</v>
      </c>
    </row>
    <row r="10" spans="1:5">
      <c r="A10" s="16" t="s">
        <v>418</v>
      </c>
      <c r="B10">
        <v>39444.433962264149</v>
      </c>
      <c r="C10">
        <v>32993.276315789473</v>
      </c>
      <c r="D10">
        <v>34095.98529411765</v>
      </c>
      <c r="E10">
        <v>35871.1975308642</v>
      </c>
    </row>
    <row r="20" spans="5:5">
      <c r="E20" t="s">
        <v>412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04EBB-3DA9-4B5E-88DE-71F5A8996830}">
  <dimension ref="A3:G8"/>
  <sheetViews>
    <sheetView tabSelected="1" workbookViewId="0">
      <selection activeCell="G18" sqref="G18"/>
    </sheetView>
  </sheetViews>
  <sheetFormatPr defaultRowHeight="14.4"/>
  <cols>
    <col min="1" max="1" width="18.6640625" bestFit="1" customWidth="1"/>
    <col min="2" max="2" width="17.5546875" bestFit="1" customWidth="1"/>
    <col min="3" max="3" width="6.33203125" bestFit="1" customWidth="1"/>
    <col min="4" max="4" width="24" bestFit="1" customWidth="1"/>
    <col min="5" max="5" width="15.88671875" bestFit="1" customWidth="1"/>
    <col min="7" max="7" width="13.6640625" bestFit="1" customWidth="1"/>
  </cols>
  <sheetData>
    <row r="3" spans="1:7">
      <c r="A3" s="28" t="s">
        <v>425</v>
      </c>
      <c r="B3" s="15" t="s">
        <v>420</v>
      </c>
    </row>
    <row r="4" spans="1:7">
      <c r="A4" s="15" t="s">
        <v>423</v>
      </c>
      <c r="B4" t="s">
        <v>421</v>
      </c>
      <c r="C4" t="s">
        <v>422</v>
      </c>
      <c r="D4" s="22" t="s">
        <v>424</v>
      </c>
      <c r="E4" s="22" t="s">
        <v>426</v>
      </c>
    </row>
    <row r="5" spans="1:7">
      <c r="A5" s="16" t="s">
        <v>7</v>
      </c>
      <c r="B5" s="7">
        <v>0.18256403002695071</v>
      </c>
      <c r="C5" s="7">
        <v>7.5350276474912145E-2</v>
      </c>
      <c r="D5" s="26">
        <f>(C5-B5)/B5</f>
        <v>-0.58726658003885712</v>
      </c>
      <c r="E5" s="25">
        <f>D5/150000</f>
        <v>-3.915110533592381E-6</v>
      </c>
      <c r="G5" s="25"/>
    </row>
    <row r="6" spans="1:7">
      <c r="A6" s="16" t="s">
        <v>15</v>
      </c>
      <c r="B6" s="7">
        <v>0.14249938105344012</v>
      </c>
      <c r="C6" s="7">
        <v>0.19036825680849676</v>
      </c>
      <c r="D6" s="26">
        <f t="shared" ref="D6:D8" si="0">(C6-B6)/B6</f>
        <v>0.33592339420130424</v>
      </c>
      <c r="E6" s="25">
        <f>D6/250000</f>
        <v>1.343693576805217E-6</v>
      </c>
    </row>
    <row r="7" spans="1:7">
      <c r="A7" s="16" t="s">
        <v>11</v>
      </c>
      <c r="B7" s="7">
        <v>0.12612713593155347</v>
      </c>
      <c r="C7" s="7">
        <v>0.15063544700706727</v>
      </c>
      <c r="D7" s="26">
        <f t="shared" si="0"/>
        <v>0.19431433921415558</v>
      </c>
      <c r="E7" s="25">
        <f>D7/200000</f>
        <v>9.7157169607077783E-7</v>
      </c>
    </row>
    <row r="8" spans="1:7">
      <c r="A8" s="16" t="s">
        <v>19</v>
      </c>
      <c r="B8" s="7">
        <v>0.13346380752056675</v>
      </c>
      <c r="C8" s="7">
        <v>0.10884049000509631</v>
      </c>
      <c r="D8" s="26">
        <f t="shared" si="0"/>
        <v>-0.18449434324489797</v>
      </c>
      <c r="E8" s="25">
        <f>D8/180000</f>
        <v>-1.0249685735827665E-6</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3A12A-FC8E-4495-B3A2-59EC2972D7AD}">
  <dimension ref="A3:B7"/>
  <sheetViews>
    <sheetView workbookViewId="0">
      <selection activeCell="B11" sqref="B11"/>
    </sheetView>
  </sheetViews>
  <sheetFormatPr defaultRowHeight="14.4"/>
  <cols>
    <col min="1" max="1" width="17.109375" bestFit="1" customWidth="1"/>
    <col min="2" max="2" width="20.88671875" bestFit="1" customWidth="1"/>
  </cols>
  <sheetData>
    <row r="3" spans="1:2">
      <c r="A3" s="15" t="s">
        <v>423</v>
      </c>
      <c r="B3" t="s">
        <v>386</v>
      </c>
    </row>
    <row r="4" spans="1:2">
      <c r="A4" s="16" t="s">
        <v>19</v>
      </c>
      <c r="B4">
        <v>16078</v>
      </c>
    </row>
    <row r="5" spans="1:2">
      <c r="A5" s="16" t="s">
        <v>7</v>
      </c>
      <c r="B5">
        <v>13523</v>
      </c>
    </row>
    <row r="6" spans="1:2">
      <c r="A6" s="16" t="s">
        <v>11</v>
      </c>
      <c r="B6">
        <v>11092</v>
      </c>
    </row>
    <row r="7" spans="1:2">
      <c r="A7" s="16" t="s">
        <v>15</v>
      </c>
      <c r="B7">
        <v>10087</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4EDEC-14DB-49BC-83CC-754FFF88491F}">
  <dimension ref="A3:B54"/>
  <sheetViews>
    <sheetView workbookViewId="0">
      <selection activeCell="L23" sqref="L23"/>
    </sheetView>
  </sheetViews>
  <sheetFormatPr defaultRowHeight="14.4"/>
  <cols>
    <col min="1" max="1" width="16" bestFit="1" customWidth="1"/>
    <col min="2" max="2" width="15.6640625" bestFit="1" customWidth="1"/>
    <col min="3" max="3" width="9.33203125" bestFit="1" customWidth="1"/>
    <col min="4" max="4" width="6.77734375" bestFit="1" customWidth="1"/>
    <col min="5" max="5" width="8" bestFit="1" customWidth="1"/>
    <col min="6" max="6" width="10.5546875" bestFit="1" customWidth="1"/>
  </cols>
  <sheetData>
    <row r="3" spans="1:2">
      <c r="A3" s="15" t="s">
        <v>427</v>
      </c>
      <c r="B3" t="s">
        <v>429</v>
      </c>
    </row>
    <row r="4" spans="1:2">
      <c r="A4" s="18">
        <v>45446</v>
      </c>
      <c r="B4">
        <v>1047</v>
      </c>
    </row>
    <row r="5" spans="1:2">
      <c r="A5" s="18">
        <v>45453</v>
      </c>
      <c r="B5">
        <v>517</v>
      </c>
    </row>
    <row r="6" spans="1:2">
      <c r="A6" s="18">
        <v>45460</v>
      </c>
      <c r="B6">
        <v>893</v>
      </c>
    </row>
    <row r="7" spans="1:2">
      <c r="A7" s="18">
        <v>45467</v>
      </c>
      <c r="B7">
        <v>629</v>
      </c>
    </row>
    <row r="8" spans="1:2">
      <c r="A8" s="18">
        <v>45474</v>
      </c>
      <c r="B8">
        <v>-219</v>
      </c>
    </row>
    <row r="9" spans="1:2">
      <c r="A9" s="18">
        <v>45481</v>
      </c>
      <c r="B9">
        <v>1672</v>
      </c>
    </row>
    <row r="10" spans="1:2">
      <c r="A10" s="18">
        <v>45488</v>
      </c>
      <c r="B10">
        <v>1845</v>
      </c>
    </row>
    <row r="11" spans="1:2">
      <c r="A11" s="18">
        <v>45495</v>
      </c>
      <c r="B11">
        <v>159</v>
      </c>
    </row>
    <row r="12" spans="1:2">
      <c r="A12" s="18">
        <v>45502</v>
      </c>
      <c r="B12">
        <v>541</v>
      </c>
    </row>
    <row r="13" spans="1:2">
      <c r="A13" s="18">
        <v>45509</v>
      </c>
      <c r="B13">
        <v>352</v>
      </c>
    </row>
    <row r="14" spans="1:2">
      <c r="A14" s="18">
        <v>45516</v>
      </c>
      <c r="B14">
        <v>1325</v>
      </c>
    </row>
    <row r="15" spans="1:2">
      <c r="A15" s="18">
        <v>45523</v>
      </c>
      <c r="B15">
        <v>76</v>
      </c>
    </row>
    <row r="16" spans="1:2">
      <c r="A16" s="18">
        <v>45530</v>
      </c>
      <c r="B16">
        <v>1609</v>
      </c>
    </row>
    <row r="17" spans="1:2">
      <c r="A17" s="18">
        <v>45537</v>
      </c>
      <c r="B17">
        <v>1247</v>
      </c>
    </row>
    <row r="18" spans="1:2">
      <c r="A18" s="18">
        <v>45544</v>
      </c>
      <c r="B18">
        <v>1572</v>
      </c>
    </row>
    <row r="19" spans="1:2">
      <c r="A19" s="18">
        <v>45551</v>
      </c>
      <c r="B19">
        <v>377</v>
      </c>
    </row>
    <row r="20" spans="1:2">
      <c r="A20" s="18">
        <v>45558</v>
      </c>
      <c r="B20">
        <v>666</v>
      </c>
    </row>
    <row r="21" spans="1:2">
      <c r="A21" s="18">
        <v>45565</v>
      </c>
      <c r="B21">
        <v>1025</v>
      </c>
    </row>
    <row r="22" spans="1:2">
      <c r="A22" s="18">
        <v>45572</v>
      </c>
      <c r="B22">
        <v>1872</v>
      </c>
    </row>
    <row r="23" spans="1:2">
      <c r="A23" s="18">
        <v>45579</v>
      </c>
      <c r="B23">
        <v>1224</v>
      </c>
    </row>
    <row r="24" spans="1:2">
      <c r="A24" s="18">
        <v>45586</v>
      </c>
      <c r="B24">
        <v>262</v>
      </c>
    </row>
    <row r="25" spans="1:2">
      <c r="A25" s="18">
        <v>45593</v>
      </c>
      <c r="B25">
        <v>576</v>
      </c>
    </row>
    <row r="26" spans="1:2">
      <c r="A26" s="18">
        <v>45600</v>
      </c>
      <c r="B26">
        <v>1397</v>
      </c>
    </row>
    <row r="27" spans="1:2">
      <c r="A27" s="18">
        <v>45607</v>
      </c>
      <c r="B27">
        <v>902</v>
      </c>
    </row>
    <row r="28" spans="1:2">
      <c r="A28" s="18">
        <v>45614</v>
      </c>
      <c r="B28">
        <v>-49</v>
      </c>
    </row>
    <row r="29" spans="1:2">
      <c r="A29" s="18">
        <v>45621</v>
      </c>
      <c r="B29">
        <v>1693</v>
      </c>
    </row>
    <row r="30" spans="1:2">
      <c r="A30" s="18">
        <v>45628</v>
      </c>
      <c r="B30">
        <v>1625</v>
      </c>
    </row>
    <row r="31" spans="1:2">
      <c r="A31" s="18">
        <v>45635</v>
      </c>
      <c r="B31">
        <v>1119</v>
      </c>
    </row>
    <row r="32" spans="1:2">
      <c r="A32" s="18">
        <v>45642</v>
      </c>
      <c r="B32">
        <v>1432</v>
      </c>
    </row>
    <row r="33" spans="1:2">
      <c r="A33" s="18">
        <v>45649</v>
      </c>
      <c r="B33">
        <v>684</v>
      </c>
    </row>
    <row r="34" spans="1:2">
      <c r="A34" s="18">
        <v>45656</v>
      </c>
      <c r="B34">
        <v>1765</v>
      </c>
    </row>
    <row r="35" spans="1:2">
      <c r="A35" s="18">
        <v>45663</v>
      </c>
      <c r="B35">
        <v>903</v>
      </c>
    </row>
    <row r="36" spans="1:2">
      <c r="A36" s="18">
        <v>45670</v>
      </c>
      <c r="B36">
        <v>1722</v>
      </c>
    </row>
    <row r="37" spans="1:2">
      <c r="A37" s="18">
        <v>45677</v>
      </c>
      <c r="B37">
        <v>1572</v>
      </c>
    </row>
    <row r="38" spans="1:2">
      <c r="A38" s="18">
        <v>45684</v>
      </c>
      <c r="B38">
        <v>-166</v>
      </c>
    </row>
    <row r="39" spans="1:2">
      <c r="A39" s="18">
        <v>45691</v>
      </c>
      <c r="B39">
        <v>1080</v>
      </c>
    </row>
    <row r="40" spans="1:2">
      <c r="A40" s="18">
        <v>45698</v>
      </c>
      <c r="B40">
        <v>1723</v>
      </c>
    </row>
    <row r="41" spans="1:2">
      <c r="A41" s="18">
        <v>45705</v>
      </c>
      <c r="B41">
        <v>965</v>
      </c>
    </row>
    <row r="42" spans="1:2">
      <c r="A42" s="18">
        <v>45712</v>
      </c>
      <c r="B42">
        <v>1375</v>
      </c>
    </row>
    <row r="43" spans="1:2">
      <c r="A43" s="18">
        <v>45719</v>
      </c>
      <c r="B43">
        <v>1315</v>
      </c>
    </row>
    <row r="44" spans="1:2">
      <c r="A44" s="18">
        <v>45726</v>
      </c>
      <c r="B44">
        <v>212</v>
      </c>
    </row>
    <row r="45" spans="1:2">
      <c r="A45" s="18">
        <v>45733</v>
      </c>
      <c r="B45">
        <v>680</v>
      </c>
    </row>
    <row r="46" spans="1:2">
      <c r="A46" s="18">
        <v>45740</v>
      </c>
      <c r="B46">
        <v>461</v>
      </c>
    </row>
    <row r="47" spans="1:2">
      <c r="A47" s="18">
        <v>45747</v>
      </c>
      <c r="B47">
        <v>641</v>
      </c>
    </row>
    <row r="48" spans="1:2">
      <c r="A48" s="18">
        <v>45754</v>
      </c>
      <c r="B48">
        <v>167</v>
      </c>
    </row>
    <row r="49" spans="1:2">
      <c r="A49" s="18">
        <v>45761</v>
      </c>
      <c r="B49">
        <v>-160</v>
      </c>
    </row>
    <row r="50" spans="1:2">
      <c r="A50" s="18">
        <v>45768</v>
      </c>
      <c r="B50">
        <v>603</v>
      </c>
    </row>
    <row r="51" spans="1:2">
      <c r="A51" s="18">
        <v>45775</v>
      </c>
      <c r="B51">
        <v>1539</v>
      </c>
    </row>
    <row r="52" spans="1:2">
      <c r="A52" s="18">
        <v>45782</v>
      </c>
      <c r="B52">
        <v>1881</v>
      </c>
    </row>
    <row r="53" spans="1:2">
      <c r="A53" s="18">
        <v>45789</v>
      </c>
      <c r="B53">
        <v>1656</v>
      </c>
    </row>
    <row r="54" spans="1:2">
      <c r="A54" s="18" t="s">
        <v>381</v>
      </c>
      <c r="B54">
        <v>48004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7D7E1-8AC6-469F-A6C6-3B34935B45EE}">
  <dimension ref="A1"/>
  <sheetViews>
    <sheetView workbookViewId="0">
      <selection activeCell="U19" sqref="U19"/>
    </sheetView>
  </sheetViews>
  <sheetFormatPr defaultRowHeight="14.4"/>
  <sheetData/>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15DEC-80E4-4296-9727-EE2407FA96BD}">
  <dimension ref="A1"/>
  <sheetViews>
    <sheetView workbookViewId="0">
      <selection activeCell="T10" sqref="T10"/>
    </sheetView>
  </sheetViews>
  <sheetFormatPr defaultRowHeight="14.4"/>
  <sheetData/>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59A10-FB1F-43CD-BD7C-C8EB7F55FA46}">
  <dimension ref="H10:R13"/>
  <sheetViews>
    <sheetView workbookViewId="0">
      <selection activeCell="L18" sqref="L18"/>
    </sheetView>
  </sheetViews>
  <sheetFormatPr defaultRowHeight="14.4"/>
  <sheetData>
    <row r="10" spans="8:18">
      <c r="H10" s="29" t="s">
        <v>430</v>
      </c>
      <c r="I10" s="30"/>
      <c r="J10" s="30"/>
      <c r="K10" s="30"/>
      <c r="L10" s="30"/>
      <c r="M10" s="30"/>
      <c r="N10" s="30"/>
      <c r="O10" s="30"/>
      <c r="P10" s="30"/>
      <c r="Q10" s="30"/>
      <c r="R10" s="30"/>
    </row>
    <row r="11" spans="8:18">
      <c r="H11" s="30"/>
      <c r="I11" s="30"/>
      <c r="J11" s="30"/>
      <c r="K11" s="30"/>
      <c r="L11" s="30"/>
      <c r="M11" s="30"/>
      <c r="N11" s="30"/>
      <c r="O11" s="30"/>
      <c r="P11" s="30"/>
      <c r="Q11" s="30"/>
      <c r="R11" s="30"/>
    </row>
    <row r="12" spans="8:18">
      <c r="H12" s="30"/>
      <c r="I12" s="30"/>
      <c r="J12" s="30"/>
      <c r="K12" s="30"/>
      <c r="L12" s="30"/>
      <c r="M12" s="30"/>
      <c r="N12" s="30"/>
      <c r="O12" s="30"/>
      <c r="P12" s="30"/>
      <c r="Q12" s="30"/>
      <c r="R12" s="30"/>
    </row>
    <row r="13" spans="8:18">
      <c r="H13" s="30"/>
      <c r="I13" s="30"/>
      <c r="J13" s="30"/>
      <c r="K13" s="30"/>
      <c r="L13" s="30"/>
      <c r="M13" s="30"/>
      <c r="N13" s="30"/>
      <c r="O13" s="30"/>
      <c r="P13" s="30"/>
      <c r="Q13" s="30"/>
      <c r="R13" s="30"/>
    </row>
  </sheetData>
  <mergeCells count="1">
    <mergeCell ref="H10:R13"/>
  </mergeCells>
  <hyperlinks>
    <hyperlink ref="H10" r:id="rId1" xr:uid="{9B6D7E04-97BC-494C-AE8C-09F78BAA00B2}"/>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
</file>

<file path=customXml/item2.xml>��
</file>

<file path=customXml/item3.xml>��
</file>

<file path=customXml/item4.xml>��
</file>

<file path=customXml/item5.xml>��
</file>

<file path=customXml/item6.xml>��
</file>

<file path=customXml/itemProps1.xml><?xml version="1.0" encoding="utf-8"?>
<ds:datastoreItem xmlns:ds="http://schemas.openxmlformats.org/officeDocument/2006/customXml" ds:itemID="{710CF956-48AB-437F-A586-65137382E7E9}">
  <ds:schemaRefs/>
</ds:datastoreItem>
</file>

<file path=customXml/itemProps2.xml><?xml version="1.0" encoding="utf-8"?>
<ds:datastoreItem xmlns:ds="http://schemas.openxmlformats.org/officeDocument/2006/customXml" ds:itemID="{4CD9FE0A-C793-4478-81B2-073D615D4A27}">
  <ds:schemaRefs/>
</ds:datastoreItem>
</file>

<file path=customXml/itemProps3.xml><?xml version="1.0" encoding="utf-8"?>
<ds:datastoreItem xmlns:ds="http://schemas.openxmlformats.org/officeDocument/2006/customXml" ds:itemID="{4DAB8839-BD31-499A-A070-D6DA56425662}">
  <ds:schemaRefs/>
</ds:datastoreItem>
</file>

<file path=customXml/itemProps4.xml><?xml version="1.0" encoding="utf-8"?>
<ds:datastoreItem xmlns:ds="http://schemas.openxmlformats.org/officeDocument/2006/customXml" ds:itemID="{6E5EECB9-34B7-43E0-886B-901A1D9E8439}">
  <ds:schemaRefs/>
</ds:datastoreItem>
</file>

<file path=customXml/itemProps5.xml><?xml version="1.0" encoding="utf-8"?>
<ds:datastoreItem xmlns:ds="http://schemas.openxmlformats.org/officeDocument/2006/customXml" ds:itemID="{DF84CF70-CA57-4475-9183-3C6EA79290C7}">
  <ds:schemaRefs>
    <ds:schemaRef ds:uri="http://schemas.microsoft.com/DataMashup"/>
  </ds:schemaRefs>
</ds:datastoreItem>
</file>

<file path=customXml/itemProps6.xml><?xml version="1.0" encoding="utf-8"?>
<ds:datastoreItem xmlns:ds="http://schemas.openxmlformats.org/officeDocument/2006/customXml" ds:itemID="{FEAD76F8-7F5E-4EF8-95DB-2DDB23A921E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14</vt:i4>
      </vt:variant>
    </vt:vector>
  </HeadingPairs>
  <TitlesOfParts>
    <vt:vector size="36" baseType="lpstr">
      <vt:lpstr>Post</vt:lpstr>
      <vt:lpstr>Campaign Metadata</vt:lpstr>
      <vt:lpstr>Engagement Summary</vt:lpstr>
      <vt:lpstr>Task 1</vt:lpstr>
      <vt:lpstr>Task 2.1</vt:lpstr>
      <vt:lpstr>Task 2.2</vt:lpstr>
      <vt:lpstr>Tak 2.3(a)</vt:lpstr>
      <vt:lpstr>Task 2.3(b)</vt:lpstr>
      <vt:lpstr>Task 2.4</vt:lpstr>
      <vt:lpstr>Tak 3.1</vt:lpstr>
      <vt:lpstr>Task 3.2</vt:lpstr>
      <vt:lpstr>Task 3.3</vt:lpstr>
      <vt:lpstr>Task 4.1</vt:lpstr>
      <vt:lpstr>Task 4.2</vt:lpstr>
      <vt:lpstr>Task 4.3</vt:lpstr>
      <vt:lpstr>Task 5.1</vt:lpstr>
      <vt:lpstr>Task 5.2 &amp; 5.3</vt:lpstr>
      <vt:lpstr>Task 5.4</vt:lpstr>
      <vt:lpstr>Task 6.1 &amp; 6.2</vt:lpstr>
      <vt:lpstr>Task 6.3</vt:lpstr>
      <vt:lpstr>Task 6.4</vt:lpstr>
      <vt:lpstr>Video Link</vt:lpstr>
      <vt:lpstr>_03_06_2024</vt:lpstr>
      <vt:lpstr>_15_06_2024</vt:lpstr>
      <vt:lpstr>_15_07_2024</vt:lpstr>
      <vt:lpstr>_23_12_2024</vt:lpstr>
      <vt:lpstr>Check_out_our_latest_reel_on_twitter</vt:lpstr>
      <vt:lpstr>'Campaign Metadata'!CybertruckLaunch</vt:lpstr>
      <vt:lpstr>CybertruckLaunch</vt:lpstr>
      <vt:lpstr>EVRevolution__TeslaCoInnovation</vt:lpstr>
      <vt:lpstr>Instagram</vt:lpstr>
      <vt:lpstr>Instagram_Facebook</vt:lpstr>
      <vt:lpstr>P001_</vt:lpstr>
      <vt:lpstr>Product_Awareness</vt:lpstr>
      <vt:lpstr>Reel</vt:lpstr>
      <vt:lpstr>Twitter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Rishav  Vishnoi</dc:creator>
  <cp:lastModifiedBy>Rishav  Vishnoi</cp:lastModifiedBy>
  <dcterms:created xsi:type="dcterms:W3CDTF">2025-10-18T17:25:28Z</dcterms:created>
  <dcterms:modified xsi:type="dcterms:W3CDTF">2025-10-28T13:40:15Z</dcterms:modified>
</cp:coreProperties>
</file>